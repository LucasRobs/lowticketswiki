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Ofertas" sheetId="2" state="visible" r:id="rId4"/>
    <sheet name="Grupos" sheetId="3" state="visible" r:id="rId5"/>
    <sheet name="Criativos" sheetId="4" state="visible" r:id="rId6"/>
  </sheets>
  <definedNames>
    <definedName function="false" hidden="true" localSheetId="3" name="_xlnm._FilterDatabase" vbProcedure="false">Criativos!$A$1:$G$152</definedName>
    <definedName function="false" hidden="true" localSheetId="2" name="_xlnm._FilterDatabase" vbProcedure="false">Grupos!$A$27:$F$148</definedName>
    <definedName function="false" hidden="true" localSheetId="1" name="_xlnm._FilterDatabase" vbProcedure="false">Ofertas!$A$1:$AH$124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<sst xmlns="http://schemas.openxmlformats.org/spreadsheetml/2006/main" count="3221" uniqueCount="734">
  <si>
    <t xml:space="preserve">RADAR LOW TICKET — ofertas mineradas</t>
  </si>
  <si>
    <t xml:space="preserve">Base: vault Obsidian /lowticket — 123 registros (103 ofertas + 20 angulos). iGreen fora. Notas recalculam sozinhas se voce editar a aba Ofertas.</t>
  </si>
  <si>
    <t xml:space="preserve">Registros</t>
  </si>
  <si>
    <t xml:space="preserve">Quentes (nota &gt;= 7)</t>
  </si>
  <si>
    <t xml:space="preserve">Escalaveis (&gt;= 7)</t>
  </si>
  <si>
    <t xml:space="preserve">Potencial Alta</t>
  </si>
  <si>
    <t xml:space="preserve">Rodando agora</t>
  </si>
  <si>
    <t xml:space="preserve">Veredito replicar</t>
  </si>
  <si>
    <t xml:space="preserve">Criativos ativos</t>
  </si>
  <si>
    <t xml:space="preserve">Ticket medio (R$)</t>
  </si>
  <si>
    <t xml:space="preserve">TOP 12 — maior nota geral</t>
  </si>
  <si>
    <t xml:space="preserve">#</t>
  </si>
  <si>
    <t xml:space="preserve">Oferta</t>
  </si>
  <si>
    <t xml:space="preserve">Quente</t>
  </si>
  <si>
    <t xml:space="preserve">Escalavel</t>
  </si>
  <si>
    <t xml:space="preserve">Nota geral</t>
  </si>
  <si>
    <t xml:space="preserve">Potencial</t>
  </si>
  <si>
    <t xml:space="preserve">Criativos</t>
  </si>
  <si>
    <t xml:space="preserve">Dias no ar</t>
  </si>
  <si>
    <t xml:space="preserve">Nicho</t>
  </si>
  <si>
    <t xml:space="preserve">Pagina</t>
  </si>
  <si>
    <t xml:space="preserve">Danca dos Noivos Online</t>
  </si>
  <si>
    <t xml:space="preserve">abrir</t>
  </si>
  <si>
    <t xml:space="preserve">+150 Bonecas de Papel — Maria Criativa</t>
  </si>
  <si>
    <t xml:space="preserve">Retrato da Alma Gemea</t>
  </si>
  <si>
    <t xml:space="preserve">Colecao Completa de Caligrafia 1o ao 6o ano — 380 atividades</t>
  </si>
  <si>
    <t xml:space="preserve">Little Genius — Kit de 235+ atividades educativas</t>
  </si>
  <si>
    <t xml:space="preserve">Kit Grafismo Fonetico — Leitura Facil</t>
  </si>
  <si>
    <t xml:space="preserve">—</t>
  </si>
  <si>
    <t xml:space="preserve">Missa em Atividades — kit catolico infantil imprimivel</t>
  </si>
  <si>
    <t xml:space="preserve">Cantigas da Bailarina — repertorio pronto para Baby Class</t>
  </si>
  <si>
    <t xml:space="preserve">Angulo — material pronto para quem ENSINA danca</t>
  </si>
  <si>
    <t xml:space="preserve">Casinha dos Sonhos — casinha de papel imprimivel</t>
  </si>
  <si>
    <t xml:space="preserve">Kit de Alfabetizacao Alfa Kids — 2.750 atividades</t>
  </si>
  <si>
    <t xml:space="preserve">Clube da Pedagogia — kit 3.000+ atividades BNCC</t>
  </si>
  <si>
    <t xml:space="preserve">Nichos — onde o dinheiro aparece</t>
  </si>
  <si>
    <t xml:space="preserve">Como as notas sao calculadas</t>
  </si>
  <si>
    <t xml:space="preserve">Ofertas</t>
  </si>
  <si>
    <t xml:space="preserve">Nota media</t>
  </si>
  <si>
    <t xml:space="preserve">Quente media</t>
  </si>
  <si>
    <t xml:space="preserve">Barra</t>
  </si>
  <si>
    <t xml:space="preserve">comportamento-infantil</t>
  </si>
  <si>
    <t xml:space="preserve">QUENTE (0-10) = prova de que esta rodando agora</t>
  </si>
  <si>
    <t xml:space="preserve">danca</t>
  </si>
  <si>
    <t xml:space="preserve">  status (ativa 5 / nova 4 / esfriando 2 / morta 0)</t>
  </si>
  <si>
    <t xml:space="preserve">material-pedagogico</t>
  </si>
  <si>
    <t xml:space="preserve">  + criativos ativos (&gt;=9 vale 3, &gt;=3 vale 2, &gt;=1 vale 1)</t>
  </si>
  <si>
    <t xml:space="preserve">religioso</t>
  </si>
  <si>
    <t xml:space="preserve">  + tempo no ar (&gt;=60d 1,5 / &gt;=30d 1 / &gt;=14d 0,5)</t>
  </si>
  <si>
    <t xml:space="preserve">ganhar-dinheiro</t>
  </si>
  <si>
    <t xml:space="preserve">  + reclamacoes no ReclameAqui (&gt;=50 1,5 / &gt;=10 1 / &gt;=1 0,5)</t>
  </si>
  <si>
    <t xml:space="preserve">esoterico</t>
  </si>
  <si>
    <t xml:space="preserve">  + apareceu em 4+ rodadas (0,5)</t>
  </si>
  <si>
    <t xml:space="preserve">certificacao</t>
  </si>
  <si>
    <t xml:space="preserve">renda-celular-cashback</t>
  </si>
  <si>
    <t xml:space="preserve">ESCALAVEL (0-10) = quanto voce consegue refazer e lucrar</t>
  </si>
  <si>
    <t xml:space="preserve">saude-estetica-fitness</t>
  </si>
  <si>
    <t xml:space="preserve">  s_replica x0,40  +  s_lucro x0,25  +  s_saturacao x0,20  +  s_ticket x0,15</t>
  </si>
  <si>
    <t xml:space="preserve">ia-ferramentas</t>
  </si>
  <si>
    <t xml:space="preserve">educacao</t>
  </si>
  <si>
    <t xml:space="preserve">NOTA GERAL = Quente x0,45 + Escalavel x0,55</t>
  </si>
  <si>
    <t xml:space="preserve">concursos</t>
  </si>
  <si>
    <t xml:space="preserve">Potencial: Alta &gt;= 7 | Media &gt;= 5 | Baixa &lt; 5</t>
  </si>
  <si>
    <t xml:space="preserve">servicos-empresariais</t>
  </si>
  <si>
    <t xml:space="preserve">artesanato-e-pdf</t>
  </si>
  <si>
    <t xml:space="preserve">Linha roxa na aba Ofertas = mesma pagina de destino que outra oferta.</t>
  </si>
  <si>
    <t xml:space="preserve">espionagem-rastreamento</t>
  </si>
  <si>
    <t xml:space="preserve">streaming-e-acesso</t>
  </si>
  <si>
    <t xml:space="preserve">marketing-digital</t>
  </si>
  <si>
    <t xml:space="preserve">lives-interativas</t>
  </si>
  <si>
    <t xml:space="preserve">ferramentas-ia</t>
  </si>
  <si>
    <t xml:space="preserve">emagrecimento</t>
  </si>
  <si>
    <t xml:space="preserve">mecanica-de-checkout</t>
  </si>
  <si>
    <t xml:space="preserve">musica-producao</t>
  </si>
  <si>
    <t xml:space="preserve">artesanato-digital</t>
  </si>
  <si>
    <t xml:space="preserve">sexualidade-bemestar</t>
  </si>
  <si>
    <t xml:space="preserve">idiomas</t>
  </si>
  <si>
    <t xml:space="preserve">imprimiveis-infantil</t>
  </si>
  <si>
    <t xml:space="preserve">cursos-de-oficio</t>
  </si>
  <si>
    <t xml:space="preserve">ferramentas-ia-design</t>
  </si>
  <si>
    <t xml:space="preserve">trading-automatizado</t>
  </si>
  <si>
    <t xml:space="preserve">gastronomia-profissional</t>
  </si>
  <si>
    <t xml:space="preserve">pet</t>
  </si>
  <si>
    <t xml:space="preserve">marketing-conteudo</t>
  </si>
  <si>
    <t xml:space="preserve">entretenimento</t>
  </si>
  <si>
    <t xml:space="preserve">renda-extra</t>
  </si>
  <si>
    <t xml:space="preserve">apostas-e-sinais</t>
  </si>
  <si>
    <t xml:space="preserve">free-shipping</t>
  </si>
  <si>
    <t xml:space="preserve">desenvolvimento-pessoal</t>
  </si>
  <si>
    <t xml:space="preserve">ferramentas-ia-edicao</t>
  </si>
  <si>
    <t xml:space="preserve">Nome da oferta</t>
  </si>
  <si>
    <t xml:space="preserve">Quente (0-10)</t>
  </si>
  <si>
    <t xml:space="preserve">Escalavel (0-10)</t>
  </si>
  <si>
    <t xml:space="preserve">Possibilidade de escala</t>
  </si>
  <si>
    <t xml:space="preserve">Grupo (mesmo destino)</t>
  </si>
  <si>
    <t xml:space="preserve">Ofertas no destino</t>
  </si>
  <si>
    <t xml:space="preserve">Cluster (mesma oferta/angulo)</t>
  </si>
  <si>
    <t xml:space="preserve">Ofertas no cluster</t>
  </si>
  <si>
    <t xml:space="preserve">Pagina de vendas</t>
  </si>
  <si>
    <t xml:space="preserve">Criativo / Biblioteca de Anuncios</t>
  </si>
  <si>
    <t xml:space="preserve">Status</t>
  </si>
  <si>
    <t xml:space="preserve">Veredito</t>
  </si>
  <si>
    <t xml:space="preserve">Sub-nicho</t>
  </si>
  <si>
    <t xml:space="preserve">Ticket frente (R$)</t>
  </si>
  <si>
    <t xml:space="preserve">Ticket medio est. (R$)</t>
  </si>
  <si>
    <t xml:space="preserve">Margem est.</t>
  </si>
  <si>
    <t xml:space="preserve">Checkout</t>
  </si>
  <si>
    <t xml:space="preserve">Reclamacoes RA</t>
  </si>
  <si>
    <t xml:space="preserve">Rodadas vista</t>
  </si>
  <si>
    <t xml:space="preserve">Visto primeiro</t>
  </si>
  <si>
    <t xml:space="preserve">Visto ultimo</t>
  </si>
  <si>
    <t xml:space="preserve">Entrega</t>
  </si>
  <si>
    <t xml:space="preserve">Recorrencia</t>
  </si>
  <si>
    <t xml:space="preserve">Tipo</t>
  </si>
  <si>
    <t xml:space="preserve">s_ticket</t>
  </si>
  <si>
    <t xml:space="preserve">s_lucro</t>
  </si>
  <si>
    <t xml:space="preserve">s_replica</t>
  </si>
  <si>
    <t xml:space="preserve">s_saturacao</t>
  </si>
  <si>
    <t xml:space="preserve">Anunciante</t>
  </si>
  <si>
    <t xml:space="preserve">Resumo</t>
  </si>
  <si>
    <t xml:space="preserve">dancadosnoivosonline.com</t>
  </si>
  <si>
    <t xml:space="preserve">danca-dos-noivos</t>
  </si>
  <si>
    <t xml:space="preserve">abrir pagina</t>
  </si>
  <si>
    <t xml:space="preserve">anuncio 9 criativo(s)</t>
  </si>
  <si>
    <t xml:space="preserve">nova</t>
  </si>
  <si>
    <t xml:space="preserve">observar</t>
  </si>
  <si>
    <t xml:space="preserve">hotmart</t>
  </si>
  <si>
    <t xml:space="preserve">2026-09-06</t>
  </si>
  <si>
    <t xml:space="preserve">curso</t>
  </si>
  <si>
    <t xml:space="preserve">nao</t>
  </si>
  <si>
    <t xml:space="preserve">Danca dos Noivos</t>
  </si>
  <si>
    <t xml:space="preserve"># Danca dos Noivos Online</t>
  </si>
  <si>
    <t xml:space="preserve">bonecasdepapel28.lovable.app</t>
  </si>
  <si>
    <t xml:space="preserve">imprimivel-brincadeira</t>
  </si>
  <si>
    <t xml:space="preserve">buscar na biblioteca</t>
  </si>
  <si>
    <t xml:space="preserve">kirvano</t>
  </si>
  <si>
    <t xml:space="preserve">2026-08-31</t>
  </si>
  <si>
    <t xml:space="preserve">ebook</t>
  </si>
  <si>
    <t xml:space="preserve"># +150 Bonecas de Papel — Maria Criativa</t>
  </si>
  <si>
    <t xml:space="preserve">alldigital.fun</t>
  </si>
  <si>
    <t xml:space="preserve">retrato-alma-gemea</t>
  </si>
  <si>
    <t xml:space="preserve">ativa</t>
  </si>
  <si>
    <t xml:space="preserve">2026-08-30</t>
  </si>
  <si>
    <t xml:space="preserve">servico-digital</t>
  </si>
  <si>
    <t xml:space="preserve"># Retrato da Alma Gemea</t>
  </si>
  <si>
    <t xml:space="preserve">atividade-cursiva.netlify.app</t>
  </si>
  <si>
    <t xml:space="preserve">caligrafia</t>
  </si>
  <si>
    <t xml:space="preserve">replicar</t>
  </si>
  <si>
    <t xml:space="preserve">cakto</t>
  </si>
  <si>
    <t xml:space="preserve"># Colecao Completa de Caligrafia — 380 atividades</t>
  </si>
  <si>
    <t xml:space="preserve">thelittlegenius.com.br</t>
  </si>
  <si>
    <t xml:space="preserve">estimulacao-cognitiva</t>
  </si>
  <si>
    <t xml:space="preserve">kiwify</t>
  </si>
  <si>
    <t xml:space="preserve"># Little Genius — 235 atividades a R$ 162</t>
  </si>
  <si>
    <t xml:space="preserve">busca: grafismo fonetico</t>
  </si>
  <si>
    <t xml:space="preserve">alfabetizacao</t>
  </si>
  <si>
    <t xml:space="preserve">whatsapp</t>
  </si>
  <si>
    <t xml:space="preserve"># Kit Grafismo Fonetico — venda por conversa, 10 criativos</t>
  </si>
  <si>
    <t xml:space="preserve">busca: missa em atividades</t>
  </si>
  <si>
    <t xml:space="preserve">catequese-infantil</t>
  </si>
  <si>
    <t xml:space="preserve">desconhecido</t>
  </si>
  <si>
    <t xml:space="preserve"># Missa em Atividades — o cruzamento mais vazio do vault</t>
  </si>
  <si>
    <t xml:space="preserve">ballerinalab.com.br</t>
  </si>
  <si>
    <t xml:space="preserve">material-para-professora-de-ballet</t>
  </si>
  <si>
    <t xml:space="preserve">anuncio 11 criativo(s)</t>
  </si>
  <si>
    <t xml:space="preserve">ggcheckout</t>
  </si>
  <si>
    <t xml:space="preserve">Ballerina Lab</t>
  </si>
  <si>
    <t xml:space="preserve"># Cantigas da Bailarina — Ballerina Lab</t>
  </si>
  <si>
    <t xml:space="preserve">busca: coreografias prontas</t>
  </si>
  <si>
    <t xml:space="preserve">material-para-professor</t>
  </si>
  <si>
    <t xml:space="preserve">Angulo</t>
  </si>
  <si>
    <t xml:space="preserve"># Angulo — material pronto para quem ENSINA danca</t>
  </si>
  <si>
    <t xml:space="preserve">casinhadossonhos.com.br</t>
  </si>
  <si>
    <t xml:space="preserve">Prof.a Juliana Gamon</t>
  </si>
  <si>
    <t xml:space="preserve"># Casinha dos Sonhos — R$ 10, 42 dias no ar</t>
  </si>
  <si>
    <t xml:space="preserve">busca: alfa kids</t>
  </si>
  <si>
    <t xml:space="preserve"># Turminha Alfa Kids — 107 dias no ar</t>
  </si>
  <si>
    <t xml:space="preserve">clubedapedagogia.com</t>
  </si>
  <si>
    <t xml:space="preserve">acervo-professora</t>
  </si>
  <si>
    <t xml:space="preserve"># Clube da Pedagogia — a escada que o cluster infantil nao tem</t>
  </si>
  <si>
    <t xml:space="preserve">Combo 10 Cursos de Danca do Ventre — Patricia Cavalcante</t>
  </si>
  <si>
    <t xml:space="preserve">patriciacavalcante.com.br</t>
  </si>
  <si>
    <t xml:space="preserve">danca-do-ventre</t>
  </si>
  <si>
    <t xml:space="preserve">anuncio 2 criativo(s)</t>
  </si>
  <si>
    <t xml:space="preserve">descartar</t>
  </si>
  <si>
    <t xml:space="preserve">Patricia Cavalcante</t>
  </si>
  <si>
    <t xml:space="preserve"># Combo 10 Cursos de Danca do Ventre</t>
  </si>
  <si>
    <t xml:space="preserve">Portal Shakti Club — bellydance e tribal fusion</t>
  </si>
  <si>
    <t xml:space="preserve">shaktistudioonline.com</t>
  </si>
  <si>
    <t xml:space="preserve">anuncio 3 criativo(s)</t>
  </si>
  <si>
    <t xml:space="preserve">curso, comunidade</t>
  </si>
  <si>
    <t xml:space="preserve">sim</t>
  </si>
  <si>
    <t xml:space="preserve">Luma Shakti Studio Online</t>
  </si>
  <si>
    <t xml:space="preserve"># Portal Shakti Club</t>
  </si>
  <si>
    <t xml:space="preserve">Kit Mundinho de Papel</t>
  </si>
  <si>
    <t xml:space="preserve">bibliotecainterativa.com</t>
  </si>
  <si>
    <t xml:space="preserve"># Kit Mundinho de Papel — R$ 10</t>
  </si>
  <si>
    <t xml:space="preserve">Tutu da Ju — assinatura de ballet classico online</t>
  </si>
  <si>
    <t xml:space="preserve">conteudos.tutudaju.com</t>
  </si>
  <si>
    <t xml:space="preserve">ballet-adulto</t>
  </si>
  <si>
    <t xml:space="preserve">anuncio 1 criativo(s)</t>
  </si>
  <si>
    <t xml:space="preserve">Tutu da Ju</t>
  </si>
  <si>
    <t xml:space="preserve"># Tutu da Ju — assinatura</t>
  </si>
  <si>
    <t xml:space="preserve">Cursos Gratis Online</t>
  </si>
  <si>
    <t xml:space="preserve">cursosgratisonline.com.br</t>
  </si>
  <si>
    <t xml:space="preserve">taxa-para-liberar-certificado</t>
  </si>
  <si>
    <t xml:space="preserve"># Cursos Gratis Online</t>
  </si>
  <si>
    <t xml:space="preserve">Google Captcha (TW Empreendimentos Digitais)</t>
  </si>
  <si>
    <t xml:space="preserve">busca: Google Captcha ganhar dinheiro</t>
  </si>
  <si>
    <t xml:space="preserve">taxa-para-liberar</t>
  </si>
  <si>
    <t xml:space="preserve">perfectpay</t>
  </si>
  <si>
    <t xml:space="preserve">2026-08-28</t>
  </si>
  <si>
    <t xml:space="preserve">2026-08-29</t>
  </si>
  <si>
    <t xml:space="preserve">app</t>
  </si>
  <si>
    <t xml:space="preserve"># Google Captcha (TW Empreendimentos Digitais)</t>
  </si>
  <si>
    <t xml:space="preserve">Alfabetinho — pacotes de atividades imprimiveis</t>
  </si>
  <si>
    <t xml:space="preserve">alfabetinho.com.br</t>
  </si>
  <si>
    <t xml:space="preserve">alfabetizacao-e-educacao-especial</t>
  </si>
  <si>
    <t xml:space="preserve">ebook, curso</t>
  </si>
  <si>
    <t xml:space="preserve"># Alfabetinho — pacotes de atividades imprimiveis</t>
  </si>
  <si>
    <t xml:space="preserve">Licao Kids — loja de atividades imprimiveis</t>
  </si>
  <si>
    <t xml:space="preserve">licaokids.com.br</t>
  </si>
  <si>
    <t xml:space="preserve"># Licao Kids — loja, nao funil</t>
  </si>
  <si>
    <t xml:space="preserve">Caderno Completo de Caligrafia — +300 atividades</t>
  </si>
  <si>
    <t xml:space="preserve">mundocriativobr.shop</t>
  </si>
  <si>
    <t xml:space="preserve"># Mundo Criativo — +300 atividades de caligrafia a R$ 10</t>
  </si>
  <si>
    <t xml:space="preserve">Atelie Digital Pequenas Estilistas — Colecao 2027</t>
  </si>
  <si>
    <t xml:space="preserve">pequenasestilistas.com</t>
  </si>
  <si>
    <t xml:space="preserve">moda-infantil</t>
  </si>
  <si>
    <t xml:space="preserve"># Pequenas Estilistas — o mesmo PDF por 2,3x o preco do vizinho</t>
  </si>
  <si>
    <t xml:space="preserve">Escada de taxas decrescentes no pos-compra (nome nao capturado)</t>
  </si>
  <si>
    <t xml:space="preserve">busca: curso taxa de liberação</t>
  </si>
  <si>
    <t xml:space="preserve">2026-08-27</t>
  </si>
  <si>
    <t xml:space="preserve"># Escada de taxas decrescentes no pos-compra (nome nao capturado)</t>
  </si>
  <si>
    <t xml:space="preserve">Dicionario em Movimento — 90 movimentos para ministracao</t>
  </si>
  <si>
    <t xml:space="preserve">dicionarioemmovimento.site</t>
  </si>
  <si>
    <t xml:space="preserve">danca-gospel-ministerio</t>
  </si>
  <si>
    <t xml:space="preserve">onprofit</t>
  </si>
  <si>
    <t xml:space="preserve">Escola de Danca Louvor na Terra</t>
  </si>
  <si>
    <t xml:space="preserve"># Dicionario em Movimento</t>
  </si>
  <si>
    <t xml:space="preserve">Aerobico Ritmado — aula pronta com certificado de 50h</t>
  </si>
  <si>
    <t xml:space="preserve">galeraindica.com.br</t>
  </si>
  <si>
    <t xml:space="preserve">danca-para-professor-de-edfisica</t>
  </si>
  <si>
    <t xml:space="preserve">curso, ebook</t>
  </si>
  <si>
    <t xml:space="preserve">Galera da EdFisica</t>
  </si>
  <si>
    <t xml:space="preserve"># Aerobico Ritmado — Galera da EdFisica</t>
  </si>
  <si>
    <t xml:space="preserve">The Soulmate Sketcher</t>
  </si>
  <si>
    <t xml:space="preserve">thesoulmatesketcher.com</t>
  </si>
  <si>
    <t xml:space="preserve">proprio</t>
  </si>
  <si>
    <t xml:space="preserve"># The Soulmate Sketcher</t>
  </si>
  <si>
    <t xml:space="preserve">Portal do MEI Brasil</t>
  </si>
  <si>
    <t xml:space="preserve">busca: abrir mei online</t>
  </si>
  <si>
    <t xml:space="preserve">taxa-sobre-servico-publico-gratuito</t>
  </si>
  <si>
    <t xml:space="preserve"># Portal do MEI Brasil</t>
  </si>
  <si>
    <t xml:space="preserve">Certificado Curso Online — curso gratis, certificado R$ 139,90</t>
  </si>
  <si>
    <t xml:space="preserve">certificadocursosonline.com</t>
  </si>
  <si>
    <t xml:space="preserve"># Certificado Curso Online — curso gratis, certificado R$ 139,90</t>
  </si>
  <si>
    <t xml:space="preserve">Kit Do Rabisco a Letra Bonita — Uiara Oliveira</t>
  </si>
  <si>
    <t xml:space="preserve">busca: do rabisco a letra bonita</t>
  </si>
  <si>
    <t xml:space="preserve"># Do Rabisco a Letra Bonita</t>
  </si>
  <si>
    <t xml:space="preserve">250 Dinamicas de Ballet Prontas para Professoras</t>
  </si>
  <si>
    <t xml:space="preserve">dinamicadeballet.netlify.app</t>
  </si>
  <si>
    <t xml:space="preserve">payt</t>
  </si>
  <si>
    <t xml:space="preserve">Material da Prof</t>
  </si>
  <si>
    <t xml:space="preserve"># 250 Dinamicas de Ballet — Material da Prof</t>
  </si>
  <si>
    <t xml:space="preserve">Angulo - Quiz de 60s que gera o retrato</t>
  </si>
  <si>
    <t xml:space="preserve">par-sketch.app</t>
  </si>
  <si>
    <t xml:space="preserve"># Angulo — Quiz de 60s que gera o retrato</t>
  </si>
  <si>
    <t xml:space="preserve">Brumdance 3 em 1 — ballet, jazz e contemporaneo para ministrar</t>
  </si>
  <si>
    <t xml:space="preserve">brumdance.com.br</t>
  </si>
  <si>
    <t xml:space="preserve">Brumdance</t>
  </si>
  <si>
    <t xml:space="preserve"># Brumdance 3 em 1</t>
  </si>
  <si>
    <t xml:space="preserve">Arquivos STL para impressao 3D</t>
  </si>
  <si>
    <t xml:space="preserve">busca: arquivos STL impressao 3D</t>
  </si>
  <si>
    <t xml:space="preserve">impressao-3d</t>
  </si>
  <si>
    <t xml:space="preserve">esfriando</t>
  </si>
  <si>
    <t xml:space="preserve">wiapy</t>
  </si>
  <si>
    <t xml:space="preserve">2026-08-16</t>
  </si>
  <si>
    <t xml:space="preserve"># Arquivos STL para impressao 3D</t>
  </si>
  <si>
    <t xml:space="preserve">Angulo — bonecas e cenarios de papel imprimiveis</t>
  </si>
  <si>
    <t xml:space="preserve">busca: bonecas de papel</t>
  </si>
  <si>
    <t xml:space="preserve"># Angulo — bonecas e cenarios de papel imprimiveis</t>
  </si>
  <si>
    <t xml:space="preserve">Angulo — caligrafia e grafismo imprimivel</t>
  </si>
  <si>
    <t xml:space="preserve">busca: caligrafia</t>
  </si>
  <si>
    <t xml:space="preserve"># Angulo — caligrafia e grafismo imprimivel</t>
  </si>
  <si>
    <t xml:space="preserve">Certifica Brasil — prova online, certificado pago</t>
  </si>
  <si>
    <t xml:space="preserve">busca: certifica brasil</t>
  </si>
  <si>
    <t xml:space="preserve"># Certifica Brasil — prova online, certificado pago</t>
  </si>
  <si>
    <t xml:space="preserve">Movimentos de Adoracao — 40 coreografias gospel prontas</t>
  </si>
  <si>
    <t xml:space="preserve">dancalouvor.com</t>
  </si>
  <si>
    <t xml:space="preserve">Coreografias Gospel</t>
  </si>
  <si>
    <t xml:space="preserve"># Movimentos de Adoracao — 40 coreografias gospel prontas</t>
  </si>
  <si>
    <t xml:space="preserve">Angulo — curso gratis, certificado pago</t>
  </si>
  <si>
    <t xml:space="preserve">busca: curso gratuito com certificado</t>
  </si>
  <si>
    <t xml:space="preserve"># Angulo — curso gratis, certificado pago</t>
  </si>
  <si>
    <t xml:space="preserve">Hinário em Movimento</t>
  </si>
  <si>
    <t xml:space="preserve">busca: Hinário em Movimento</t>
  </si>
  <si>
    <t xml:space="preserve">gospel-louvor</t>
  </si>
  <si>
    <t xml:space="preserve">lastlink</t>
  </si>
  <si>
    <t xml:space="preserve">2026-08-22</t>
  </si>
  <si>
    <t xml:space="preserve"># Hinário em Movimento</t>
  </si>
  <si>
    <t xml:space="preserve">Angulo — cobrar pelo servico publico que e gratuito</t>
  </si>
  <si>
    <t xml:space="preserve">busca: abrir mei segunda via certidao</t>
  </si>
  <si>
    <t xml:space="preserve"># Angulo — cobrar pelo servico publico que e gratuito</t>
  </si>
  <si>
    <t xml:space="preserve">Music Creator Pro</t>
  </si>
  <si>
    <t xml:space="preserve">busca: Music Creator Pro</t>
  </si>
  <si>
    <t xml:space="preserve">pacote-arquivos</t>
  </si>
  <si>
    <t xml:space="preserve">pdf</t>
  </si>
  <si>
    <t xml:space="preserve"># Music Creator Pro</t>
  </si>
  <si>
    <t xml:space="preserve">Treino Trinca (Pedro Lotz)</t>
  </si>
  <si>
    <t xml:space="preserve">treinotrinca.com.br</t>
  </si>
  <si>
    <t xml:space="preserve">treino-em-casa</t>
  </si>
  <si>
    <t xml:space="preserve"># Treino Trinca (Pedro Lotz)</t>
  </si>
  <si>
    <t xml:space="preserve">Kit 1.000 Convites e Envelopes de Casamento (editáveis)</t>
  </si>
  <si>
    <t xml:space="preserve">busca: convites de casamento editáveis</t>
  </si>
  <si>
    <t xml:space="preserve">convites-casamento</t>
  </si>
  <si>
    <t xml:space="preserve">lowify</t>
  </si>
  <si>
    <t xml:space="preserve">2026-08-21</t>
  </si>
  <si>
    <t xml:space="preserve">planilha, pdf</t>
  </si>
  <si>
    <t xml:space="preserve"># Kit 1.000 Convites e Envelopes de Casamento</t>
  </si>
  <si>
    <t xml:space="preserve">Unlovable</t>
  </si>
  <si>
    <t xml:space="preserve">busca: unlovable</t>
  </si>
  <si>
    <t xml:space="preserve">gerador-de-app</t>
  </si>
  <si>
    <t xml:space="preserve">2026-08-23</t>
  </si>
  <si>
    <t xml:space="preserve"># Unlovable</t>
  </si>
  <si>
    <t xml:space="preserve">Curso de Massagem Tantrica (Wiapy)</t>
  </si>
  <si>
    <t xml:space="preserve">busca: massagem tântrica curso</t>
  </si>
  <si>
    <t xml:space="preserve">massagem-tantrica</t>
  </si>
  <si>
    <t xml:space="preserve"># Curso de Massagem Tantrica</t>
  </si>
  <si>
    <t xml:space="preserve">Teacher ZAP — 7 idiomas pelo WhatsApp</t>
  </si>
  <si>
    <t xml:space="preserve">busca: Teacher ZAP</t>
  </si>
  <si>
    <t xml:space="preserve">ia-conversacional</t>
  </si>
  <si>
    <t xml:space="preserve"># Teacher ZAP — 7 idiomas pelo WhatsApp</t>
  </si>
  <si>
    <t xml:space="preserve">Forrozeiro do Zero (nome comercial nao confirmado)</t>
  </si>
  <si>
    <t xml:space="preserve">quiz.forrozeirodozero.com.br</t>
  </si>
  <si>
    <t xml:space="preserve">forro</t>
  </si>
  <si>
    <t xml:space="preserve">matheuscasbri</t>
  </si>
  <si>
    <t xml:space="preserve"># Forrozeiro do Zero</t>
  </si>
  <si>
    <t xml:space="preserve">INSTALADOR ROBÔ PRONTO 2.0</t>
  </si>
  <si>
    <t xml:space="preserve">busca: INSTALADOR ROBÔ PRONTO 2.0</t>
  </si>
  <si>
    <t xml:space="preserve">automacao-robo</t>
  </si>
  <si>
    <t xml:space="preserve"># INSTALADOR ROBÔ PRONTO 2.0</t>
  </si>
  <si>
    <t xml:space="preserve">+350 Bonecas de Papel — Papel Mágico</t>
  </si>
  <si>
    <t xml:space="preserve">papelmagicobr.netlify.app</t>
  </si>
  <si>
    <t xml:space="preserve">tempo-de-tela</t>
  </si>
  <si>
    <t xml:space="preserve">2026-08-20</t>
  </si>
  <si>
    <t xml:space="preserve"># +350 Bonecas de Papel — Papel Mágico</t>
  </si>
  <si>
    <t xml:space="preserve">Forro do Zero — Pe Descalco</t>
  </si>
  <si>
    <t xml:space="preserve">pedescalcomkt.com.br</t>
  </si>
  <si>
    <t xml:space="preserve">Pe Descalco</t>
  </si>
  <si>
    <t xml:space="preserve"># Forro do Zero — Pe Descalco</t>
  </si>
  <si>
    <t xml:space="preserve">Ângulo — Criança viciada em tela</t>
  </si>
  <si>
    <t xml:space="preserve">busca: criança viciada celular</t>
  </si>
  <si>
    <t xml:space="preserve">telas</t>
  </si>
  <si>
    <t xml:space="preserve">morta</t>
  </si>
  <si>
    <t xml:space="preserve">ebook, pdf</t>
  </si>
  <si>
    <t xml:space="preserve"># Ângulo — Criança viciada em tela</t>
  </si>
  <si>
    <t xml:space="preserve">App de orcamento para eletricista + imprimiveis</t>
  </si>
  <si>
    <t xml:space="preserve">busca: orcamento eletricista app</t>
  </si>
  <si>
    <t xml:space="preserve">eletrica-residencial</t>
  </si>
  <si>
    <t xml:space="preserve">planilha, ebook</t>
  </si>
  <si>
    <t xml:space="preserve"># App de orcamento para eletricista + imprimiveis</t>
  </si>
  <si>
    <t xml:space="preserve">Artesanato, moldes e PDF criativo</t>
  </si>
  <si>
    <t xml:space="preserve">busca: apostila de croche</t>
  </si>
  <si>
    <t xml:space="preserve">moldes-e-croche</t>
  </si>
  <si>
    <t xml:space="preserve"># Artesanato, moldes e PDF criativo</t>
  </si>
  <si>
    <t xml:space="preserve">Material pedagogico e apostilas imprimiveis</t>
  </si>
  <si>
    <t xml:space="preserve">busca: atividades imprimiveis professor</t>
  </si>
  <si>
    <t xml:space="preserve">alfabetizacao-e-planos-de-aula</t>
  </si>
  <si>
    <t xml:space="preserve"># Material pedagogico e apostilas imprimiveis</t>
  </si>
  <si>
    <t xml:space="preserve">Ângulo — 'Será que meu filho tem...?' como isca de topo</t>
  </si>
  <si>
    <t xml:space="preserve">busca: meu filho tem TDAH</t>
  </si>
  <si>
    <t xml:space="preserve">tdah</t>
  </si>
  <si>
    <t xml:space="preserve"># Ângulo — A dúvida diagnóstica como isca</t>
  </si>
  <si>
    <t xml:space="preserve">Renderizador de imagem com recarga na Google (nome nao capturado)</t>
  </si>
  <si>
    <t xml:space="preserve">busca: renderizador de imagem IA</t>
  </si>
  <si>
    <t xml:space="preserve">renderizador-wrapper-api</t>
  </si>
  <si>
    <t xml:space="preserve">2026-08-24</t>
  </si>
  <si>
    <t xml:space="preserve"># Renderizador de imagem com recarga na Google (nome nao capturado)</t>
  </si>
  <si>
    <t xml:space="preserve">Stalkeia.ai</t>
  </si>
  <si>
    <t xml:space="preserve">stalkea.ai</t>
  </si>
  <si>
    <t xml:space="preserve">espionar-redes-sociais</t>
  </si>
  <si>
    <t xml:space="preserve"># Stalkeia.ai</t>
  </si>
  <si>
    <t xml:space="preserve">AUKS VIP / AUKS BOT</t>
  </si>
  <si>
    <t xml:space="preserve">busca: AUKS bot</t>
  </si>
  <si>
    <t xml:space="preserve">robo-de-operacao</t>
  </si>
  <si>
    <t xml:space="preserve"># AUKS VIP / AUKS BOT</t>
  </si>
  <si>
    <t xml:space="preserve">Cafe Premium — Barista Academy</t>
  </si>
  <si>
    <t xml:space="preserve">busca: Cafe Premium Barista Academy</t>
  </si>
  <si>
    <t xml:space="preserve">barista-cafeteria</t>
  </si>
  <si>
    <t xml:space="preserve"># Cafe Premium — Barista Academy</t>
  </si>
  <si>
    <t xml:space="preserve">Foto com pet gerada por IA (Wiapy)</t>
  </si>
  <si>
    <t xml:space="preserve">busca: Foto com pet gerada por IA</t>
  </si>
  <si>
    <t xml:space="preserve">ia-imagem</t>
  </si>
  <si>
    <t xml:space="preserve"># Foto com pet gerada por IA (Wiapy)</t>
  </si>
  <si>
    <t xml:space="preserve">Magias Amorosas - Hoodoo</t>
  </si>
  <si>
    <t xml:space="preserve">busca: magia amorosa hoodoo curso</t>
  </si>
  <si>
    <t xml:space="preserve">magia-amorosa</t>
  </si>
  <si>
    <t xml:space="preserve"># Magias Amorosas - Hoodoo</t>
  </si>
  <si>
    <t xml:space="preserve">Parábolas Kids — 1.001 parábolas bíblicas para crianças</t>
  </si>
  <si>
    <t xml:space="preserve">parabolaskids.com.br</t>
  </si>
  <si>
    <t xml:space="preserve">valores-religiao</t>
  </si>
  <si>
    <t xml:space="preserve"># Parábolas Kids</t>
  </si>
  <si>
    <t xml:space="preserve">Novelas turcas, doramas e mini dramas</t>
  </si>
  <si>
    <t xml:space="preserve">busca: novelas turcas dubladas</t>
  </si>
  <si>
    <t xml:space="preserve">catalogo-novelas</t>
  </si>
  <si>
    <t xml:space="preserve"># Novelas turcas, doramas e mini dramas</t>
  </si>
  <si>
    <t xml:space="preserve">Aula Desplugada — +500 atividades BNCC sem computador</t>
  </si>
  <si>
    <t xml:space="preserve">auladesplugada.netlify.app</t>
  </si>
  <si>
    <t xml:space="preserve">bncc-atividades</t>
  </si>
  <si>
    <t xml:space="preserve"># Aula Desplugada</t>
  </si>
  <si>
    <t xml:space="preserve">Carrosseis Magneticos</t>
  </si>
  <si>
    <t xml:space="preserve">busca: Carrosséis Magnéticos</t>
  </si>
  <si>
    <t xml:space="preserve">templates-instagram</t>
  </si>
  <si>
    <t xml:space="preserve">planilha</t>
  </si>
  <si>
    <t xml:space="preserve"># Carrosseis Magneticos</t>
  </si>
  <si>
    <t xml:space="preserve">Robô Hacker Book — Gerador de E-books no Automático</t>
  </si>
  <si>
    <t xml:space="preserve">busca: Robô Hacker Book</t>
  </si>
  <si>
    <t xml:space="preserve"># Robô Hacker Book — Gerador de E-books no Automático</t>
  </si>
  <si>
    <t xml:space="preserve">Ângulo — Kit imprimível para criança com TEA</t>
  </si>
  <si>
    <t xml:space="preserve">busca: autismo atividades criança</t>
  </si>
  <si>
    <t xml:space="preserve">tea-autismo</t>
  </si>
  <si>
    <t xml:space="preserve"># Ângulo — Kit imprimível TEA</t>
  </si>
  <si>
    <t xml:space="preserve">Fabrica de Low Ticket</t>
  </si>
  <si>
    <t xml:space="preserve">busca: fábrica de low ticket</t>
  </si>
  <si>
    <t xml:space="preserve">metodo-low-ticket</t>
  </si>
  <si>
    <t xml:space="preserve">ticto</t>
  </si>
  <si>
    <t xml:space="preserve"># Fabrica de Low Ticket</t>
  </si>
  <si>
    <t xml:space="preserve">Lowzap (+ upsell Low Scale)</t>
  </si>
  <si>
    <t xml:space="preserve">busca: lowzap</t>
  </si>
  <si>
    <t xml:space="preserve">whatsapp-ferramentas</t>
  </si>
  <si>
    <t xml:space="preserve">curso, app</t>
  </si>
  <si>
    <t xml:space="preserve"># Lowzap (+ upsell Low Scale)</t>
  </si>
  <si>
    <t xml:space="preserve">Desafio 21 Dias com Deus (clone .shop)</t>
  </si>
  <si>
    <t xml:space="preserve">imperdivel.ofertaslimitadasmaterial.shop</t>
  </si>
  <si>
    <t xml:space="preserve">devocional-diario</t>
  </si>
  <si>
    <t xml:space="preserve"># Desafio 21 Dias com Deus (clone .shop)</t>
  </si>
  <si>
    <t xml:space="preserve">App de histórias — entrega via Telegram (Lowify)</t>
  </si>
  <si>
    <t xml:space="preserve">busca: App de histórias</t>
  </si>
  <si>
    <t xml:space="preserve">leitura-ficcao</t>
  </si>
  <si>
    <t xml:space="preserve"># App de histórias — entrega via Telegram (Lowify)</t>
  </si>
  <si>
    <t xml:space="preserve">Ângulo — Bebê dormir a noite toda</t>
  </si>
  <si>
    <t xml:space="preserve">busca: bebê dormir noite toda</t>
  </si>
  <si>
    <t xml:space="preserve">sono-infantil</t>
  </si>
  <si>
    <t xml:space="preserve"># Ângulo — Sono infantil</t>
  </si>
  <si>
    <t xml:space="preserve">Ângulo — Birra, teimosia e filho que não obedece</t>
  </si>
  <si>
    <t xml:space="preserve">busca: birra criança</t>
  </si>
  <si>
    <t xml:space="preserve">birra-disciplina</t>
  </si>
  <si>
    <t xml:space="preserve"># Ângulo — Birra e teimosia</t>
  </si>
  <si>
    <t xml:space="preserve">Desafio Romanos 12:2</t>
  </si>
  <si>
    <t xml:space="preserve">desafioromanos.stefannymartinez.com.br</t>
  </si>
  <si>
    <t xml:space="preserve">mulher-crista-saude-mental</t>
  </si>
  <si>
    <t xml:space="preserve">curso, ebook, fisico</t>
  </si>
  <si>
    <t xml:space="preserve"># Desafio Romanos 12:2</t>
  </si>
  <si>
    <t xml:space="preserve">Kit 300 Aulas Prontas de Educação Física — Sem Improviso</t>
  </si>
  <si>
    <t xml:space="preserve">kit-300aulas-edfisica.netlify.app</t>
  </si>
  <si>
    <t xml:space="preserve">educacao-fisica-escolar</t>
  </si>
  <si>
    <t xml:space="preserve">pdf, area-membros</t>
  </si>
  <si>
    <t xml:space="preserve"># Kit 300 Aulas Prontas de Educação Física</t>
  </si>
  <si>
    <t xml:space="preserve">Desafio 21 Dias com Deus (Traco Home)</t>
  </si>
  <si>
    <t xml:space="preserve">tracohome.com.br</t>
  </si>
  <si>
    <t xml:space="preserve"># Desafio 21 Dias com Deus (Traco Home)</t>
  </si>
  <si>
    <t xml:space="preserve">Biblioteca do Concurseiro</t>
  </si>
  <si>
    <t xml:space="preserve">bibliotecadoconcurseiro.site</t>
  </si>
  <si>
    <t xml:space="preserve">acervo-pdf</t>
  </si>
  <si>
    <t xml:space="preserve"># Biblioteca do Concurseiro</t>
  </si>
  <si>
    <t xml:space="preserve">Ângulo — Criança que não aprende a ler</t>
  </si>
  <si>
    <t xml:space="preserve">busca: alfabetização em casa</t>
  </si>
  <si>
    <t xml:space="preserve">pdf, curso</t>
  </si>
  <si>
    <t xml:space="preserve"># Ângulo — Alfabetização em casa</t>
  </si>
  <si>
    <t xml:space="preserve">App do Paizão</t>
  </si>
  <si>
    <t xml:space="preserve">busca: app do paizão</t>
  </si>
  <si>
    <t xml:space="preserve">fitness-paternidade</t>
  </si>
  <si>
    <t xml:space="preserve">app, comunidade</t>
  </si>
  <si>
    <t xml:space="preserve"># App do Paizão</t>
  </si>
  <si>
    <t xml:space="preserve">Desafio de treino com loop de anamnese (nome nao capturado)</t>
  </si>
  <si>
    <t xml:space="preserve">busca: desafio treino plano alimentar anamnese</t>
  </si>
  <si>
    <t xml:space="preserve">desafio-com-funil-de-anamnese</t>
  </si>
  <si>
    <t xml:space="preserve"># Desafio de treino com loop de anamnese (nome nao capturado)</t>
  </si>
  <si>
    <t xml:space="preserve">Ângulo — Pare de gritar com seu filho</t>
  </si>
  <si>
    <t xml:space="preserve">busca: parar de gritar filho</t>
  </si>
  <si>
    <t xml:space="preserve"># Ângulo — Pare de gritar</t>
  </si>
  <si>
    <t xml:space="preserve">Desafio de 30 Dias com Deus</t>
  </si>
  <si>
    <t xml:space="preserve">desafio30diascomdeus.online</t>
  </si>
  <si>
    <t xml:space="preserve"># Desafio de 30 Dias com Deus</t>
  </si>
  <si>
    <t xml:space="preserve">Guia de Desintoxicação Digital — @vidasemtela</t>
  </si>
  <si>
    <t xml:space="preserve">ebook.desintoxicacaodigital.com.br</t>
  </si>
  <si>
    <t xml:space="preserve"># Guia de Desintoxicação Digital</t>
  </si>
  <si>
    <t xml:space="preserve">Domando a Teimosia</t>
  </si>
  <si>
    <t xml:space="preserve">ebook.domandoateimosia.com</t>
  </si>
  <si>
    <t xml:space="preserve"># Domando a Teimosia</t>
  </si>
  <si>
    <t xml:space="preserve">Cura da Alma — devocional diario para traumas e feridas</t>
  </si>
  <si>
    <t xml:space="preserve">hotmart.com</t>
  </si>
  <si>
    <t xml:space="preserve">cura-interior</t>
  </si>
  <si>
    <t xml:space="preserve"># Cura da Alma — devocional diario para traumas e feridas</t>
  </si>
  <si>
    <t xml:space="preserve">Devocional 15 dias — Para quem sofre de ansiedade</t>
  </si>
  <si>
    <t xml:space="preserve"># Devocional 15 dias — Para quem sofre de ansiedade</t>
  </si>
  <si>
    <t xml:space="preserve">Devocional com Proposito para Mulheres — 30 Dias de Cura Interior</t>
  </si>
  <si>
    <t xml:space="preserve"># Devocional com Proposito para Mulheres — 30 Dias de Cura Interior</t>
  </si>
  <si>
    <t xml:space="preserve">Renovacao da Mente — Mulheres no Secreto</t>
  </si>
  <si>
    <t xml:space="preserve">mulheresnosecreto.com.br</t>
  </si>
  <si>
    <t xml:space="preserve">prosperidade-crista</t>
  </si>
  <si>
    <t xml:space="preserve"># Renovacao da Mente — Mulheres no Secreto</t>
  </si>
  <si>
    <t xml:space="preserve">Método NeuroOctoMusical (Pipo) — alfabetização por sílabas</t>
  </si>
  <si>
    <t xml:space="preserve">pipoeduca.com</t>
  </si>
  <si>
    <t xml:space="preserve"># Método NeuroMusical</t>
  </si>
  <si>
    <t xml:space="preserve">Trendly | Vitalicio</t>
  </si>
  <si>
    <t xml:space="preserve">busca: Trendly</t>
  </si>
  <si>
    <t xml:space="preserve">pesquisa-de-tendencias</t>
  </si>
  <si>
    <t xml:space="preserve"># Trendly | Vitalicio</t>
  </si>
  <si>
    <t xml:space="preserve">Desafio 21 Dias de Oracao — Virtude Plena</t>
  </si>
  <si>
    <t xml:space="preserve">virtudeplena.com</t>
  </si>
  <si>
    <t xml:space="preserve">catolico-oracao</t>
  </si>
  <si>
    <t xml:space="preserve"># Desafio 21 Dias de Oracao — Virtude Plena</t>
  </si>
  <si>
    <t xml:space="preserve">Loopyz</t>
  </si>
  <si>
    <t xml:space="preserve">loopyz.com.br</t>
  </si>
  <si>
    <t xml:space="preserve">ferramenta-live-tiktok</t>
  </si>
  <si>
    <t xml:space="preserve"># Loopyz</t>
  </si>
  <si>
    <t xml:space="preserve">Coletânea de Regulação Emocional para Crianças — Ana Gambôa</t>
  </si>
  <si>
    <t xml:space="preserve">pay.hotmart.com</t>
  </si>
  <si>
    <t xml:space="preserve">regulacao-emocional</t>
  </si>
  <si>
    <t xml:space="preserve"># Coletânea de Regulação Emocional para Crianças</t>
  </si>
  <si>
    <t xml:space="preserve">Play Videos Premiados / PremiaPlay</t>
  </si>
  <si>
    <t xml:space="preserve">playvideospremiados.com</t>
  </si>
  <si>
    <t xml:space="preserve">taxa-para-liberar-saque</t>
  </si>
  <si>
    <t xml:space="preserve"># Play Videos Premiados / PremiaPlay</t>
  </si>
  <si>
    <t xml:space="preserve">Do Zero a Monetizacao no YouTube</t>
  </si>
  <si>
    <t xml:space="preserve">busca: Do Zero à Monetização no YouTube</t>
  </si>
  <si>
    <t xml:space="preserve">youtube-monetizacao</t>
  </si>
  <si>
    <t xml:space="preserve"># Do Zero a Monetizacao no YouTube</t>
  </si>
  <si>
    <t xml:space="preserve">LottoApp / LotteApp PRO</t>
  </si>
  <si>
    <t xml:space="preserve">busca: LottoApp</t>
  </si>
  <si>
    <t xml:space="preserve">loteria</t>
  </si>
  <si>
    <t xml:space="preserve"># LottoApp / LotteApp PRO</t>
  </si>
  <si>
    <t xml:space="preserve">Shop Cash 1.0</t>
  </si>
  <si>
    <t xml:space="preserve">busca: Shop Cash</t>
  </si>
  <si>
    <t xml:space="preserve">ia-video-renda-extra</t>
  </si>
  <si>
    <t xml:space="preserve"># Shop Cash 1.0</t>
  </si>
  <si>
    <t xml:space="preserve">Curso AIVA</t>
  </si>
  <si>
    <t xml:space="preserve">busca: curso AIVA</t>
  </si>
  <si>
    <t xml:space="preserve">curso-de-ia</t>
  </si>
  <si>
    <t xml:space="preserve"># Curso AIVA</t>
  </si>
  <si>
    <t xml:space="preserve">Script da Banca</t>
  </si>
  <si>
    <t xml:space="preserve">busca: script da banca concurso</t>
  </si>
  <si>
    <t xml:space="preserve">questoes-comentadas</t>
  </si>
  <si>
    <t xml:space="preserve"># Script da Banca</t>
  </si>
  <si>
    <t xml:space="preserve">Disciplina Positiva em Casa — eBook + 40 modelos de rotina</t>
  </si>
  <si>
    <t xml:space="preserve">comportamentopositivo.com</t>
  </si>
  <si>
    <t xml:space="preserve"># Disciplina Positiva em Casa</t>
  </si>
  <si>
    <t xml:space="preserve">Gestor IA</t>
  </si>
  <si>
    <t xml:space="preserve">gestoria.site</t>
  </si>
  <si>
    <t xml:space="preserve">automacao-negocio</t>
  </si>
  <si>
    <t xml:space="preserve"># Gestor IA</t>
  </si>
  <si>
    <t xml:space="preserve">Kit Só Escola TDAH — 500+ Atividades Imprimíveis</t>
  </si>
  <si>
    <t xml:space="preserve">tdah.soescola.com</t>
  </si>
  <si>
    <t xml:space="preserve"># Kit Só Escola TDAH</t>
  </si>
  <si>
    <t xml:space="preserve">Kit Só Escola Autismo — 650 páginas, 11 apostilas</t>
  </si>
  <si>
    <t xml:space="preserve">kitsoescola.com</t>
  </si>
  <si>
    <t xml:space="preserve"># Kit Só Escola Autismo</t>
  </si>
  <si>
    <t xml:space="preserve">TEA Sem Crise — Dr. Fábio Coelho</t>
  </si>
  <si>
    <t xml:space="preserve">academiadoautismo.com.br</t>
  </si>
  <si>
    <t xml:space="preserve">fisico, curso, area-membros</t>
  </si>
  <si>
    <t xml:space="preserve"># TEA Sem Crise</t>
  </si>
  <si>
    <t xml:space="preserve">LiveGo Pro</t>
  </si>
  <si>
    <t xml:space="preserve">busca: LiveGo Pro</t>
  </si>
  <si>
    <t xml:space="preserve">ferramenta-de-live</t>
  </si>
  <si>
    <t xml:space="preserve"># LiveGo Pro</t>
  </si>
  <si>
    <t xml:space="preserve">Biblia gratis, so paga o frete</t>
  </si>
  <si>
    <t xml:space="preserve">busca: biblia gratis frete</t>
  </si>
  <si>
    <t xml:space="preserve">brinde-religioso</t>
  </si>
  <si>
    <t xml:space="preserve">fisico</t>
  </si>
  <si>
    <t xml:space="preserve"># Biblia gratis, so paga o frete</t>
  </si>
  <si>
    <t xml:space="preserve">Mentoria para Mulheres Cristas — Saradas para Sarar</t>
  </si>
  <si>
    <t xml:space="preserve">saradasparasarar.kpages.online</t>
  </si>
  <si>
    <t xml:space="preserve">formacao-conselheira-crista</t>
  </si>
  <si>
    <t xml:space="preserve"># Mentoria para Mulheres Cristas — Saradas para Sarar</t>
  </si>
  <si>
    <t xml:space="preserve">Ângulo — A versão pobre do remédio caro</t>
  </si>
  <si>
    <t xml:space="preserve">busca: mounjaro natural caseiro</t>
  </si>
  <si>
    <t xml:space="preserve">ancoragem-farmaco</t>
  </si>
  <si>
    <t xml:space="preserve"># Ângulo — A versão pobre do remédio caro</t>
  </si>
  <si>
    <t xml:space="preserve">+500 Planos de Aula — Educação Infantil</t>
  </si>
  <si>
    <t xml:space="preserve">planosdeaula.netlify.app</t>
  </si>
  <si>
    <t xml:space="preserve">educacao-infantil</t>
  </si>
  <si>
    <t xml:space="preserve"># +500 Planos de Aula — Educação Infantil</t>
  </si>
  <si>
    <t xml:space="preserve">Raio-X ENARE Farmácia — Tática Farmacêutica</t>
  </si>
  <si>
    <t xml:space="preserve">raioxenarefarmacia2026.netlify.app</t>
  </si>
  <si>
    <t xml:space="preserve">residencia-farmacia</t>
  </si>
  <si>
    <t xml:space="preserve"># Raio-X ENARE Farmácia</t>
  </si>
  <si>
    <t xml:space="preserve">Robo Produtor de Criativos</t>
  </si>
  <si>
    <t xml:space="preserve">robodofuturo.com.br</t>
  </si>
  <si>
    <t xml:space="preserve">criativos-ia</t>
  </si>
  <si>
    <t xml:space="preserve"># Robo Produtor de Criativos</t>
  </si>
  <si>
    <t xml:space="preserve">Arquitetos do Pensamento — Projetando Realidades</t>
  </si>
  <si>
    <t xml:space="preserve">arquitetos-do-pensamento.netlify.app</t>
  </si>
  <si>
    <t xml:space="preserve">reprogramacao-mental</t>
  </si>
  <si>
    <t xml:space="preserve"># Arquitetos do Pensamento</t>
  </si>
  <si>
    <t xml:space="preserve">Servico de desbanimento de numero de WhatsApp</t>
  </si>
  <si>
    <t xml:space="preserve">busca: desbanir número whatsapp</t>
  </si>
  <si>
    <t xml:space="preserve">comunidade</t>
  </si>
  <si>
    <t xml:space="preserve"># Servico de desbanimento de numero de WhatsApp</t>
  </si>
  <si>
    <t xml:space="preserve">Cashnopix / Cash no Pix</t>
  </si>
  <si>
    <t xml:space="preserve">cashnopix.net</t>
  </si>
  <si>
    <t xml:space="preserve">cashback-pix</t>
  </si>
  <si>
    <t xml:space="preserve"># Cashnopix / Cash no Pix</t>
  </si>
  <si>
    <t xml:space="preserve">Pare de Gritar com seu Filho — Bia Arcangeli</t>
  </si>
  <si>
    <t xml:space="preserve">biarcangeli.ac-page.com</t>
  </si>
  <si>
    <t xml:space="preserve"># Pare de Gritar com seu Filho</t>
  </si>
  <si>
    <t xml:space="preserve">ZAP Radar</t>
  </si>
  <si>
    <t xml:space="preserve">whatsradar.com</t>
  </si>
  <si>
    <t xml:space="preserve">busca-whatsapp</t>
  </si>
  <si>
    <t xml:space="preserve"># ZAP Radar</t>
  </si>
  <si>
    <t xml:space="preserve">Agentor (Bruno Gabarra)</t>
  </si>
  <si>
    <t xml:space="preserve">busca: Agentor Bruno Gabarra</t>
  </si>
  <si>
    <t xml:space="preserve">agentes-de-ia</t>
  </si>
  <si>
    <t xml:space="preserve"># Agentor (Bruno Gabarra)</t>
  </si>
  <si>
    <t xml:space="preserve">Mounjaro de Pobre — Guia Definitivo do Emagrecimento Natural</t>
  </si>
  <si>
    <t xml:space="preserve">busca: mounjaro de pobre</t>
  </si>
  <si>
    <t xml:space="preserve">emagrecimento-natural</t>
  </si>
  <si>
    <t xml:space="preserve"># Mounjaro de Pobre</t>
  </si>
  <si>
    <t xml:space="preserve">Love Pix</t>
  </si>
  <si>
    <t xml:space="preserve">busca: Love Pix</t>
  </si>
  <si>
    <t xml:space="preserve"># Love Pix</t>
  </si>
  <si>
    <t xml:space="preserve">PubliOn</t>
  </si>
  <si>
    <t xml:space="preserve">busca: Publion</t>
  </si>
  <si>
    <t xml:space="preserve">app-de-tarefas</t>
  </si>
  <si>
    <t xml:space="preserve"># PubliOn</t>
  </si>
  <si>
    <t xml:space="preserve">Cinefy TV</t>
  </si>
  <si>
    <t xml:space="preserve">app.cinefytv.site</t>
  </si>
  <si>
    <t xml:space="preserve">catalogo-series</t>
  </si>
  <si>
    <t xml:space="preserve"># Cinefy TV</t>
  </si>
  <si>
    <t xml:space="preserve">Operax</t>
  </si>
  <si>
    <t xml:space="preserve">busca: Operax</t>
  </si>
  <si>
    <t xml:space="preserve">ia-de-avaliacao</t>
  </si>
  <si>
    <t xml:space="preserve"># Operax</t>
  </si>
  <si>
    <t xml:space="preserve">Revenda de assinatura CapCut Pro</t>
  </si>
  <si>
    <t xml:space="preserve">busca: CapCut Pro assinatura barata</t>
  </si>
  <si>
    <t xml:space="preserve">revenda-assinatura-alheia</t>
  </si>
  <si>
    <t xml:space="preserve"># Revenda de assinatura CapCut Pro</t>
  </si>
  <si>
    <t xml:space="preserve">AGRUPAMENTOS — quem aponta pro mesmo lugar e quem esta vendendo a mesma coisa</t>
  </si>
  <si>
    <t xml:space="preserve">1. Mesma oferta / mesmo angulo (clusters com 2 ou mais)</t>
  </si>
  <si>
    <t xml:space="preserve">Cluster</t>
  </si>
  <si>
    <t xml:space="preserve">Nota geral (max)</t>
  </si>
  <si>
    <t xml:space="preserve">Nota geral (media)</t>
  </si>
  <si>
    <t xml:space="preserve">Criativos ativos (soma)</t>
  </si>
  <si>
    <t xml:space="preserve">Quais ofertas</t>
  </si>
  <si>
    <t xml:space="preserve">Ângulo — Birra, teimosia e filho que não obedece | Ângulo — Pare de gritar com seu filho | Domando a Teimosia | Disciplina Positiva em Casa — eBook + 40 modelos de rotina | Pare de Gritar com seu Filho — Bia Arcangeli</t>
  </si>
  <si>
    <t xml:space="preserve">+150 Bonecas de Papel — Maria Criativa | Casinha dos Sonhos — casinha de papel imprimivel | Kit Mundinho de Papel | Angulo — bonecas e cenarios de papel imprimiveis</t>
  </si>
  <si>
    <t xml:space="preserve">Colecao Completa de Caligrafia 1o ao 6o ano — 380 atividades | Caderno Completo de Caligrafia — +300 atividades | Kit Do Rabisco a Letra Bonita — Uiara Oliveira | Angulo — caligrafia e grafismo imprimivel</t>
  </si>
  <si>
    <t xml:space="preserve">Kit Grafismo Fonetico — Leitura Facil | Kit de Alfabetizacao Alfa Kids — 2.750 atividades | Ângulo — Criança que não aprende a ler | Método NeuroOctoMusical (Pipo) — alfabetização por sílabas</t>
  </si>
  <si>
    <t xml:space="preserve">Cursos Gratis Online | Certificado Curso Online — curso gratis, certificado R$ 139,90 | Certifica Brasil — prova online, certificado pago | Angulo — curso gratis, certificado pago</t>
  </si>
  <si>
    <t xml:space="preserve">Retrato da Alma Gemea | The Soulmate Sketcher | Angulo - Quiz de 60s que gera o retrato</t>
  </si>
  <si>
    <t xml:space="preserve">Google Captcha (TW Empreendimentos Digitais) | Escada de taxas decrescentes no pos-compra (nome nao capturado) | Love Pix</t>
  </si>
  <si>
    <t xml:space="preserve">Dicionario em Movimento — 90 movimentos para ministracao | Brumdance 3 em 1 — ballet, jazz e contemporaneo para ministrar | Movimentos de Adoracao — 40 coreografias gospel prontas</t>
  </si>
  <si>
    <t xml:space="preserve">Ângulo — Kit imprimível para criança com TEA | Kit Só Escola Autismo — 650 páginas, 11 apostilas | TEA Sem Crise — Dr. Fábio Coelho</t>
  </si>
  <si>
    <t xml:space="preserve">Desafio 21 Dias com Deus (clone .shop) | Desafio 21 Dias com Deus (Traco Home) | Desafio de 30 Dias com Deus</t>
  </si>
  <si>
    <t xml:space="preserve">Cantigas da Bailarina — repertorio pronto para Baby Class | 250 Dinamicas de Ballet Prontas para Professoras</t>
  </si>
  <si>
    <t xml:space="preserve">Clube da Pedagogia — kit 3.000+ atividades BNCC | Licao Kids — loja de atividades imprimiveis</t>
  </si>
  <si>
    <t xml:space="preserve">Combo 10 Cursos de Danca do Ventre — Patricia Cavalcante | Portal Shakti Club — bellydance e tribal fusion</t>
  </si>
  <si>
    <t xml:space="preserve">Portal do MEI Brasil | Angulo — cobrar pelo servico publico que e gratuito</t>
  </si>
  <si>
    <t xml:space="preserve">Forrozeiro do Zero (nome comercial nao confirmado) | Forro do Zero — Pe Descalco</t>
  </si>
  <si>
    <t xml:space="preserve">Ângulo — Criança viciada em tela | Guia de Desintoxicação Digital — @vidasemtela</t>
  </si>
  <si>
    <t xml:space="preserve">Ângulo — 'Será que meu filho tem...?' como isca de topo | Kit Só Escola TDAH — 500+ Atividades Imprimíveis</t>
  </si>
  <si>
    <t xml:space="preserve">Lowzap (+ upsell Low Scale) | Servico de desbanimento de numero de WhatsApp</t>
  </si>
  <si>
    <t xml:space="preserve">Desafio Romanos 12:2 | Devocional 15 dias — Para quem sofre de ansiedade</t>
  </si>
  <si>
    <t xml:space="preserve">Cura da Alma — devocional diario para traumas e feridas | Devocional com Proposito para Mulheres — 30 Dias de Cura Interior</t>
  </si>
  <si>
    <t xml:space="preserve">2. Mesmo link de destino (mesma pagina de vendas ou mesmo termo de anuncio)</t>
  </si>
  <si>
    <t xml:space="preserve">Grupo (destino)</t>
  </si>
  <si>
    <t xml:space="preserve">Tipo de agrupamento</t>
  </si>
  <si>
    <t xml:space="preserve">Cura da Alma — devocional diario para traumas e feridas | Devocional 15 dias — Para quem sofre de ansiedade | Devocional com Proposito para Mulheres — 30 Dias de Cura Interior</t>
  </si>
  <si>
    <t xml:space="preserve">mesma pagina de vendas</t>
  </si>
  <si>
    <t xml:space="preserve">mesmo termo na Biblioteca</t>
  </si>
  <si>
    <t xml:space="preserve">ID do criativo</t>
  </si>
  <si>
    <t xml:space="preserve">Link do criativo</t>
  </si>
  <si>
    <t xml:space="preserve">Veiculacao iniciada</t>
  </si>
  <si>
    <t xml:space="preserve">1709135547148649</t>
  </si>
  <si>
    <t xml:space="preserve">anuncio</t>
  </si>
  <si>
    <t xml:space="preserve">15/04/2025</t>
  </si>
  <si>
    <t xml:space="preserve">663145749976219</t>
  </si>
  <si>
    <t xml:space="preserve">1428634915161518</t>
  </si>
  <si>
    <t xml:space="preserve">1352349473058400</t>
  </si>
  <si>
    <t xml:space="preserve">07/11/2025</t>
  </si>
  <si>
    <t xml:space="preserve">863407529970391</t>
  </si>
  <si>
    <t xml:space="preserve">11/12/2025</t>
  </si>
  <si>
    <t xml:space="preserve">1435118811624847</t>
  </si>
  <si>
    <t xml:space="preserve">08/02/2026</t>
  </si>
  <si>
    <t xml:space="preserve">1777067386338991</t>
  </si>
  <si>
    <t xml:space="preserve">01/07/2026</t>
  </si>
  <si>
    <t xml:space="preserve">1080066974349178</t>
  </si>
  <si>
    <t xml:space="preserve">22/07/2026</t>
  </si>
  <si>
    <t xml:space="preserve">1536715551263941</t>
  </si>
  <si>
    <t xml:space="preserve">1788079548857559</t>
  </si>
  <si>
    <t xml:space="preserve">28/08/2026</t>
  </si>
  <si>
    <t xml:space="preserve">2263316144514045</t>
  </si>
  <si>
    <t xml:space="preserve">1609143730696444</t>
  </si>
  <si>
    <t xml:space="preserve">1896609284648902</t>
  </si>
  <si>
    <t xml:space="preserve">941791291734829</t>
  </si>
  <si>
    <t xml:space="preserve">31/08/2026</t>
  </si>
  <si>
    <t xml:space="preserve">1244590731133551</t>
  </si>
  <si>
    <t xml:space="preserve">1588414766277941</t>
  </si>
  <si>
    <t xml:space="preserve">3969590060015031</t>
  </si>
  <si>
    <t xml:space="preserve">01/09/2026</t>
  </si>
  <si>
    <t xml:space="preserve">3469711586522153</t>
  </si>
  <si>
    <t xml:space="preserve">1808375023485352</t>
  </si>
  <si>
    <t xml:space="preserve">2501108650313455</t>
  </si>
  <si>
    <t xml:space="preserve">02/09/2026</t>
  </si>
  <si>
    <t xml:space="preserve">917257397128811</t>
  </si>
  <si>
    <t xml:space="preserve">30/01/2025</t>
  </si>
  <si>
    <t xml:space="preserve">1023550673675761</t>
  </si>
  <si>
    <t xml:space="preserve">29/05/2026</t>
  </si>
  <si>
    <t xml:space="preserve">1481713799929612</t>
  </si>
  <si>
    <t xml:space="preserve">17/06/2026</t>
  </si>
  <si>
    <t xml:space="preserve">1435958288287540</t>
  </si>
  <si>
    <t xml:space="preserve">22/06/2026</t>
  </si>
  <si>
    <t xml:space="preserve">1622766862154166</t>
  </si>
  <si>
    <t xml:space="preserve">1354322349865514</t>
  </si>
  <si>
    <t xml:space="preserve">22/04/2026</t>
  </si>
  <si>
    <t xml:space="preserve">1401478468587799</t>
  </si>
  <si>
    <t xml:space="preserve">25/08/2026</t>
  </si>
  <si>
    <t xml:space="preserve">3514532285389014</t>
  </si>
  <si>
    <t xml:space="preserve">1769707290732626</t>
  </si>
  <si>
    <t xml:space="preserve">1431162878924047</t>
  </si>
  <si>
    <t xml:space="preserve">27/08/2026</t>
  </si>
  <si>
    <t xml:space="preserve">2319243438820750</t>
  </si>
  <si>
    <t xml:space="preserve">2037174746939931</t>
  </si>
  <si>
    <t xml:space="preserve">1388203450084932</t>
  </si>
  <si>
    <t xml:space="preserve">1326870229520439</t>
  </si>
  <si>
    <t xml:space="preserve">1971523880902568</t>
  </si>
  <si>
    <t xml:space="preserve">07/08/2026</t>
  </si>
  <si>
    <t xml:space="preserve">1056884877074087</t>
  </si>
  <si>
    <t xml:space="preserve">1442748831032425</t>
  </si>
  <si>
    <t xml:space="preserve">04/09/2026</t>
  </si>
  <si>
    <t xml:space="preserve">1064507922644275</t>
  </si>
  <si>
    <t xml:space="preserve">29/08/2026</t>
  </si>
  <si>
    <t xml:space="preserve">1871711103791552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</si>
</sst>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&quot;R$ &quot;#,##0"/>
    <numFmt numFmtId="168" formatCode="&quot;R$ &quot;#,##0.0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5B6675"/>
      <name val="Arial"/>
      <family val="0"/>
      <charset val="1"/>
    </font>
    <font>
      <b val="true"/>
      <sz val="9"/>
      <color rgb="FF5B6675"/>
      <name val="Arial"/>
      <family val="0"/>
      <charset val="1"/>
    </font>
    <font>
      <b val="true"/>
      <sz val="22"/>
      <color rgb="FF1F3352"/>
      <name val="Arial"/>
      <family val="0"/>
      <charset val="1"/>
    </font>
    <font>
      <b val="true"/>
      <sz val="13"/>
      <color rgb="FF1F33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E6BE6"/>
      <name val="Arial"/>
      <family val="0"/>
      <charset val="1"/>
    </font>
    <font>
      <b val="true"/>
      <sz val="9"/>
      <color rgb="FF3A4654"/>
      <name val="Arial"/>
      <family val="0"/>
      <charset val="1"/>
    </font>
    <font>
      <sz val="9"/>
      <color rgb="FF3A465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F335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352"/>
        <bgColor rgb="FF003366"/>
      </patternFill>
    </fill>
    <fill>
      <patternFill patternType="solid">
        <fgColor rgb="FFD9E8FF"/>
        <bgColor rgb="FFE8E0FF"/>
      </patternFill>
    </fill>
    <fill>
      <patternFill patternType="solid">
        <fgColor rgb="FFC6EFCE"/>
        <bgColor rgb="FFD6DBE3"/>
      </patternFill>
    </fill>
    <fill>
      <patternFill patternType="solid">
        <fgColor rgb="FFFFE599"/>
        <bgColor rgb="FFFFEB9C"/>
      </patternFill>
    </fill>
    <fill>
      <patternFill patternType="solid">
        <fgColor rgb="FFEEE0FF"/>
        <bgColor rgb="FFE8E0FF"/>
      </patternFill>
    </fill>
    <fill>
      <patternFill patternType="solid">
        <fgColor rgb="FFFFE0E0"/>
        <bgColor rgb="FFEEE0FF"/>
      </patternFill>
    </fill>
    <fill>
      <patternFill patternType="solid">
        <fgColor rgb="FFFFFFFF"/>
        <bgColor rgb="FFF5F6F8"/>
      </patternFill>
    </fill>
    <fill>
      <patternFill patternType="solid">
        <fgColor rgb="FF2E6BE6"/>
        <bgColor rgb="FF0066CC"/>
      </patternFill>
    </fill>
    <fill>
      <patternFill patternType="solid">
        <fgColor rgb="FFF5F6F8"/>
        <bgColor rgb="FFF7F4FF"/>
      </patternFill>
    </fill>
    <fill>
      <patternFill patternType="solid">
        <fgColor rgb="FFEDE7FF"/>
        <bgColor rgb="FFEEE0FF"/>
      </patternFill>
    </fill>
    <fill>
      <patternFill patternType="solid">
        <fgColor rgb="FFF7F4FF"/>
        <bgColor rgb="FFF5F6F8"/>
      </patternFill>
    </fill>
    <fill>
      <patternFill patternType="solid">
        <fgColor rgb="FFD9C9FF"/>
        <bgColor rgb="FFD6DB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BE3"/>
      </left>
      <right style="thin">
        <color rgb="FFD6DBE3"/>
      </right>
      <top style="thin">
        <color rgb="FFD6DBE3"/>
      </top>
      <bottom style="thin">
        <color rgb="FFD6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8">
    <dxf>
      <fill>
        <patternFill patternType="solid">
          <fgColor rgb="FF1F3352"/>
          <bgColor rgb="FF000000"/>
        </patternFill>
      </fill>
    </dxf>
    <dxf>
      <fill>
        <patternFill patternType="solid">
          <fgColor rgb="FFE8E0FF"/>
          <bgColor rgb="FF000000"/>
        </patternFill>
      </fill>
    </dxf>
    <dxf>
      <fill>
        <patternFill patternType="solid">
          <fgColor rgb="FFF5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9C9FF"/>
          <bgColor rgb="FF000000"/>
        </patternFill>
      </fill>
    </dxf>
    <dxf>
      <fill>
        <patternFill patternType="solid">
          <fgColor rgb="FF2E6BE6"/>
          <bgColor rgb="FF000000"/>
        </patternFill>
      </fill>
    </dxf>
    <dxf>
      <fill>
        <patternFill patternType="solid">
          <fgColor rgb="FF4079E7"/>
          <bgColor rgb="FF000000"/>
        </patternFill>
      </fill>
    </dxf>
    <dxf>
      <fill>
        <patternFill patternType="solid">
          <fgColor rgb="FF5286E8"/>
          <bgColor rgb="FF000000"/>
        </patternFill>
      </fill>
    </dxf>
    <dxf>
      <fill>
        <patternFill patternType="solid">
          <fgColor rgb="FF6494E9"/>
          <bgColor rgb="FF000000"/>
        </patternFill>
      </fill>
    </dxf>
    <dxf>
      <fill>
        <patternFill patternType="solid">
          <fgColor rgb="FF76A1EA"/>
          <bgColor rgb="FF000000"/>
        </patternFill>
      </fill>
    </dxf>
    <dxf>
      <fill>
        <patternFill patternType="solid">
          <fgColor rgb="FFCEE1F3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FF5FB"/>
          <bgColor rgb="FF000000"/>
        </patternFill>
      </fill>
    </dxf>
    <dxf>
      <fill>
        <patternFill patternType="solid">
          <fgColor rgb="FFD9E8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ill>
        <patternFill>
          <bgColor rgb="FFD9E8FF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8E0FF"/>
        </patternFill>
      </fill>
    </dxf>
    <dxf>
      <font>
        <name val="Arial"/>
        <charset val="1"/>
        <family val="0"/>
        <b val="1"/>
        <sz val="10"/>
      </font>
      <fill>
        <patternFill>
          <bgColor rgb="FFD9C9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F6F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BE3"/>
      <rgbColor rgb="FF808080"/>
      <rgbColor rgb="FFEDE7FF"/>
      <rgbColor rgb="FF993366"/>
      <rgbColor rgb="FFFFF2CC"/>
      <rgbColor rgb="FFD9E8FF"/>
      <rgbColor rgb="FF660066"/>
      <rgbColor rgb="FFFF8080"/>
      <rgbColor rgb="FF0066CC"/>
      <rgbColor rgb="FFD9C9FF"/>
      <rgbColor rgb="FF000080"/>
      <rgbColor rgb="FFFF00FF"/>
      <rgbColor rgb="FFF7F4FF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8E0FF"/>
      <rgbColor rgb="FFFFE0E0"/>
      <rgbColor rgb="FFEEE0FF"/>
      <rgbColor rgb="FFF4CCCC"/>
      <rgbColor rgb="FF2E6BE6"/>
      <rgbColor rgb="FF33CCCC"/>
      <rgbColor rgb="FF99CC00"/>
      <rgbColor rgb="FFFFE599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3A4654"/>
      <rgbColor rgb="FF1F33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ncadosnoivosonline.com/" TargetMode="External"/><Relationship Id="rId2" Type="http://schemas.openxmlformats.org/officeDocument/2006/relationships/hyperlink" Target="https://bonecasdepapel28.lovable.app/" TargetMode="External"/><Relationship Id="rId3" Type="http://schemas.openxmlformats.org/officeDocument/2006/relationships/hyperlink" Target="https://alldigital.fun/index.php/alma-gemea/" TargetMode="External"/><Relationship Id="rId4" Type="http://schemas.openxmlformats.org/officeDocument/2006/relationships/hyperlink" Target="https://atividade-cursiva.netlify.app/" TargetMode="External"/><Relationship Id="rId5" Type="http://schemas.openxmlformats.org/officeDocument/2006/relationships/hyperlink" Target="https://www.thelittlegenius.com.br/" TargetMode="External"/><Relationship Id="rId6" Type="http://schemas.openxmlformats.org/officeDocument/2006/relationships/hyperlink" Target="https://ballerinalab.com.br/cantigas-da-bailarina" TargetMode="External"/><Relationship Id="rId7" Type="http://schemas.openxmlformats.org/officeDocument/2006/relationships/hyperlink" Target="https://casinhadossonhos.com.br/" TargetMode="External"/><Relationship Id="rId8" Type="http://schemas.openxmlformats.org/officeDocument/2006/relationships/hyperlink" Target="https://clubedapedagogia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ncadosnoivosonline.com/" TargetMode="External"/><Relationship Id="rId2" Type="http://schemas.openxmlformats.org/officeDocument/2006/relationships/hyperlink" Target="https://www.facebook.com/ads/library/?id=1709135547148649" TargetMode="External"/><Relationship Id="rId3" Type="http://schemas.openxmlformats.org/officeDocument/2006/relationships/hyperlink" Target="https://bonecasdepapel28.lovable.app/" TargetMode="External"/><Relationship Id="rId4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5" Type="http://schemas.openxmlformats.org/officeDocument/2006/relationships/hyperlink" Target="https://alldigital.fun/index.php/alma-gemea/" TargetMode="External"/><Relationship Id="rId6" Type="http://schemas.openxmlformats.org/officeDocument/2006/relationships/hyperlink" Target="https://www.facebook.com/ads/library/?active_status=active&amp;ad_type=all&amp;country=BR&amp;q=retrato%20da%20alma%20gemea&amp;search_type=keyword_unordered&amp;media_type=all" TargetMode="External"/><Relationship Id="rId7" Type="http://schemas.openxmlformats.org/officeDocument/2006/relationships/hyperlink" Target="https://atividade-cursiva.netlify.app/" TargetMode="External"/><Relationship Id="rId8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9" Type="http://schemas.openxmlformats.org/officeDocument/2006/relationships/hyperlink" Target="https://www.thelittlegenius.com.br/" TargetMode="External"/><Relationship Id="rId10" Type="http://schemas.openxmlformats.org/officeDocument/2006/relationships/hyperlink" Target="https://www.facebook.com/ads/library/?active_status=active&amp;ad_type=all&amp;country=BR&amp;q=little%20genius&amp;search_type=keyword_unordered&amp;media_type=all" TargetMode="External"/><Relationship Id="rId11" Type="http://schemas.openxmlformats.org/officeDocument/2006/relationships/hyperlink" Target="https://www.facebook.com/ads/library/?active_status=active&amp;ad_type=all&amp;country=BR&amp;q=grafismo%20fonetico&amp;search_type=keyword_unordered&amp;media_type=all" TargetMode="External"/><Relationship Id="rId12" Type="http://schemas.openxmlformats.org/officeDocument/2006/relationships/hyperlink" Target="https://www.facebook.com/ads/library/?active_status=active&amp;ad_type=all&amp;country=BR&amp;q=missa%20em%20atividades&amp;search_type=keyword_unordered&amp;media_type=all" TargetMode="External"/><Relationship Id="rId13" Type="http://schemas.openxmlformats.org/officeDocument/2006/relationships/hyperlink" Target="https://ballerinalab.com.br/cantigas-da-bailarina" TargetMode="External"/><Relationship Id="rId14" Type="http://schemas.openxmlformats.org/officeDocument/2006/relationships/hyperlink" Target="https://www.facebook.com/ads/library/?id=1788079548857559" TargetMode="External"/><Relationship Id="rId15" Type="http://schemas.openxmlformats.org/officeDocument/2006/relationships/hyperlink" Target="https://www.facebook.com/ads/library/?active_status=active&amp;ad_type=all&amp;country=BR&amp;q=coreografias%20prontas&amp;search_type=keyword_unordered&amp;media_type=all" TargetMode="External"/><Relationship Id="rId16" Type="http://schemas.openxmlformats.org/officeDocument/2006/relationships/hyperlink" Target="https://casinhadossonhos.com.br/" TargetMode="External"/><Relationship Id="rId17" Type="http://schemas.openxmlformats.org/officeDocument/2006/relationships/hyperlink" Target="https://www.facebook.com/ads/library/?active_status=active&amp;ad_type=all&amp;country=BR&amp;q=casinha%20dos%20sonhos&amp;search_type=keyword_unordered&amp;media_type=all" TargetMode="External"/><Relationship Id="rId18" Type="http://schemas.openxmlformats.org/officeDocument/2006/relationships/hyperlink" Target="https://www.facebook.com/ads/library/?active_status=active&amp;ad_type=all&amp;country=BR&amp;q=alfa%20kids&amp;search_type=keyword_unordered&amp;media_type=all" TargetMode="External"/><Relationship Id="rId19" Type="http://schemas.openxmlformats.org/officeDocument/2006/relationships/hyperlink" Target="https://clubedapedagogia.com/" TargetMode="External"/><Relationship Id="rId20" Type="http://schemas.openxmlformats.org/officeDocument/2006/relationships/hyperlink" Target="https://www.facebook.com/ads/library/?active_status=active&amp;ad_type=all&amp;country=BR&amp;q=clube%20da%20pedagogia&amp;search_type=keyword_unordered&amp;media_type=all" TargetMode="External"/><Relationship Id="rId21" Type="http://schemas.openxmlformats.org/officeDocument/2006/relationships/hyperlink" Target="https://patriciacavalcante.com.br/combo-10-cursos-de-danca-do-ventre" TargetMode="External"/><Relationship Id="rId22" Type="http://schemas.openxmlformats.org/officeDocument/2006/relationships/hyperlink" Target="https://www.facebook.com/ads/library/?id=917257397128811" TargetMode="External"/><Relationship Id="rId23" Type="http://schemas.openxmlformats.org/officeDocument/2006/relationships/hyperlink" Target="https://shaktistudioonline.com/portal-shakti-club" TargetMode="External"/><Relationship Id="rId24" Type="http://schemas.openxmlformats.org/officeDocument/2006/relationships/hyperlink" Target="https://www.facebook.com/ads/library/?id=1481713799929612" TargetMode="External"/><Relationship Id="rId25" Type="http://schemas.openxmlformats.org/officeDocument/2006/relationships/hyperlink" Target="https://bibliotecainterativa.com/" TargetMode="External"/><Relationship Id="rId26" Type="http://schemas.openxmlformats.org/officeDocument/2006/relationships/hyperlink" Target="https://www.facebook.com/ads/library/?active_status=active&amp;ad_type=all&amp;country=BR&amp;q=mundinho%20de%20papel&amp;search_type=keyword_unordered&amp;media_type=all" TargetMode="External"/><Relationship Id="rId27" Type="http://schemas.openxmlformats.org/officeDocument/2006/relationships/hyperlink" Target="https://conteudos.tutudaju.com/assinatura-de-aulas-tutu-da-ju" TargetMode="External"/><Relationship Id="rId28" Type="http://schemas.openxmlformats.org/officeDocument/2006/relationships/hyperlink" Target="https://www.facebook.com/ads/library/?id=1354322349865514" TargetMode="External"/><Relationship Id="rId29" Type="http://schemas.openxmlformats.org/officeDocument/2006/relationships/hyperlink" Target="http://cursosgratisonline.com.br/" TargetMode="External"/><Relationship Id="rId30" Type="http://schemas.openxmlformats.org/officeDocument/2006/relationships/hyperlink" Target="https://www.facebook.com/ads/library/?active_status=active&amp;ad_type=all&amp;country=BR&amp;q=cursos%20gratis%20online%20certificado&amp;search_type=keyword_unordered&amp;media_type=all" TargetMode="External"/><Relationship Id="rId31" Type="http://schemas.openxmlformats.org/officeDocument/2006/relationships/hyperlink" Target="https://www.facebook.com/ads/library/?active_status=active&amp;ad_type=all&amp;country=BR&amp;q=Google%20Captcha%20ganhar%20dinheiro&amp;search_type=keyword_unordered&amp;media_type=all" TargetMode="External"/><Relationship Id="rId32" Type="http://schemas.openxmlformats.org/officeDocument/2006/relationships/hyperlink" Target="https://www.alfabetinho.com.br/" TargetMode="External"/><Relationship Id="rId33" Type="http://schemas.openxmlformats.org/officeDocument/2006/relationships/hyperlink" Target="https://www.facebook.com/ads/library/?active_status=active&amp;ad_type=all&amp;country=BR&amp;q=alfabetinho&amp;search_type=keyword_unordered&amp;media_type=all" TargetMode="External"/><Relationship Id="rId34" Type="http://schemas.openxmlformats.org/officeDocument/2006/relationships/hyperlink" Target="https://licaokids.com.br/" TargetMode="External"/><Relationship Id="rId35" Type="http://schemas.openxmlformats.org/officeDocument/2006/relationships/hyperlink" Target="https://www.facebook.com/ads/library/?active_status=active&amp;ad_type=all&amp;country=BR&amp;q=licao%20kids&amp;search_type=keyword_unordered&amp;media_type=all" TargetMode="External"/><Relationship Id="rId36" Type="http://schemas.openxmlformats.org/officeDocument/2006/relationships/hyperlink" Target="https://mundocriativobr.shop/" TargetMode="External"/><Relationship Id="rId37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38" Type="http://schemas.openxmlformats.org/officeDocument/2006/relationships/hyperlink" Target="https://pequenasestilistas.com/" TargetMode="External"/><Relationship Id="rId39" Type="http://schemas.openxmlformats.org/officeDocument/2006/relationships/hyperlink" Target="https://www.facebook.com/ads/library/?active_status=active&amp;ad_type=all&amp;country=BR&amp;q=pequenas%20estilistas&amp;search_type=keyword_unordered&amp;media_type=all" TargetMode="External"/><Relationship Id="rId40" Type="http://schemas.openxmlformats.org/officeDocument/2006/relationships/hyperlink" Target="https://www.facebook.com/ads/library/?active_status=active&amp;ad_type=all&amp;country=BR&amp;q=curso%20taxa%20de%20libera&#231;&#227;o&amp;search_type=keyword_unordered&amp;media_type=all" TargetMode="External"/><Relationship Id="rId41" Type="http://schemas.openxmlformats.org/officeDocument/2006/relationships/hyperlink" Target="https://dicionarioemmovimento.site/" TargetMode="External"/><Relationship Id="rId42" Type="http://schemas.openxmlformats.org/officeDocument/2006/relationships/hyperlink" Target="https://www.facebook.com/ads/library/?id=1401478468587799" TargetMode="External"/><Relationship Id="rId43" Type="http://schemas.openxmlformats.org/officeDocument/2006/relationships/hyperlink" Target="https://galeraindica.com.br/ritmado/" TargetMode="External"/><Relationship Id="rId44" Type="http://schemas.openxmlformats.org/officeDocument/2006/relationships/hyperlink" Target="https://www.facebook.com/ads/library/?id=1431162878924047" TargetMode="External"/><Relationship Id="rId45" Type="http://schemas.openxmlformats.org/officeDocument/2006/relationships/hyperlink" Target="https://thesoulmatesketcher.com/pt" TargetMode="External"/><Relationship Id="rId46" Type="http://schemas.openxmlformats.org/officeDocument/2006/relationships/hyperlink" Target="https://www.facebook.com/ads/library/?active_status=active&amp;ad_type=all&amp;country=ALL&amp;q=soulmate%20sketch&amp;search_type=keyword_unordered&amp;media_type=all" TargetMode="External"/><Relationship Id="rId47" Type="http://schemas.openxmlformats.org/officeDocument/2006/relationships/hyperlink" Target="https://www.facebook.com/ads/library/?active_status=active&amp;ad_type=all&amp;country=BR&amp;q=abrir%20mei%20online&amp;search_type=keyword_unordered&amp;media_type=all" TargetMode="External"/><Relationship Id="rId48" Type="http://schemas.openxmlformats.org/officeDocument/2006/relationships/hyperlink" Target="http://certificadocursosonline.com/" TargetMode="External"/><Relationship Id="rId49" Type="http://schemas.openxmlformats.org/officeDocument/2006/relationships/hyperlink" Target="https://www.facebook.com/ads/library/?active_status=active&amp;ad_type=all&amp;country=BR&amp;q=certificado%20curso%20online&amp;search_type=keyword_unordered&amp;media_type=all" TargetMode="External"/><Relationship Id="rId50" Type="http://schemas.openxmlformats.org/officeDocument/2006/relationships/hyperlink" Target="https://www.facebook.com/ads/library/?active_status=active&amp;ad_type=all&amp;country=BR&amp;q=do%20rabisco%20a%20letra%20bonita&amp;search_type=keyword_unordered&amp;media_type=all" TargetMode="External"/><Relationship Id="rId51" Type="http://schemas.openxmlformats.org/officeDocument/2006/relationships/hyperlink" Target="https://dinamicadeballet.netlify.app/" TargetMode="External"/><Relationship Id="rId52" Type="http://schemas.openxmlformats.org/officeDocument/2006/relationships/hyperlink" Target="https://www.facebook.com/ads/library/?id=1388203450084932" TargetMode="External"/><Relationship Id="rId53" Type="http://schemas.openxmlformats.org/officeDocument/2006/relationships/hyperlink" Target="https://par-sketch.app/" TargetMode="External"/><Relationship Id="rId54" Type="http://schemas.openxmlformats.org/officeDocument/2006/relationships/hyperlink" Target="https://www.facebook.com/ads/library/?active_status=active&amp;ad_type=all&amp;country=BR&amp;q=rosto%20da%20sua%20alma%20gemea&amp;search_type=keyword_unordered&amp;media_type=all" TargetMode="External"/><Relationship Id="rId55" Type="http://schemas.openxmlformats.org/officeDocument/2006/relationships/hyperlink" Target="https://brumdance.com.br/3em1/" TargetMode="External"/><Relationship Id="rId56" Type="http://schemas.openxmlformats.org/officeDocument/2006/relationships/hyperlink" Target="https://www.facebook.com/ads/library/?id=1971523880902568" TargetMode="External"/><Relationship Id="rId57" Type="http://schemas.openxmlformats.org/officeDocument/2006/relationships/hyperlink" Target="https://www.facebook.com/ads/library/?active_status=active&amp;ad_type=all&amp;country=BR&amp;q=arquivos%20STL%20impressao%203D&amp;search_type=keyword_unordered&amp;media_type=all" TargetMode="External"/><Relationship Id="rId58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59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60" Type="http://schemas.openxmlformats.org/officeDocument/2006/relationships/hyperlink" Target="https://www.facebook.com/ads/library/?active_status=active&amp;ad_type=all&amp;country=BR&amp;q=certifica%20brasil&amp;search_type=keyword_unordered&amp;media_type=all" TargetMode="External"/><Relationship Id="rId61" Type="http://schemas.openxmlformats.org/officeDocument/2006/relationships/hyperlink" Target="https://dancalouvor.com/" TargetMode="External"/><Relationship Id="rId62" Type="http://schemas.openxmlformats.org/officeDocument/2006/relationships/hyperlink" Target="https://www.facebook.com/ads/library/?id=1056884877074087" TargetMode="External"/><Relationship Id="rId63" Type="http://schemas.openxmlformats.org/officeDocument/2006/relationships/hyperlink" Target="https://www.facebook.com/ads/library/?active_status=active&amp;ad_type=all&amp;country=BR&amp;q=curso%20gratuito%20com%20certificado&amp;search_type=keyword_unordered&amp;media_type=all" TargetMode="External"/><Relationship Id="rId64" Type="http://schemas.openxmlformats.org/officeDocument/2006/relationships/hyperlink" Target="https://www.facebook.com/ads/library/?active_status=active&amp;ad_type=all&amp;country=BR&amp;q=Hin&#225;rio%20em%20Movimento&amp;search_type=keyword_unordered&amp;media_type=all" TargetMode="External"/><Relationship Id="rId65" Type="http://schemas.openxmlformats.org/officeDocument/2006/relationships/hyperlink" Target="https://www.facebook.com/ads/library/?active_status=active&amp;ad_type=all&amp;country=BR&amp;q=abrir%20mei%20segunda%20via%20certidao&amp;search_type=keyword_unordered&amp;media_type=all" TargetMode="External"/><Relationship Id="rId66" Type="http://schemas.openxmlformats.org/officeDocument/2006/relationships/hyperlink" Target="https://www.facebook.com/ads/library/?active_status=active&amp;ad_type=all&amp;country=BR&amp;q=Music%20Creator%20Pro&amp;search_type=keyword_unordered&amp;media_type=all" TargetMode="External"/><Relationship Id="rId67" Type="http://schemas.openxmlformats.org/officeDocument/2006/relationships/hyperlink" Target="https://treinotrinca.com.br/" TargetMode="External"/><Relationship Id="rId68" Type="http://schemas.openxmlformats.org/officeDocument/2006/relationships/hyperlink" Target="https://www.facebook.com/ads/library/?active_status=active&amp;ad_type=all&amp;country=BR&amp;q=Treino%20Trinca&amp;search_type=keyword_unordered&amp;media_type=all" TargetMode="External"/><Relationship Id="rId69" Type="http://schemas.openxmlformats.org/officeDocument/2006/relationships/hyperlink" Target="https://www.facebook.com/ads/library/?active_status=active&amp;ad_type=all&amp;country=BR&amp;q=convites%20de%20casamento%20edit&#225;veis&amp;search_type=keyword_unordered&amp;media_type=all" TargetMode="External"/><Relationship Id="rId70" Type="http://schemas.openxmlformats.org/officeDocument/2006/relationships/hyperlink" Target="https://www.facebook.com/ads/library/?active_status=active&amp;ad_type=all&amp;country=BR&amp;q=unlovable&amp;search_type=keyword_unordered&amp;media_type=all" TargetMode="External"/><Relationship Id="rId71" Type="http://schemas.openxmlformats.org/officeDocument/2006/relationships/hyperlink" Target="https://www.facebook.com/ads/library/?active_status=active&amp;ad_type=all&amp;country=BR&amp;q=massagem%20t&#226;ntrica%20curso&amp;search_type=keyword_unordered&amp;media_type=all" TargetMode="External"/><Relationship Id="rId72" Type="http://schemas.openxmlformats.org/officeDocument/2006/relationships/hyperlink" Target="https://www.facebook.com/ads/library/?active_status=active&amp;ad_type=all&amp;country=BR&amp;q=Teacher%20ZAP&amp;search_type=keyword_unordered&amp;media_type=all" TargetMode="External"/><Relationship Id="rId73" Type="http://schemas.openxmlformats.org/officeDocument/2006/relationships/hyperlink" Target="https://quiz.forrozeirodozero.com.br/" TargetMode="External"/><Relationship Id="rId74" Type="http://schemas.openxmlformats.org/officeDocument/2006/relationships/hyperlink" Target="https://www.facebook.com/ads/library/?id=1064507922644275" TargetMode="External"/><Relationship Id="rId75" Type="http://schemas.openxmlformats.org/officeDocument/2006/relationships/hyperlink" Target="https://www.facebook.com/ads/library/?active_status=active&amp;ad_type=all&amp;country=BR&amp;q=INSTALADOR%20ROB&#212;%20PRONTO%202.0&amp;search_type=keyword_unordered&amp;media_type=all" TargetMode="External"/><Relationship Id="rId76" Type="http://schemas.openxmlformats.org/officeDocument/2006/relationships/hyperlink" Target="https://papelmagicobr.netlify.app/" TargetMode="External"/><Relationship Id="rId77" Type="http://schemas.openxmlformats.org/officeDocument/2006/relationships/hyperlink" Target="https://www.facebook.com/ads/library/?active_status=active&amp;ad_type=all&amp;country=BR&amp;q=%2B350%20Bonecas%20de%20Papel&amp;search_type=keyword_unordered&amp;media_type=all" TargetMode="External"/><Relationship Id="rId78" Type="http://schemas.openxmlformats.org/officeDocument/2006/relationships/hyperlink" Target="https://pedescalcomkt.com.br/forro-zero/" TargetMode="External"/><Relationship Id="rId79" Type="http://schemas.openxmlformats.org/officeDocument/2006/relationships/hyperlink" Target="https://www.facebook.com/ads/library/?active_status=active&amp;ad_type=all&amp;country=BR&amp;q=aprender%20forr&#243;&amp;search_type=keyword_unordered&amp;media_type=all" TargetMode="External"/><Relationship Id="rId80" Type="http://schemas.openxmlformats.org/officeDocument/2006/relationships/hyperlink" Target="https://www.facebook.com/ads/library/?active_status=active&amp;ad_type=all&amp;country=BR&amp;q=crian&#231;a%20viciada%20celular&amp;search_type=keyword_unordered&amp;media_type=all" TargetMode="External"/><Relationship Id="rId81" Type="http://schemas.openxmlformats.org/officeDocument/2006/relationships/hyperlink" Target="https://www.facebook.com/ads/library/?active_status=active&amp;ad_type=all&amp;country=BR&amp;q=orcamento%20eletricista%20app&amp;search_type=keyword_unordered&amp;media_type=all" TargetMode="External"/><Relationship Id="rId82" Type="http://schemas.openxmlformats.org/officeDocument/2006/relationships/hyperlink" Target="https://www.facebook.com/ads/library/?active_status=active&amp;ad_type=all&amp;country=BR&amp;q=apostila%20de%20croche&amp;search_type=keyword_unordered&amp;media_type=all" TargetMode="External"/><Relationship Id="rId83" Type="http://schemas.openxmlformats.org/officeDocument/2006/relationships/hyperlink" Target="https://www.facebook.com/ads/library/?active_status=active&amp;ad_type=all&amp;country=BR&amp;q=atividades%20imprimiveis%20professor&amp;search_type=keyword_unordered&amp;media_type=all" TargetMode="External"/><Relationship Id="rId84" Type="http://schemas.openxmlformats.org/officeDocument/2006/relationships/hyperlink" Target="https://www.facebook.com/ads/library/?active_status=active&amp;ad_type=all&amp;country=BR&amp;q=meu%20filho%20tem%20TDAH&amp;search_type=keyword_unordered&amp;media_type=all" TargetMode="External"/><Relationship Id="rId85" Type="http://schemas.openxmlformats.org/officeDocument/2006/relationships/hyperlink" Target="https://www.facebook.com/ads/library/?active_status=active&amp;ad_type=all&amp;country=BR&amp;q=renderizador%20de%20imagem%20IA&amp;search_type=keyword_unordered&amp;media_type=all" TargetMode="External"/><Relationship Id="rId86" Type="http://schemas.openxmlformats.org/officeDocument/2006/relationships/hyperlink" Target="https://www.stalkea.ai/" TargetMode="External"/><Relationship Id="rId87" Type="http://schemas.openxmlformats.org/officeDocument/2006/relationships/hyperlink" Target="https://www.facebook.com/ads/library/?active_status=active&amp;ad_type=all&amp;country=BR&amp;q=Stalkea&amp;search_type=keyword_unordered&amp;media_type=all" TargetMode="External"/><Relationship Id="rId88" Type="http://schemas.openxmlformats.org/officeDocument/2006/relationships/hyperlink" Target="https://www.facebook.com/ads/library/?active_status=active&amp;ad_type=all&amp;country=BR&amp;q=AUKS%20bot&amp;search_type=keyword_unordered&amp;media_type=all" TargetMode="External"/><Relationship Id="rId89" Type="http://schemas.openxmlformats.org/officeDocument/2006/relationships/hyperlink" Target="https://www.facebook.com/ads/library/?active_status=active&amp;ad_type=all&amp;country=BR&amp;q=Cafe%20Premium%20Barista%20Academy&amp;search_type=keyword_unordered&amp;media_type=all" TargetMode="External"/><Relationship Id="rId90" Type="http://schemas.openxmlformats.org/officeDocument/2006/relationships/hyperlink" Target="https://www.facebook.com/ads/library/?active_status=active&amp;ad_type=all&amp;country=BR&amp;q=Foto%20com%20pet%20gerada%20por%20IA&amp;search_type=keyword_unordered&amp;media_type=all" TargetMode="External"/><Relationship Id="rId91" Type="http://schemas.openxmlformats.org/officeDocument/2006/relationships/hyperlink" Target="https://www.facebook.com/ads/library/?active_status=active&amp;ad_type=all&amp;country=BR&amp;q=magia%20amorosa%20hoodoo%20curso&amp;search_type=keyword_unordered&amp;media_type=all" TargetMode="External"/><Relationship Id="rId92" Type="http://schemas.openxmlformats.org/officeDocument/2006/relationships/hyperlink" Target="https://parabolaskids.com.br/" TargetMode="External"/><Relationship Id="rId93" Type="http://schemas.openxmlformats.org/officeDocument/2006/relationships/hyperlink" Target="https://www.facebook.com/ads/library/?active_status=active&amp;ad_type=all&amp;country=BR&amp;q=Par&#225;bolas%20Kids&amp;search_type=keyword_unordered&amp;media_type=all" TargetMode="External"/><Relationship Id="rId94" Type="http://schemas.openxmlformats.org/officeDocument/2006/relationships/hyperlink" Target="https://www.facebook.com/ads/library/?active_status=active&amp;ad_type=all&amp;country=BR&amp;q=novelas%20turcas%20dubladas&amp;search_type=keyword_unordered&amp;media_type=all" TargetMode="External"/><Relationship Id="rId95" Type="http://schemas.openxmlformats.org/officeDocument/2006/relationships/hyperlink" Target="https://auladesplugada.netlify.app/" TargetMode="External"/><Relationship Id="rId96" Type="http://schemas.openxmlformats.org/officeDocument/2006/relationships/hyperlink" Target="https://www.facebook.com/ads/library/?active_status=active&amp;ad_type=all&amp;country=BR&amp;q=Aula%20Desplugada&amp;search_type=keyword_unordered&amp;media_type=all" TargetMode="External"/><Relationship Id="rId97" Type="http://schemas.openxmlformats.org/officeDocument/2006/relationships/hyperlink" Target="https://www.facebook.com/ads/library/?active_status=active&amp;ad_type=all&amp;country=BR&amp;q=Carross&#233;is%20Magn&#233;ticos&amp;search_type=keyword_unordered&amp;media_type=all" TargetMode="External"/><Relationship Id="rId98" Type="http://schemas.openxmlformats.org/officeDocument/2006/relationships/hyperlink" Target="https://www.facebook.com/ads/library/?active_status=active&amp;ad_type=all&amp;country=BR&amp;q=Rob&#244;%20Hacker%20Book&amp;search_type=keyword_unordered&amp;media_type=all" TargetMode="External"/><Relationship Id="rId99" Type="http://schemas.openxmlformats.org/officeDocument/2006/relationships/hyperlink" Target="https://www.facebook.com/ads/library/?active_status=active&amp;ad_type=all&amp;country=BR&amp;q=autismo%20atividades%20crian&#231;a&amp;search_type=keyword_unordered&amp;media_type=all" TargetMode="External"/><Relationship Id="rId100" Type="http://schemas.openxmlformats.org/officeDocument/2006/relationships/hyperlink" Target="https://www.facebook.com/ads/library/?active_status=active&amp;ad_type=all&amp;country=BR&amp;q=f&#225;brica%20de%20low%20ticket&amp;search_type=keyword_unordered&amp;media_type=all" TargetMode="External"/><Relationship Id="rId101" Type="http://schemas.openxmlformats.org/officeDocument/2006/relationships/hyperlink" Target="https://www.facebook.com/ads/library/?active_status=active&amp;ad_type=all&amp;country=BR&amp;q=lowzap&amp;search_type=keyword_unordered&amp;media_type=all" TargetMode="External"/><Relationship Id="rId102" Type="http://schemas.openxmlformats.org/officeDocument/2006/relationships/hyperlink" Target="https://imperdivel.ofertaslimitadasmaterial.shop/" TargetMode="External"/><Relationship Id="rId103" Type="http://schemas.openxmlformats.org/officeDocument/2006/relationships/hyperlink" Target="https://www.facebook.com/ads/library/?active_status=active&amp;ad_type=all&amp;country=BR&amp;q=Desafio%2021%20Dias%20com%20Deus&amp;search_type=keyword_unordered&amp;media_type=all" TargetMode="External"/><Relationship Id="rId104" Type="http://schemas.openxmlformats.org/officeDocument/2006/relationships/hyperlink" Target="https://www.facebook.com/ads/library/?active_status=active&amp;ad_type=all&amp;country=BR&amp;q=App%20de%20hist&#243;rias&amp;search_type=keyword_unordered&amp;media_type=all" TargetMode="External"/><Relationship Id="rId105" Type="http://schemas.openxmlformats.org/officeDocument/2006/relationships/hyperlink" Target="https://www.facebook.com/ads/library/?active_status=active&amp;ad_type=all&amp;country=BR&amp;q=beb&#234;%20dormir%20noite%20toda&amp;search_type=keyword_unordered&amp;media_type=all" TargetMode="External"/><Relationship Id="rId106" Type="http://schemas.openxmlformats.org/officeDocument/2006/relationships/hyperlink" Target="https://www.facebook.com/ads/library/?active_status=active&amp;ad_type=all&amp;country=BR&amp;q=birra%20crian&#231;a&amp;search_type=keyword_unordered&amp;media_type=all" TargetMode="External"/><Relationship Id="rId107" Type="http://schemas.openxmlformats.org/officeDocument/2006/relationships/hyperlink" Target="https://desafioromanos.stefannymartinez.com.br/" TargetMode="External"/><Relationship Id="rId108" Type="http://schemas.openxmlformats.org/officeDocument/2006/relationships/hyperlink" Target="https://www.facebook.com/ads/library/?active_status=active&amp;ad_type=all&amp;country=BR&amp;q=Stefanny%20Martinez&amp;search_type=keyword_unordered&amp;media_type=all" TargetMode="External"/><Relationship Id="rId109" Type="http://schemas.openxmlformats.org/officeDocument/2006/relationships/hyperlink" Target="https://kit-300aulas-edfisica.netlify.app/" TargetMode="External"/><Relationship Id="rId110" Type="http://schemas.openxmlformats.org/officeDocument/2006/relationships/hyperlink" Target="https://www.facebook.com/ads/library/?active_status=active&amp;ad_type=all&amp;country=BR&amp;q=Kit%20300%20Aulas%20Prontas%20de%20Educa&#231;&#227;o%20F&#237;sica&amp;search_type=keyword_unordered&amp;media_type=all" TargetMode="External"/><Relationship Id="rId111" Type="http://schemas.openxmlformats.org/officeDocument/2006/relationships/hyperlink" Target="https://tracohome.com.br/" TargetMode="External"/><Relationship Id="rId112" Type="http://schemas.openxmlformats.org/officeDocument/2006/relationships/hyperlink" Target="https://www.facebook.com/ads/library/?active_status=active&amp;ad_type=all&amp;country=BR&amp;q=Desafio%2021%20Dias%20com%20Deus&amp;search_type=keyword_unordered&amp;media_type=all" TargetMode="External"/><Relationship Id="rId113" Type="http://schemas.openxmlformats.org/officeDocument/2006/relationships/hyperlink" Target="https://bibliotecadoconcurseiro.site/" TargetMode="External"/><Relationship Id="rId114" Type="http://schemas.openxmlformats.org/officeDocument/2006/relationships/hyperlink" Target="https://www.facebook.com/ads/library/?active_status=active&amp;ad_type=all&amp;country=BR&amp;q=Biblioteca%20do%20Concurseiro&amp;search_type=keyword_unordered&amp;media_type=all" TargetMode="External"/><Relationship Id="rId115" Type="http://schemas.openxmlformats.org/officeDocument/2006/relationships/hyperlink" Target="https://www.facebook.com/ads/library/?active_status=active&amp;ad_type=all&amp;country=BR&amp;q=alfabetiza&#231;&#227;o%20em%20casa&amp;search_type=keyword_unordered&amp;media_type=all" TargetMode="External"/><Relationship Id="rId116" Type="http://schemas.openxmlformats.org/officeDocument/2006/relationships/hyperlink" Target="https://www.facebook.com/ads/library/?active_status=active&amp;ad_type=all&amp;country=BR&amp;q=app%20do%20paiz&#227;o&amp;search_type=keyword_unordered&amp;media_type=all" TargetMode="External"/><Relationship Id="rId117" Type="http://schemas.openxmlformats.org/officeDocument/2006/relationships/hyperlink" Target="https://www.facebook.com/ads/library/?active_status=active&amp;ad_type=all&amp;country=BR&amp;q=desafio%20treino%20plano%20alimentar%20anamnese&amp;search_type=keyword_unordered&amp;media_type=all" TargetMode="External"/><Relationship Id="rId118" Type="http://schemas.openxmlformats.org/officeDocument/2006/relationships/hyperlink" Target="https://www.facebook.com/ads/library/?active_status=active&amp;ad_type=all&amp;country=BR&amp;q=parar%20de%20gritar%20filho&amp;search_type=keyword_unordered&amp;media_type=all" TargetMode="External"/><Relationship Id="rId119" Type="http://schemas.openxmlformats.org/officeDocument/2006/relationships/hyperlink" Target="https://www.desafio30diascomdeus.online/" TargetMode="External"/><Relationship Id="rId120" Type="http://schemas.openxmlformats.org/officeDocument/2006/relationships/hyperlink" Target="https://www.facebook.com/ads/library/?active_status=active&amp;ad_type=all&amp;country=BR&amp;q=Desafio%2030%20Dias%20com%20Deus&amp;search_type=keyword_unordered&amp;media_type=all" TargetMode="External"/><Relationship Id="rId121" Type="http://schemas.openxmlformats.org/officeDocument/2006/relationships/hyperlink" Target="https://ebook.desintoxicacaodigital.com.br/" TargetMode="External"/><Relationship Id="rId122" Type="http://schemas.openxmlformats.org/officeDocument/2006/relationships/hyperlink" Target="https://www.facebook.com/ads/library/?active_status=active&amp;ad_type=all&amp;country=BR&amp;q=crian&#231;a%20viciada%20celular&amp;search_type=keyword_unordered&amp;media_type=all" TargetMode="External"/><Relationship Id="rId123" Type="http://schemas.openxmlformats.org/officeDocument/2006/relationships/hyperlink" Target="https://ebook.domandoateimosia.com/" TargetMode="External"/><Relationship Id="rId124" Type="http://schemas.openxmlformats.org/officeDocument/2006/relationships/hyperlink" Target="https://www.facebook.com/ads/library/?active_status=active&amp;ad_type=all&amp;country=BR&amp;q=Domando%20a%20Teimosia&amp;search_type=keyword_unordered&amp;media_type=all" TargetMode="External"/><Relationship Id="rId125" Type="http://schemas.openxmlformats.org/officeDocument/2006/relationships/hyperlink" Target="https://hotmart.com/pt-br/marketplace/produtos/hagsx-cura-da-alma-devocional-diario-para-curar-traumas-e-feridas-do-passado-4ktcx/P85285936W" TargetMode="External"/><Relationship Id="rId126" Type="http://schemas.openxmlformats.org/officeDocument/2006/relationships/hyperlink" Target="https://www.facebook.com/ads/library/?active_status=active&amp;ad_type=all&amp;country=BR&amp;q=cura%20da%20alma%20devocional&amp;search_type=keyword_unordered&amp;media_type=all" TargetMode="External"/><Relationship Id="rId127" Type="http://schemas.openxmlformats.org/officeDocument/2006/relationships/hyperlink" Target="https://hotmart.com/pt-br/marketplace/produtos/devocional-15-dias-para-quem-sofre-de-ansiedade/F96615361N" TargetMode="External"/><Relationship Id="rId128" Type="http://schemas.openxmlformats.org/officeDocument/2006/relationships/hyperlink" Target="https://www.facebook.com/ads/library/?active_status=active&amp;ad_type=all&amp;country=BR&amp;q=devocional%20ansiedade&amp;search_type=keyword_unordered&amp;media_type=all" TargetMode="External"/><Relationship Id="rId129" Type="http://schemas.openxmlformats.org/officeDocument/2006/relationships/hyperlink" Target="https://hotmart.com/pt-br/marketplace/produtos/devocional-com-proposito-para-mulheres-30-dias-de-cura-interior/P102090014T" TargetMode="External"/><Relationship Id="rId130" Type="http://schemas.openxmlformats.org/officeDocument/2006/relationships/hyperlink" Target="https://www.facebook.com/ads/library/?active_status=active&amp;ad_type=all&amp;country=BR&amp;q=cura%20interior%20mulheres&amp;search_type=keyword_unordered&amp;media_type=all" TargetMode="External"/><Relationship Id="rId131" Type="http://schemas.openxmlformats.org/officeDocument/2006/relationships/hyperlink" Target="https://mulheresnosecreto.com.br/renovacao/" TargetMode="External"/><Relationship Id="rId132" Type="http://schemas.openxmlformats.org/officeDocument/2006/relationships/hyperlink" Target="https://www.facebook.com/ads/library/?active_status=active&amp;ad_type=all&amp;country=BR&amp;q=Mulheres%20no%20Secreto&amp;search_type=keyword_unordered&amp;media_type=all" TargetMode="External"/><Relationship Id="rId133" Type="http://schemas.openxmlformats.org/officeDocument/2006/relationships/hyperlink" Target="https://pipoeduca.com/" TargetMode="External"/><Relationship Id="rId134" Type="http://schemas.openxmlformats.org/officeDocument/2006/relationships/hyperlink" Target="https://www.facebook.com/ads/library/?active_status=active&amp;ad_type=all&amp;country=BR&amp;q=NeuroOctoMusical&amp;search_type=keyword_unordered&amp;media_type=all" TargetMode="External"/><Relationship Id="rId135" Type="http://schemas.openxmlformats.org/officeDocument/2006/relationships/hyperlink" Target="https://www.facebook.com/ads/library/?active_status=active&amp;ad_type=all&amp;country=BR&amp;q=Trendly&amp;search_type=keyword_unordered&amp;media_type=all" TargetMode="External"/><Relationship Id="rId136" Type="http://schemas.openxmlformats.org/officeDocument/2006/relationships/hyperlink" Target="https://virtudeplena.com/desafio/" TargetMode="External"/><Relationship Id="rId137" Type="http://schemas.openxmlformats.org/officeDocument/2006/relationships/hyperlink" Target="https://www.facebook.com/ads/library/?active_status=active&amp;ad_type=all&amp;country=BR&amp;q=Virtude%20Plena&amp;search_type=keyword_unordered&amp;media_type=all" TargetMode="External"/><Relationship Id="rId138" Type="http://schemas.openxmlformats.org/officeDocument/2006/relationships/hyperlink" Target="https://loopyz.com.br/" TargetMode="External"/><Relationship Id="rId139" Type="http://schemas.openxmlformats.org/officeDocument/2006/relationships/hyperlink" Target="https://www.facebook.com/ads/library/?active_status=active&amp;ad_type=all&amp;country=BR&amp;q=Loopyz&amp;search_type=keyword_unordered&amp;media_type=all" TargetMode="External"/><Relationship Id="rId140" Type="http://schemas.openxmlformats.org/officeDocument/2006/relationships/hyperlink" Target="https://pay.hotmart.com/R89696248N" TargetMode="External"/><Relationship Id="rId141" Type="http://schemas.openxmlformats.org/officeDocument/2006/relationships/hyperlink" Target="https://www.facebook.com/ads/library/?active_status=active&amp;ad_type=all&amp;country=BR&amp;q=regula&#231;&#227;o%20emocional%20infantil&amp;search_type=keyword_unordered&amp;media_type=all" TargetMode="External"/><Relationship Id="rId142" Type="http://schemas.openxmlformats.org/officeDocument/2006/relationships/hyperlink" Target="http://playvideospremiados.com/" TargetMode="External"/><Relationship Id="rId143" Type="http://schemas.openxmlformats.org/officeDocument/2006/relationships/hyperlink" Target="https://www.facebook.com/ads/library/?active_status=active&amp;ad_type=all&amp;country=BR&amp;q=assistir%20videos%20e%20ganhar%20dinheiro&amp;search_type=keyword_unordered&amp;media_type=all" TargetMode="External"/><Relationship Id="rId144" Type="http://schemas.openxmlformats.org/officeDocument/2006/relationships/hyperlink" Target="https://www.facebook.com/ads/library/?active_status=active&amp;ad_type=all&amp;country=BR&amp;q=Do%20Zero%20&#224;%20Monetiza&#231;&#227;o%20no%20YouTube&amp;search_type=keyword_unordered&amp;media_type=all" TargetMode="External"/><Relationship Id="rId145" Type="http://schemas.openxmlformats.org/officeDocument/2006/relationships/hyperlink" Target="https://www.facebook.com/ads/library/?active_status=active&amp;ad_type=all&amp;country=BR&amp;q=LottoApp&amp;search_type=keyword_unordered&amp;media_type=all" TargetMode="External"/><Relationship Id="rId146" Type="http://schemas.openxmlformats.org/officeDocument/2006/relationships/hyperlink" Target="https://www.facebook.com/ads/library/?active_status=active&amp;ad_type=all&amp;country=BR&amp;q=Shop%20Cash&amp;search_type=keyword_unordered&amp;media_type=all" TargetMode="External"/><Relationship Id="rId147" Type="http://schemas.openxmlformats.org/officeDocument/2006/relationships/hyperlink" Target="https://www.facebook.com/ads/library/?active_status=active&amp;ad_type=all&amp;country=BR&amp;q=curso%20AIVA&amp;search_type=keyword_unordered&amp;media_type=all" TargetMode="External"/><Relationship Id="rId148" Type="http://schemas.openxmlformats.org/officeDocument/2006/relationships/hyperlink" Target="https://www.facebook.com/ads/library/?active_status=active&amp;ad_type=all&amp;country=BR&amp;q=script%20da%20banca%20concurso&amp;search_type=keyword_unordered&amp;media_type=all" TargetMode="External"/><Relationship Id="rId149" Type="http://schemas.openxmlformats.org/officeDocument/2006/relationships/hyperlink" Target="https://comportamentopositivo.com/positiva/" TargetMode="External"/><Relationship Id="rId150" Type="http://schemas.openxmlformats.org/officeDocument/2006/relationships/hyperlink" Target="https://www.facebook.com/ads/library/?active_status=active&amp;ad_type=all&amp;country=BR&amp;q=disciplina%20positiva&amp;search_type=keyword_unordered&amp;media_type=all" TargetMode="External"/><Relationship Id="rId151" Type="http://schemas.openxmlformats.org/officeDocument/2006/relationships/hyperlink" Target="https://gestoria.site/" TargetMode="External"/><Relationship Id="rId152" Type="http://schemas.openxmlformats.org/officeDocument/2006/relationships/hyperlink" Target="https://www.facebook.com/ads/library/?active_status=active&amp;ad_type=all&amp;country=BR&amp;q=Gestor%20IA&amp;search_type=keyword_unordered&amp;media_type=all" TargetMode="External"/><Relationship Id="rId153" Type="http://schemas.openxmlformats.org/officeDocument/2006/relationships/hyperlink" Target="https://tdah.soescola.com/" TargetMode="External"/><Relationship Id="rId154" Type="http://schemas.openxmlformats.org/officeDocument/2006/relationships/hyperlink" Target="https://www.facebook.com/ads/library/?active_status=active&amp;ad_type=all&amp;country=BR&amp;q=TDAH%20infantil%20atividades&amp;search_type=keyword_unordered&amp;media_type=all" TargetMode="External"/><Relationship Id="rId155" Type="http://schemas.openxmlformats.org/officeDocument/2006/relationships/hyperlink" Target="https://kitsoescola.com/autismo/" TargetMode="External"/><Relationship Id="rId156" Type="http://schemas.openxmlformats.org/officeDocument/2006/relationships/hyperlink" Target="https://www.facebook.com/ads/library/?active_status=active&amp;ad_type=all&amp;country=BR&amp;q=autismo%20atividades%20crian&#231;a&amp;search_type=keyword_unordered&amp;media_type=all" TargetMode="External"/><Relationship Id="rId157" Type="http://schemas.openxmlformats.org/officeDocument/2006/relationships/hyperlink" Target="https://academiadoautismo.com.br/tea-sem-crise/" TargetMode="External"/><Relationship Id="rId158" Type="http://schemas.openxmlformats.org/officeDocument/2006/relationships/hyperlink" Target="https://www.facebook.com/ads/library/?active_status=active&amp;ad_type=all&amp;country=BR&amp;q=TEA%20Sem%20Crise&amp;search_type=keyword_unordered&amp;media_type=all" TargetMode="External"/><Relationship Id="rId159" Type="http://schemas.openxmlformats.org/officeDocument/2006/relationships/hyperlink" Target="https://www.facebook.com/ads/library/?active_status=active&amp;ad_type=all&amp;country=BR&amp;q=LiveGo%20Pro&amp;search_type=keyword_unordered&amp;media_type=all" TargetMode="External"/><Relationship Id="rId160" Type="http://schemas.openxmlformats.org/officeDocument/2006/relationships/hyperlink" Target="https://www.facebook.com/ads/library/?active_status=active&amp;ad_type=all&amp;country=BR&amp;q=biblia%20gratis%20frete&amp;search_type=keyword_unordered&amp;media_type=all" TargetMode="External"/><Relationship Id="rId161" Type="http://schemas.openxmlformats.org/officeDocument/2006/relationships/hyperlink" Target="https://saradasparasarar.kpages.online/nova-pagina-f6122b44-533a-4f97-bc16-1537ce559d68-1537900276" TargetMode="External"/><Relationship Id="rId162" Type="http://schemas.openxmlformats.org/officeDocument/2006/relationships/hyperlink" Target="https://www.facebook.com/ads/library/?active_status=active&amp;ad_type=all&amp;country=BR&amp;q=Saradas%20para%20Sarar&amp;search_type=keyword_unordered&amp;media_type=all" TargetMode="External"/><Relationship Id="rId163" Type="http://schemas.openxmlformats.org/officeDocument/2006/relationships/hyperlink" Target="https://www.facebook.com/ads/library/?active_status=active&amp;ad_type=all&amp;country=BR&amp;q=mounjaro%20natural%20caseiro&amp;search_type=keyword_unordered&amp;media_type=all" TargetMode="External"/><Relationship Id="rId164" Type="http://schemas.openxmlformats.org/officeDocument/2006/relationships/hyperlink" Target="https://planosdeaula.netlify.app/" TargetMode="External"/><Relationship Id="rId165" Type="http://schemas.openxmlformats.org/officeDocument/2006/relationships/hyperlink" Target="https://www.facebook.com/ads/library/?active_status=active&amp;ad_type=all&amp;country=BR&amp;q=%2B500%20Planos%20de%20Aula&amp;search_type=keyword_unordered&amp;media_type=all" TargetMode="External"/><Relationship Id="rId166" Type="http://schemas.openxmlformats.org/officeDocument/2006/relationships/hyperlink" Target="https://raioxenarefarmacia2026.netlify.app/" TargetMode="External"/><Relationship Id="rId167" Type="http://schemas.openxmlformats.org/officeDocument/2006/relationships/hyperlink" Target="https://www.facebook.com/ads/library/?active_status=active&amp;ad_type=all&amp;country=BR&amp;q=Raio-X%20ENARE%20Farmacia&amp;search_type=keyword_unordered&amp;media_type=all" TargetMode="External"/><Relationship Id="rId168" Type="http://schemas.openxmlformats.org/officeDocument/2006/relationships/hyperlink" Target="https://robodofuturo.com.br/" TargetMode="External"/><Relationship Id="rId169" Type="http://schemas.openxmlformats.org/officeDocument/2006/relationships/hyperlink" Target="https://www.facebook.com/ads/library/?active_status=active&amp;ad_type=all&amp;country=BR&amp;q=Robo%20Produtor&amp;search_type=keyword_unordered&amp;media_type=all" TargetMode="External"/><Relationship Id="rId170" Type="http://schemas.openxmlformats.org/officeDocument/2006/relationships/hyperlink" Target="https://arquitetos-do-pensamento.netlify.app/" TargetMode="External"/><Relationship Id="rId171" Type="http://schemas.openxmlformats.org/officeDocument/2006/relationships/hyperlink" Target="https://www.facebook.com/ads/library/?active_status=active&amp;ad_type=all&amp;country=BR&amp;q=Arquitetos%20do%20Pensamento&amp;search_type=keyword_unordered&amp;media_type=all" TargetMode="External"/><Relationship Id="rId172" Type="http://schemas.openxmlformats.org/officeDocument/2006/relationships/hyperlink" Target="https://www.facebook.com/ads/library/?active_status=active&amp;ad_type=all&amp;country=BR&amp;q=desbanir%20n&#250;mero%20whatsapp&amp;search_type=keyword_unordered&amp;media_type=all" TargetMode="External"/><Relationship Id="rId173" Type="http://schemas.openxmlformats.org/officeDocument/2006/relationships/hyperlink" Target="https://cashnopix.net/" TargetMode="External"/><Relationship Id="rId174" Type="http://schemas.openxmlformats.org/officeDocument/2006/relationships/hyperlink" Target="https://www.facebook.com/ads/library/?active_status=active&amp;ad_type=all&amp;country=BR&amp;q=Cash%20no%20Pix&amp;search_type=keyword_unordered&amp;media_type=all" TargetMode="External"/><Relationship Id="rId175" Type="http://schemas.openxmlformats.org/officeDocument/2006/relationships/hyperlink" Target="https://biarcangeli.ac-page.com/paradegritar" TargetMode="External"/><Relationship Id="rId176" Type="http://schemas.openxmlformats.org/officeDocument/2006/relationships/hyperlink" Target="https://www.facebook.com/ads/library/?active_status=active&amp;ad_type=all&amp;country=BR&amp;q=parar%20de%20gritar%20filho&amp;search_type=keyword_unordered&amp;media_type=all" TargetMode="External"/><Relationship Id="rId177" Type="http://schemas.openxmlformats.org/officeDocument/2006/relationships/hyperlink" Target="https://whatsradar.com/" TargetMode="External"/><Relationship Id="rId178" Type="http://schemas.openxmlformats.org/officeDocument/2006/relationships/hyperlink" Target="https://www.facebook.com/ads/library/?active_status=active&amp;ad_type=all&amp;country=BR&amp;q=WhatsRadar&amp;search_type=keyword_unordered&amp;media_type=all" TargetMode="External"/><Relationship Id="rId179" Type="http://schemas.openxmlformats.org/officeDocument/2006/relationships/hyperlink" Target="https://www.facebook.com/ads/library/?active_status=active&amp;ad_type=all&amp;country=BR&amp;q=Agentor%20Bruno%20Gabarra&amp;search_type=keyword_unordered&amp;media_type=all" TargetMode="External"/><Relationship Id="rId180" Type="http://schemas.openxmlformats.org/officeDocument/2006/relationships/hyperlink" Target="https://www.facebook.com/ads/library/?active_status=active&amp;ad_type=all&amp;country=BR&amp;q=mounjaro%20de%20pobre&amp;search_type=keyword_unordered&amp;media_type=all" TargetMode="External"/><Relationship Id="rId181" Type="http://schemas.openxmlformats.org/officeDocument/2006/relationships/hyperlink" Target="https://www.facebook.com/ads/library/?active_status=active&amp;ad_type=all&amp;country=BR&amp;q=Love%20Pix&amp;search_type=keyword_unordered&amp;media_type=all" TargetMode="External"/><Relationship Id="rId182" Type="http://schemas.openxmlformats.org/officeDocument/2006/relationships/hyperlink" Target="https://www.facebook.com/ads/library/?active_status=active&amp;ad_type=all&amp;country=BR&amp;q=Publion&amp;search_type=keyword_unordered&amp;media_type=all" TargetMode="External"/><Relationship Id="rId183" Type="http://schemas.openxmlformats.org/officeDocument/2006/relationships/hyperlink" Target="https://app.cinefytv.site/" TargetMode="External"/><Relationship Id="rId184" Type="http://schemas.openxmlformats.org/officeDocument/2006/relationships/hyperlink" Target="https://www.facebook.com/ads/library/?active_status=active&amp;ad_type=all&amp;country=BR&amp;q=Cinefy&amp;search_type=keyword_unordered&amp;media_type=all" TargetMode="External"/><Relationship Id="rId185" Type="http://schemas.openxmlformats.org/officeDocument/2006/relationships/hyperlink" Target="https://www.facebook.com/ads/library/?active_status=active&amp;ad_type=all&amp;country=BR&amp;q=Operax&amp;search_type=keyword_unordered&amp;media_type=all" TargetMode="External"/><Relationship Id="rId186" Type="http://schemas.openxmlformats.org/officeDocument/2006/relationships/hyperlink" Target="https://www.facebook.com/ads/library/?active_status=active&amp;ad_type=all&amp;country=BR&amp;q=CapCut%20Pro%20assinatura%20barata&amp;search_type=keyword_unordered&amp;media_type=all" TargetMode="External"/><Relationship Id="rId18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facebook.com/ads/library/?id=1709135547148649" TargetMode="External"/><Relationship Id="rId2" Type="http://schemas.openxmlformats.org/officeDocument/2006/relationships/hyperlink" Target="https://dancadosnoivosonline.com/" TargetMode="External"/><Relationship Id="rId3" Type="http://schemas.openxmlformats.org/officeDocument/2006/relationships/hyperlink" Target="https://www.facebook.com/ads/library/?id=663145749976219" TargetMode="External"/><Relationship Id="rId4" Type="http://schemas.openxmlformats.org/officeDocument/2006/relationships/hyperlink" Target="https://dancadosnoivosonline.com/" TargetMode="External"/><Relationship Id="rId5" Type="http://schemas.openxmlformats.org/officeDocument/2006/relationships/hyperlink" Target="https://www.facebook.com/ads/library/?id=1428634915161518" TargetMode="External"/><Relationship Id="rId6" Type="http://schemas.openxmlformats.org/officeDocument/2006/relationships/hyperlink" Target="https://dancadosnoivosonline.com/" TargetMode="External"/><Relationship Id="rId7" Type="http://schemas.openxmlformats.org/officeDocument/2006/relationships/hyperlink" Target="https://www.facebook.com/ads/library/?id=1352349473058400" TargetMode="External"/><Relationship Id="rId8" Type="http://schemas.openxmlformats.org/officeDocument/2006/relationships/hyperlink" Target="https://dancadosnoivosonline.com/" TargetMode="External"/><Relationship Id="rId9" Type="http://schemas.openxmlformats.org/officeDocument/2006/relationships/hyperlink" Target="https://www.facebook.com/ads/library/?id=863407529970391" TargetMode="External"/><Relationship Id="rId10" Type="http://schemas.openxmlformats.org/officeDocument/2006/relationships/hyperlink" Target="https://dancadosnoivosonline.com/" TargetMode="External"/><Relationship Id="rId11" Type="http://schemas.openxmlformats.org/officeDocument/2006/relationships/hyperlink" Target="https://www.facebook.com/ads/library/?id=1435118811624847" TargetMode="External"/><Relationship Id="rId12" Type="http://schemas.openxmlformats.org/officeDocument/2006/relationships/hyperlink" Target="https://dancadosnoivosonline.com/" TargetMode="External"/><Relationship Id="rId13" Type="http://schemas.openxmlformats.org/officeDocument/2006/relationships/hyperlink" Target="https://www.facebook.com/ads/library/?id=1777067386338991" TargetMode="External"/><Relationship Id="rId14" Type="http://schemas.openxmlformats.org/officeDocument/2006/relationships/hyperlink" Target="https://dancadosnoivosonline.com/" TargetMode="External"/><Relationship Id="rId15" Type="http://schemas.openxmlformats.org/officeDocument/2006/relationships/hyperlink" Target="https://www.facebook.com/ads/library/?id=1080066974349178" TargetMode="External"/><Relationship Id="rId16" Type="http://schemas.openxmlformats.org/officeDocument/2006/relationships/hyperlink" Target="https://dancadosnoivosonline.com/" TargetMode="External"/><Relationship Id="rId17" Type="http://schemas.openxmlformats.org/officeDocument/2006/relationships/hyperlink" Target="https://www.facebook.com/ads/library/?id=1536715551263941" TargetMode="External"/><Relationship Id="rId18" Type="http://schemas.openxmlformats.org/officeDocument/2006/relationships/hyperlink" Target="https://dancadosnoivosonline.com/" TargetMode="External"/><Relationship Id="rId19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20" Type="http://schemas.openxmlformats.org/officeDocument/2006/relationships/hyperlink" Target="https://bonecasdepapel28.lovable.app/" TargetMode="External"/><Relationship Id="rId21" Type="http://schemas.openxmlformats.org/officeDocument/2006/relationships/hyperlink" Target="https://www.facebook.com/ads/library/?active_status=active&amp;ad_type=all&amp;country=BR&amp;q=retrato%20da%20alma%20gemea&amp;search_type=keyword_unordered&amp;media_type=all" TargetMode="External"/><Relationship Id="rId22" Type="http://schemas.openxmlformats.org/officeDocument/2006/relationships/hyperlink" Target="https://alldigital.fun/index.php/alma-gemea/" TargetMode="External"/><Relationship Id="rId23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24" Type="http://schemas.openxmlformats.org/officeDocument/2006/relationships/hyperlink" Target="https://atividade-cursiva.netlify.app/" TargetMode="External"/><Relationship Id="rId25" Type="http://schemas.openxmlformats.org/officeDocument/2006/relationships/hyperlink" Target="https://www.facebook.com/ads/library/?active_status=active&amp;ad_type=all&amp;country=BR&amp;q=little%20genius&amp;search_type=keyword_unordered&amp;media_type=all" TargetMode="External"/><Relationship Id="rId26" Type="http://schemas.openxmlformats.org/officeDocument/2006/relationships/hyperlink" Target="https://www.thelittlegenius.com.br/" TargetMode="External"/><Relationship Id="rId27" Type="http://schemas.openxmlformats.org/officeDocument/2006/relationships/hyperlink" Target="https://www.facebook.com/ads/library/?active_status=active&amp;ad_type=all&amp;country=BR&amp;q=grafismo%20fonetico&amp;search_type=keyword_unordered&amp;media_type=all" TargetMode="External"/><Relationship Id="rId28" Type="http://schemas.openxmlformats.org/officeDocument/2006/relationships/hyperlink" Target="https://www.facebook.com/ads/library/?active_status=active&amp;ad_type=all&amp;country=BR&amp;q=missa%20em%20atividades&amp;search_type=keyword_unordered&amp;media_type=all" TargetMode="External"/><Relationship Id="rId29" Type="http://schemas.openxmlformats.org/officeDocument/2006/relationships/hyperlink" Target="https://www.facebook.com/ads/library/?id=1788079548857559" TargetMode="External"/><Relationship Id="rId30" Type="http://schemas.openxmlformats.org/officeDocument/2006/relationships/hyperlink" Target="https://ballerinalab.com.br/cantigas-da-bailarina" TargetMode="External"/><Relationship Id="rId31" Type="http://schemas.openxmlformats.org/officeDocument/2006/relationships/hyperlink" Target="https://www.facebook.com/ads/library/?id=2263316144514045" TargetMode="External"/><Relationship Id="rId32" Type="http://schemas.openxmlformats.org/officeDocument/2006/relationships/hyperlink" Target="https://ballerinalab.com.br/cantigas-da-bailarina" TargetMode="External"/><Relationship Id="rId33" Type="http://schemas.openxmlformats.org/officeDocument/2006/relationships/hyperlink" Target="https://www.facebook.com/ads/library/?id=1609143730696444" TargetMode="External"/><Relationship Id="rId34" Type="http://schemas.openxmlformats.org/officeDocument/2006/relationships/hyperlink" Target="https://ballerinalab.com.br/cantigas-da-bailarina" TargetMode="External"/><Relationship Id="rId35" Type="http://schemas.openxmlformats.org/officeDocument/2006/relationships/hyperlink" Target="https://www.facebook.com/ads/library/?id=1896609284648902" TargetMode="External"/><Relationship Id="rId36" Type="http://schemas.openxmlformats.org/officeDocument/2006/relationships/hyperlink" Target="https://ballerinalab.com.br/cantigas-da-bailarina" TargetMode="External"/><Relationship Id="rId37" Type="http://schemas.openxmlformats.org/officeDocument/2006/relationships/hyperlink" Target="https://www.facebook.com/ads/library/?id=941791291734829" TargetMode="External"/><Relationship Id="rId38" Type="http://schemas.openxmlformats.org/officeDocument/2006/relationships/hyperlink" Target="https://ballerinalab.com.br/cantigas-da-bailarina" TargetMode="External"/><Relationship Id="rId39" Type="http://schemas.openxmlformats.org/officeDocument/2006/relationships/hyperlink" Target="https://www.facebook.com/ads/library/?id=1244590731133551" TargetMode="External"/><Relationship Id="rId40" Type="http://schemas.openxmlformats.org/officeDocument/2006/relationships/hyperlink" Target="https://ballerinalab.com.br/cantigas-da-bailarina" TargetMode="External"/><Relationship Id="rId41" Type="http://schemas.openxmlformats.org/officeDocument/2006/relationships/hyperlink" Target="https://www.facebook.com/ads/library/?id=1588414766277941" TargetMode="External"/><Relationship Id="rId42" Type="http://schemas.openxmlformats.org/officeDocument/2006/relationships/hyperlink" Target="https://ballerinalab.com.br/cantigas-da-bailarina" TargetMode="External"/><Relationship Id="rId43" Type="http://schemas.openxmlformats.org/officeDocument/2006/relationships/hyperlink" Target="https://www.facebook.com/ads/library/?id=3969590060015031" TargetMode="External"/><Relationship Id="rId44" Type="http://schemas.openxmlformats.org/officeDocument/2006/relationships/hyperlink" Target="https://ballerinalab.com.br/cantigas-da-bailarina" TargetMode="External"/><Relationship Id="rId45" Type="http://schemas.openxmlformats.org/officeDocument/2006/relationships/hyperlink" Target="https://www.facebook.com/ads/library/?id=3469711586522153" TargetMode="External"/><Relationship Id="rId46" Type="http://schemas.openxmlformats.org/officeDocument/2006/relationships/hyperlink" Target="https://ballerinalab.com.br/cantigas-da-bailarina" TargetMode="External"/><Relationship Id="rId47" Type="http://schemas.openxmlformats.org/officeDocument/2006/relationships/hyperlink" Target="https://www.facebook.com/ads/library/?id=1808375023485352" TargetMode="External"/><Relationship Id="rId48" Type="http://schemas.openxmlformats.org/officeDocument/2006/relationships/hyperlink" Target="https://ballerinalab.com.br/cantigas-da-bailarina" TargetMode="External"/><Relationship Id="rId49" Type="http://schemas.openxmlformats.org/officeDocument/2006/relationships/hyperlink" Target="https://www.facebook.com/ads/library/?id=2501108650313455" TargetMode="External"/><Relationship Id="rId50" Type="http://schemas.openxmlformats.org/officeDocument/2006/relationships/hyperlink" Target="https://ballerinalab.com.br/cantigas-da-bailarina" TargetMode="External"/><Relationship Id="rId51" Type="http://schemas.openxmlformats.org/officeDocument/2006/relationships/hyperlink" Target="https://www.facebook.com/ads/library/?active_status=active&amp;ad_type=all&amp;country=BR&amp;q=coreografias%20prontas&amp;search_type=keyword_unordered&amp;media_type=all" TargetMode="External"/><Relationship Id="rId52" Type="http://schemas.openxmlformats.org/officeDocument/2006/relationships/hyperlink" Target="https://www.facebook.com/ads/library/?active_status=active&amp;ad_type=all&amp;country=BR&amp;q=casinha%20dos%20sonhos&amp;search_type=keyword_unordered&amp;media_type=all" TargetMode="External"/><Relationship Id="rId53" Type="http://schemas.openxmlformats.org/officeDocument/2006/relationships/hyperlink" Target="https://casinhadossonhos.com.br/" TargetMode="External"/><Relationship Id="rId54" Type="http://schemas.openxmlformats.org/officeDocument/2006/relationships/hyperlink" Target="https://www.facebook.com/ads/library/?active_status=active&amp;ad_type=all&amp;country=BR&amp;q=alfa%20kids&amp;search_type=keyword_unordered&amp;media_type=all" TargetMode="External"/><Relationship Id="rId55" Type="http://schemas.openxmlformats.org/officeDocument/2006/relationships/hyperlink" Target="https://www.facebook.com/ads/library/?active_status=active&amp;ad_type=all&amp;country=BR&amp;q=clube%20da%20pedagogia&amp;search_type=keyword_unordered&amp;media_type=all" TargetMode="External"/><Relationship Id="rId56" Type="http://schemas.openxmlformats.org/officeDocument/2006/relationships/hyperlink" Target="https://clubedapedagogia.com/" TargetMode="External"/><Relationship Id="rId57" Type="http://schemas.openxmlformats.org/officeDocument/2006/relationships/hyperlink" Target="https://www.facebook.com/ads/library/?id=917257397128811" TargetMode="External"/><Relationship Id="rId58" Type="http://schemas.openxmlformats.org/officeDocument/2006/relationships/hyperlink" Target="https://patriciacavalcante.com.br/combo-10-cursos-de-danca-do-ventre" TargetMode="External"/><Relationship Id="rId59" Type="http://schemas.openxmlformats.org/officeDocument/2006/relationships/hyperlink" Target="https://www.facebook.com/ads/library/?id=1023550673675761" TargetMode="External"/><Relationship Id="rId60" Type="http://schemas.openxmlformats.org/officeDocument/2006/relationships/hyperlink" Target="https://patriciacavalcante.com.br/combo-10-cursos-de-danca-do-ventre" TargetMode="External"/><Relationship Id="rId61" Type="http://schemas.openxmlformats.org/officeDocument/2006/relationships/hyperlink" Target="https://www.facebook.com/ads/library/?id=1481713799929612" TargetMode="External"/><Relationship Id="rId62" Type="http://schemas.openxmlformats.org/officeDocument/2006/relationships/hyperlink" Target="https://shaktistudioonline.com/portal-shakti-club" TargetMode="External"/><Relationship Id="rId63" Type="http://schemas.openxmlformats.org/officeDocument/2006/relationships/hyperlink" Target="https://www.facebook.com/ads/library/?id=1435958288287540" TargetMode="External"/><Relationship Id="rId64" Type="http://schemas.openxmlformats.org/officeDocument/2006/relationships/hyperlink" Target="https://shaktistudioonline.com/portal-shakti-club" TargetMode="External"/><Relationship Id="rId65" Type="http://schemas.openxmlformats.org/officeDocument/2006/relationships/hyperlink" Target="https://www.facebook.com/ads/library/?id=1622766862154166" TargetMode="External"/><Relationship Id="rId66" Type="http://schemas.openxmlformats.org/officeDocument/2006/relationships/hyperlink" Target="https://shaktistudioonline.com/portal-shakti-club" TargetMode="External"/><Relationship Id="rId67" Type="http://schemas.openxmlformats.org/officeDocument/2006/relationships/hyperlink" Target="https://www.facebook.com/ads/library/?active_status=active&amp;ad_type=all&amp;country=BR&amp;q=mundinho%20de%20papel&amp;search_type=keyword_unordered&amp;media_type=all" TargetMode="External"/><Relationship Id="rId68" Type="http://schemas.openxmlformats.org/officeDocument/2006/relationships/hyperlink" Target="https://bibliotecainterativa.com/" TargetMode="External"/><Relationship Id="rId69" Type="http://schemas.openxmlformats.org/officeDocument/2006/relationships/hyperlink" Target="https://www.facebook.com/ads/library/?id=1354322349865514" TargetMode="External"/><Relationship Id="rId70" Type="http://schemas.openxmlformats.org/officeDocument/2006/relationships/hyperlink" Target="https://conteudos.tutudaju.com/assinatura-de-aulas-tutu-da-ju" TargetMode="External"/><Relationship Id="rId71" Type="http://schemas.openxmlformats.org/officeDocument/2006/relationships/hyperlink" Target="https://www.facebook.com/ads/library/?active_status=active&amp;ad_type=all&amp;country=BR&amp;q=cursos%20gratis%20online%20certificado&amp;search_type=keyword_unordered&amp;media_type=all" TargetMode="External"/><Relationship Id="rId72" Type="http://schemas.openxmlformats.org/officeDocument/2006/relationships/hyperlink" Target="http://cursosgratisonline.com.br/" TargetMode="External"/><Relationship Id="rId73" Type="http://schemas.openxmlformats.org/officeDocument/2006/relationships/hyperlink" Target="https://www.facebook.com/ads/library/?active_status=active&amp;ad_type=all&amp;country=BR&amp;q=Google%20Captcha%20ganhar%20dinheiro&amp;search_type=keyword_unordered&amp;media_type=all" TargetMode="External"/><Relationship Id="rId74" Type="http://schemas.openxmlformats.org/officeDocument/2006/relationships/hyperlink" Target="https://www.facebook.com/ads/library/?active_status=active&amp;ad_type=all&amp;country=BR&amp;q=alfabetinho&amp;search_type=keyword_unordered&amp;media_type=all" TargetMode="External"/><Relationship Id="rId75" Type="http://schemas.openxmlformats.org/officeDocument/2006/relationships/hyperlink" Target="https://www.alfabetinho.com.br/" TargetMode="External"/><Relationship Id="rId76" Type="http://schemas.openxmlformats.org/officeDocument/2006/relationships/hyperlink" Target="https://www.facebook.com/ads/library/?active_status=active&amp;ad_type=all&amp;country=BR&amp;q=licao%20kids&amp;search_type=keyword_unordered&amp;media_type=all" TargetMode="External"/><Relationship Id="rId77" Type="http://schemas.openxmlformats.org/officeDocument/2006/relationships/hyperlink" Target="https://licaokids.com.br/" TargetMode="External"/><Relationship Id="rId78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79" Type="http://schemas.openxmlformats.org/officeDocument/2006/relationships/hyperlink" Target="https://mundocriativobr.shop/" TargetMode="External"/><Relationship Id="rId80" Type="http://schemas.openxmlformats.org/officeDocument/2006/relationships/hyperlink" Target="https://www.facebook.com/ads/library/?active_status=active&amp;ad_type=all&amp;country=BR&amp;q=pequenas%20estilistas&amp;search_type=keyword_unordered&amp;media_type=all" TargetMode="External"/><Relationship Id="rId81" Type="http://schemas.openxmlformats.org/officeDocument/2006/relationships/hyperlink" Target="https://pequenasestilistas.com/" TargetMode="External"/><Relationship Id="rId82" Type="http://schemas.openxmlformats.org/officeDocument/2006/relationships/hyperlink" Target="https://www.facebook.com/ads/library/?active_status=active&amp;ad_type=all&amp;country=BR&amp;q=curso%20taxa%20de%20libera&#231;&#227;o&amp;search_type=keyword_unordered&amp;media_type=all" TargetMode="External"/><Relationship Id="rId83" Type="http://schemas.openxmlformats.org/officeDocument/2006/relationships/hyperlink" Target="https://www.facebook.com/ads/library/?id=1401478468587799" TargetMode="External"/><Relationship Id="rId84" Type="http://schemas.openxmlformats.org/officeDocument/2006/relationships/hyperlink" Target="https://dicionarioemmovimento.site/" TargetMode="External"/><Relationship Id="rId85" Type="http://schemas.openxmlformats.org/officeDocument/2006/relationships/hyperlink" Target="https://www.facebook.com/ads/library/?id=3514532285389014" TargetMode="External"/><Relationship Id="rId86" Type="http://schemas.openxmlformats.org/officeDocument/2006/relationships/hyperlink" Target="https://dicionarioemmovimento.site/" TargetMode="External"/><Relationship Id="rId87" Type="http://schemas.openxmlformats.org/officeDocument/2006/relationships/hyperlink" Target="https://www.facebook.com/ads/library/?id=1769707290732626" TargetMode="External"/><Relationship Id="rId88" Type="http://schemas.openxmlformats.org/officeDocument/2006/relationships/hyperlink" Target="https://dicionarioemmovimento.site/" TargetMode="External"/><Relationship Id="rId89" Type="http://schemas.openxmlformats.org/officeDocument/2006/relationships/hyperlink" Target="https://www.facebook.com/ads/library/?id=1431162878924047" TargetMode="External"/><Relationship Id="rId90" Type="http://schemas.openxmlformats.org/officeDocument/2006/relationships/hyperlink" Target="https://galeraindica.com.br/ritmado/" TargetMode="External"/><Relationship Id="rId91" Type="http://schemas.openxmlformats.org/officeDocument/2006/relationships/hyperlink" Target="https://www.facebook.com/ads/library/?id=2319243438820750" TargetMode="External"/><Relationship Id="rId92" Type="http://schemas.openxmlformats.org/officeDocument/2006/relationships/hyperlink" Target="https://galeraindica.com.br/ritmado/" TargetMode="External"/><Relationship Id="rId93" Type="http://schemas.openxmlformats.org/officeDocument/2006/relationships/hyperlink" Target="https://www.facebook.com/ads/library/?id=2037174746939931" TargetMode="External"/><Relationship Id="rId94" Type="http://schemas.openxmlformats.org/officeDocument/2006/relationships/hyperlink" Target="https://galeraindica.com.br/ritmado/" TargetMode="External"/><Relationship Id="rId95" Type="http://schemas.openxmlformats.org/officeDocument/2006/relationships/hyperlink" Target="https://www.facebook.com/ads/library/?active_status=active&amp;ad_type=all&amp;country=ALL&amp;q=soulmate%20sketch&amp;search_type=keyword_unordered&amp;media_type=all" TargetMode="External"/><Relationship Id="rId96" Type="http://schemas.openxmlformats.org/officeDocument/2006/relationships/hyperlink" Target="https://thesoulmatesketcher.com/pt" TargetMode="External"/><Relationship Id="rId97" Type="http://schemas.openxmlformats.org/officeDocument/2006/relationships/hyperlink" Target="https://www.facebook.com/ads/library/?active_status=active&amp;ad_type=all&amp;country=BR&amp;q=abrir%20mei%20online&amp;search_type=keyword_unordered&amp;media_type=all" TargetMode="External"/><Relationship Id="rId98" Type="http://schemas.openxmlformats.org/officeDocument/2006/relationships/hyperlink" Target="https://www.facebook.com/ads/library/?active_status=active&amp;ad_type=all&amp;country=BR&amp;q=certificado%20curso%20online&amp;search_type=keyword_unordered&amp;media_type=all" TargetMode="External"/><Relationship Id="rId99" Type="http://schemas.openxmlformats.org/officeDocument/2006/relationships/hyperlink" Target="http://certificadocursosonline.com/" TargetMode="External"/><Relationship Id="rId100" Type="http://schemas.openxmlformats.org/officeDocument/2006/relationships/hyperlink" Target="https://www.facebook.com/ads/library/?active_status=active&amp;ad_type=all&amp;country=BR&amp;q=do%20rabisco%20a%20letra%20bonita&amp;search_type=keyword_unordered&amp;media_type=all" TargetMode="External"/><Relationship Id="rId101" Type="http://schemas.openxmlformats.org/officeDocument/2006/relationships/hyperlink" Target="https://www.facebook.com/ads/library/?id=1388203450084932" TargetMode="External"/><Relationship Id="rId102" Type="http://schemas.openxmlformats.org/officeDocument/2006/relationships/hyperlink" Target="https://dinamicadeballet.netlify.app/" TargetMode="External"/><Relationship Id="rId103" Type="http://schemas.openxmlformats.org/officeDocument/2006/relationships/hyperlink" Target="https://www.facebook.com/ads/library/?id=1326870229520439" TargetMode="External"/><Relationship Id="rId104" Type="http://schemas.openxmlformats.org/officeDocument/2006/relationships/hyperlink" Target="https://dinamicadeballet.netlify.app/" TargetMode="External"/><Relationship Id="rId105" Type="http://schemas.openxmlformats.org/officeDocument/2006/relationships/hyperlink" Target="https://www.facebook.com/ads/library/?active_status=active&amp;ad_type=all&amp;country=BR&amp;q=rosto%20da%20sua%20alma%20gemea&amp;search_type=keyword_unordered&amp;media_type=all" TargetMode="External"/><Relationship Id="rId106" Type="http://schemas.openxmlformats.org/officeDocument/2006/relationships/hyperlink" Target="https://par-sketch.app/" TargetMode="External"/><Relationship Id="rId107" Type="http://schemas.openxmlformats.org/officeDocument/2006/relationships/hyperlink" Target="https://www.facebook.com/ads/library/?id=1971523880902568" TargetMode="External"/><Relationship Id="rId108" Type="http://schemas.openxmlformats.org/officeDocument/2006/relationships/hyperlink" Target="https://brumdance.com.br/3em1/" TargetMode="External"/><Relationship Id="rId109" Type="http://schemas.openxmlformats.org/officeDocument/2006/relationships/hyperlink" Target="https://www.facebook.com/ads/library/?active_status=active&amp;ad_type=all&amp;country=BR&amp;q=arquivos%20STL%20impressao%203D&amp;search_type=keyword_unordered&amp;media_type=all" TargetMode="External"/><Relationship Id="rId110" Type="http://schemas.openxmlformats.org/officeDocument/2006/relationships/hyperlink" Target="https://www.facebook.com/ads/library/?active_status=active&amp;ad_type=all&amp;country=BR&amp;q=bonecas%20de%20papel&amp;search_type=keyword_unordered&amp;media_type=all" TargetMode="External"/><Relationship Id="rId111" Type="http://schemas.openxmlformats.org/officeDocument/2006/relationships/hyperlink" Target="https://www.facebook.com/ads/library/?active_status=active&amp;ad_type=all&amp;country=BR&amp;q=caligrafia&amp;search_type=keyword_unordered&amp;media_type=all" TargetMode="External"/><Relationship Id="rId112" Type="http://schemas.openxmlformats.org/officeDocument/2006/relationships/hyperlink" Target="https://www.facebook.com/ads/library/?active_status=active&amp;ad_type=all&amp;country=BR&amp;q=certifica%20brasil&amp;search_type=keyword_unordered&amp;media_type=all" TargetMode="External"/><Relationship Id="rId113" Type="http://schemas.openxmlformats.org/officeDocument/2006/relationships/hyperlink" Target="https://www.facebook.com/ads/library/?id=1056884877074087" TargetMode="External"/><Relationship Id="rId114" Type="http://schemas.openxmlformats.org/officeDocument/2006/relationships/hyperlink" Target="https://dancalouvor.com/" TargetMode="External"/><Relationship Id="rId115" Type="http://schemas.openxmlformats.org/officeDocument/2006/relationships/hyperlink" Target="https://www.facebook.com/ads/library/?id=1442748831032425" TargetMode="External"/><Relationship Id="rId116" Type="http://schemas.openxmlformats.org/officeDocument/2006/relationships/hyperlink" Target="https://dancalouvor.com/" TargetMode="External"/><Relationship Id="rId117" Type="http://schemas.openxmlformats.org/officeDocument/2006/relationships/hyperlink" Target="https://www.facebook.com/ads/library/?active_status=active&amp;ad_type=all&amp;country=BR&amp;q=curso%20gratuito%20com%20certificado&amp;search_type=keyword_unordered&amp;media_type=all" TargetMode="External"/><Relationship Id="rId118" Type="http://schemas.openxmlformats.org/officeDocument/2006/relationships/hyperlink" Target="https://www.facebook.com/ads/library/?active_status=active&amp;ad_type=all&amp;country=BR&amp;q=Hin&#225;rio%20em%20Movimento&amp;search_type=keyword_unordered&amp;media_type=all" TargetMode="External"/><Relationship Id="rId119" Type="http://schemas.openxmlformats.org/officeDocument/2006/relationships/hyperlink" Target="https://www.facebook.com/ads/library/?active_status=active&amp;ad_type=all&amp;country=BR&amp;q=abrir%20mei%20segunda%20via%20certidao&amp;search_type=keyword_unordered&amp;media_type=all" TargetMode="External"/><Relationship Id="rId120" Type="http://schemas.openxmlformats.org/officeDocument/2006/relationships/hyperlink" Target="https://www.facebook.com/ads/library/?active_status=active&amp;ad_type=all&amp;country=BR&amp;q=Music%20Creator%20Pro&amp;search_type=keyword_unordered&amp;media_type=all" TargetMode="External"/><Relationship Id="rId121" Type="http://schemas.openxmlformats.org/officeDocument/2006/relationships/hyperlink" Target="https://www.facebook.com/ads/library/?active_status=active&amp;ad_type=all&amp;country=BR&amp;q=Treino%20Trinca&amp;search_type=keyword_unordered&amp;media_type=all" TargetMode="External"/><Relationship Id="rId122" Type="http://schemas.openxmlformats.org/officeDocument/2006/relationships/hyperlink" Target="https://treinotrinca.com.br/" TargetMode="External"/><Relationship Id="rId123" Type="http://schemas.openxmlformats.org/officeDocument/2006/relationships/hyperlink" Target="https://www.facebook.com/ads/library/?active_status=active&amp;ad_type=all&amp;country=BR&amp;q=convites%20de%20casamento%20edit&#225;veis&amp;search_type=keyword_unordered&amp;media_type=all" TargetMode="External"/><Relationship Id="rId124" Type="http://schemas.openxmlformats.org/officeDocument/2006/relationships/hyperlink" Target="https://www.facebook.com/ads/library/?active_status=active&amp;ad_type=all&amp;country=BR&amp;q=unlovable&amp;search_type=keyword_unordered&amp;media_type=all" TargetMode="External"/><Relationship Id="rId125" Type="http://schemas.openxmlformats.org/officeDocument/2006/relationships/hyperlink" Target="https://www.facebook.com/ads/library/?active_status=active&amp;ad_type=all&amp;country=BR&amp;q=massagem%20t&#226;ntrica%20curso&amp;search_type=keyword_unordered&amp;media_type=all" TargetMode="External"/><Relationship Id="rId126" Type="http://schemas.openxmlformats.org/officeDocument/2006/relationships/hyperlink" Target="https://www.facebook.com/ads/library/?active_status=active&amp;ad_type=all&amp;country=BR&amp;q=Teacher%20ZAP&amp;search_type=keyword_unordered&amp;media_type=all" TargetMode="External"/><Relationship Id="rId127" Type="http://schemas.openxmlformats.org/officeDocument/2006/relationships/hyperlink" Target="https://www.facebook.com/ads/library/?id=1064507922644275" TargetMode="External"/><Relationship Id="rId128" Type="http://schemas.openxmlformats.org/officeDocument/2006/relationships/hyperlink" Target="https://quiz.forrozeirodozero.com.br/" TargetMode="External"/><Relationship Id="rId129" Type="http://schemas.openxmlformats.org/officeDocument/2006/relationships/hyperlink" Target="https://www.facebook.com/ads/library/?id=1871711103791552" TargetMode="External"/><Relationship Id="rId130" Type="http://schemas.openxmlformats.org/officeDocument/2006/relationships/hyperlink" Target="https://quiz.forrozeirodozero.com.br/" TargetMode="External"/><Relationship Id="rId131" Type="http://schemas.openxmlformats.org/officeDocument/2006/relationships/hyperlink" Target="https://www.facebook.com/ads/library/?active_status=active&amp;ad_type=all&amp;country=BR&amp;q=INSTALADOR%20ROB&#212;%20PRONTO%202.0&amp;search_type=keyword_unordered&amp;media_type=all" TargetMode="External"/><Relationship Id="rId132" Type="http://schemas.openxmlformats.org/officeDocument/2006/relationships/hyperlink" Target="https://www.facebook.com/ads/library/?active_status=active&amp;ad_type=all&amp;country=BR&amp;q=%2B350%20Bonecas%20de%20Papel&amp;search_type=keyword_unordered&amp;media_type=all" TargetMode="External"/><Relationship Id="rId133" Type="http://schemas.openxmlformats.org/officeDocument/2006/relationships/hyperlink" Target="https://papelmagicobr.netlify.app/" TargetMode="External"/><Relationship Id="rId134" Type="http://schemas.openxmlformats.org/officeDocument/2006/relationships/hyperlink" Target="https://www.facebook.com/ads/library/?active_status=active&amp;ad_type=all&amp;country=BR&amp;q=aprender%20forr&#243;&amp;search_type=keyword_unordered&amp;media_type=all" TargetMode="External"/><Relationship Id="rId135" Type="http://schemas.openxmlformats.org/officeDocument/2006/relationships/hyperlink" Target="https://pedescalcomkt.com.br/forro-zero/" TargetMode="External"/><Relationship Id="rId136" Type="http://schemas.openxmlformats.org/officeDocument/2006/relationships/hyperlink" Target="https://www.facebook.com/ads/library/?active_status=active&amp;ad_type=all&amp;country=BR&amp;q=crian&#231;a%20viciada%20celular&amp;search_type=keyword_unordered&amp;media_type=all" TargetMode="External"/><Relationship Id="rId137" Type="http://schemas.openxmlformats.org/officeDocument/2006/relationships/hyperlink" Target="https://www.facebook.com/ads/library/?active_status=active&amp;ad_type=all&amp;country=BR&amp;q=orcamento%20eletricista%20app&amp;search_type=keyword_unordered&amp;media_type=all" TargetMode="External"/><Relationship Id="rId138" Type="http://schemas.openxmlformats.org/officeDocument/2006/relationships/hyperlink" Target="https://www.facebook.com/ads/library/?active_status=active&amp;ad_type=all&amp;country=BR&amp;q=apostila%20de%20croche&amp;search_type=keyword_unordered&amp;media_type=all" TargetMode="External"/><Relationship Id="rId139" Type="http://schemas.openxmlformats.org/officeDocument/2006/relationships/hyperlink" Target="https://www.facebook.com/ads/library/?active_status=active&amp;ad_type=all&amp;country=BR&amp;q=atividades%20imprimiveis%20professor&amp;search_type=keyword_unordered&amp;media_type=all" TargetMode="External"/><Relationship Id="rId140" Type="http://schemas.openxmlformats.org/officeDocument/2006/relationships/hyperlink" Target="https://www.facebook.com/ads/library/?active_status=active&amp;ad_type=all&amp;country=BR&amp;q=meu%20filho%20tem%20TDAH&amp;search_type=keyword_unordered&amp;media_type=all" TargetMode="External"/><Relationship Id="rId141" Type="http://schemas.openxmlformats.org/officeDocument/2006/relationships/hyperlink" Target="https://www.facebook.com/ads/library/?active_status=active&amp;ad_type=all&amp;country=BR&amp;q=renderizador%20de%20imagem%20IA&amp;search_type=keyword_unordered&amp;media_type=all" TargetMode="External"/><Relationship Id="rId142" Type="http://schemas.openxmlformats.org/officeDocument/2006/relationships/hyperlink" Target="https://www.facebook.com/ads/library/?active_status=active&amp;ad_type=all&amp;country=BR&amp;q=Stalkea&amp;search_type=keyword_unordered&amp;media_type=all" TargetMode="External"/><Relationship Id="rId143" Type="http://schemas.openxmlformats.org/officeDocument/2006/relationships/hyperlink" Target="https://www.stalkea.ai/" TargetMode="External"/><Relationship Id="rId144" Type="http://schemas.openxmlformats.org/officeDocument/2006/relationships/hyperlink" Target="https://www.facebook.com/ads/library/?active_status=active&amp;ad_type=all&amp;country=BR&amp;q=AUKS%20bot&amp;search_type=keyword_unordered&amp;media_type=all" TargetMode="External"/><Relationship Id="rId145" Type="http://schemas.openxmlformats.org/officeDocument/2006/relationships/hyperlink" Target="https://www.facebook.com/ads/library/?active_status=active&amp;ad_type=all&amp;country=BR&amp;q=Cafe%20Premium%20Barista%20Academy&amp;search_type=keyword_unordered&amp;media_type=all" TargetMode="External"/><Relationship Id="rId146" Type="http://schemas.openxmlformats.org/officeDocument/2006/relationships/hyperlink" Target="https://www.facebook.com/ads/library/?active_status=active&amp;ad_type=all&amp;country=BR&amp;q=Foto%20com%20pet%20gerada%20por%20IA&amp;search_type=keyword_unordered&amp;media_type=all" TargetMode="External"/><Relationship Id="rId147" Type="http://schemas.openxmlformats.org/officeDocument/2006/relationships/hyperlink" Target="https://www.facebook.com/ads/library/?active_status=active&amp;ad_type=all&amp;country=BR&amp;q=magia%20amorosa%20hoodoo%20curso&amp;search_type=keyword_unordered&amp;media_type=all" TargetMode="External"/><Relationship Id="rId148" Type="http://schemas.openxmlformats.org/officeDocument/2006/relationships/hyperlink" Target="https://www.facebook.com/ads/library/?active_status=active&amp;ad_type=all&amp;country=BR&amp;q=Par&#225;bolas%20Kids&amp;search_type=keyword_unordered&amp;media_type=all" TargetMode="External"/><Relationship Id="rId149" Type="http://schemas.openxmlformats.org/officeDocument/2006/relationships/hyperlink" Target="https://parabolaskids.com.br/" TargetMode="External"/><Relationship Id="rId150" Type="http://schemas.openxmlformats.org/officeDocument/2006/relationships/hyperlink" Target="https://www.facebook.com/ads/library/?active_status=active&amp;ad_type=all&amp;country=BR&amp;q=novelas%20turcas%20dubladas&amp;search_type=keyword_unordered&amp;media_type=all" TargetMode="External"/><Relationship Id="rId151" Type="http://schemas.openxmlformats.org/officeDocument/2006/relationships/hyperlink" Target="https://www.facebook.com/ads/library/?active_status=active&amp;ad_type=all&amp;country=BR&amp;q=Aula%20Desplugada&amp;search_type=keyword_unordered&amp;media_type=all" TargetMode="External"/><Relationship Id="rId152" Type="http://schemas.openxmlformats.org/officeDocument/2006/relationships/hyperlink" Target="https://auladesplugada.netlify.app/" TargetMode="External"/><Relationship Id="rId153" Type="http://schemas.openxmlformats.org/officeDocument/2006/relationships/hyperlink" Target="https://www.facebook.com/ads/library/?active_status=active&amp;ad_type=all&amp;country=BR&amp;q=Carross&#233;is%20Magn&#233;ticos&amp;search_type=keyword_unordered&amp;media_type=all" TargetMode="External"/><Relationship Id="rId154" Type="http://schemas.openxmlformats.org/officeDocument/2006/relationships/hyperlink" Target="https://www.facebook.com/ads/library/?active_status=active&amp;ad_type=all&amp;country=BR&amp;q=Rob&#244;%20Hacker%20Book&amp;search_type=keyword_unordered&amp;media_type=all" TargetMode="External"/><Relationship Id="rId155" Type="http://schemas.openxmlformats.org/officeDocument/2006/relationships/hyperlink" Target="https://www.facebook.com/ads/library/?active_status=active&amp;ad_type=all&amp;country=BR&amp;q=autismo%20atividades%20crian&#231;a&amp;search_type=keyword_unordered&amp;media_type=all" TargetMode="External"/><Relationship Id="rId156" Type="http://schemas.openxmlformats.org/officeDocument/2006/relationships/hyperlink" Target="https://www.facebook.com/ads/library/?active_status=active&amp;ad_type=all&amp;country=BR&amp;q=f&#225;brica%20de%20low%20ticket&amp;search_type=keyword_unordered&amp;media_type=all" TargetMode="External"/><Relationship Id="rId157" Type="http://schemas.openxmlformats.org/officeDocument/2006/relationships/hyperlink" Target="https://www.facebook.com/ads/library/?active_status=active&amp;ad_type=all&amp;country=BR&amp;q=lowzap&amp;search_type=keyword_unordered&amp;media_type=all" TargetMode="External"/><Relationship Id="rId158" Type="http://schemas.openxmlformats.org/officeDocument/2006/relationships/hyperlink" Target="https://www.facebook.com/ads/library/?active_status=active&amp;ad_type=all&amp;country=BR&amp;q=Desafio%2021%20Dias%20com%20Deus&amp;search_type=keyword_unordered&amp;media_type=all" TargetMode="External"/><Relationship Id="rId159" Type="http://schemas.openxmlformats.org/officeDocument/2006/relationships/hyperlink" Target="https://imperdivel.ofertaslimitadasmaterial.shop/" TargetMode="External"/><Relationship Id="rId160" Type="http://schemas.openxmlformats.org/officeDocument/2006/relationships/hyperlink" Target="https://www.facebook.com/ads/library/?active_status=active&amp;ad_type=all&amp;country=BR&amp;q=App%20de%20hist&#243;rias&amp;search_type=keyword_unordered&amp;media_type=all" TargetMode="External"/><Relationship Id="rId161" Type="http://schemas.openxmlformats.org/officeDocument/2006/relationships/hyperlink" Target="https://www.facebook.com/ads/library/?active_status=active&amp;ad_type=all&amp;country=BR&amp;q=beb&#234;%20dormir%20noite%20toda&amp;search_type=keyword_unordered&amp;media_type=all" TargetMode="External"/><Relationship Id="rId162" Type="http://schemas.openxmlformats.org/officeDocument/2006/relationships/hyperlink" Target="https://www.facebook.com/ads/library/?active_status=active&amp;ad_type=all&amp;country=BR&amp;q=birra%20crian&#231;a&amp;search_type=keyword_unordered&amp;media_type=all" TargetMode="External"/><Relationship Id="rId163" Type="http://schemas.openxmlformats.org/officeDocument/2006/relationships/hyperlink" Target="https://www.facebook.com/ads/library/?active_status=active&amp;ad_type=all&amp;country=BR&amp;q=Stefanny%20Martinez&amp;search_type=keyword_unordered&amp;media_type=all" TargetMode="External"/><Relationship Id="rId164" Type="http://schemas.openxmlformats.org/officeDocument/2006/relationships/hyperlink" Target="https://desafioromanos.stefannymartinez.com.br/" TargetMode="External"/><Relationship Id="rId165" Type="http://schemas.openxmlformats.org/officeDocument/2006/relationships/hyperlink" Target="https://www.facebook.com/ads/library/?active_status=active&amp;ad_type=all&amp;country=BR&amp;q=Kit%20300%20Aulas%20Prontas%20de%20Educa&#231;&#227;o%20F&#237;sica&amp;search_type=keyword_unordered&amp;media_type=all" TargetMode="External"/><Relationship Id="rId166" Type="http://schemas.openxmlformats.org/officeDocument/2006/relationships/hyperlink" Target="https://kit-300aulas-edfisica.netlify.app/" TargetMode="External"/><Relationship Id="rId167" Type="http://schemas.openxmlformats.org/officeDocument/2006/relationships/hyperlink" Target="https://www.facebook.com/ads/library/?active_status=active&amp;ad_type=all&amp;country=BR&amp;q=Desafio%2021%20Dias%20com%20Deus&amp;search_type=keyword_unordered&amp;media_type=all" TargetMode="External"/><Relationship Id="rId168" Type="http://schemas.openxmlformats.org/officeDocument/2006/relationships/hyperlink" Target="https://tracohome.com.br/" TargetMode="External"/><Relationship Id="rId169" Type="http://schemas.openxmlformats.org/officeDocument/2006/relationships/hyperlink" Target="https://www.facebook.com/ads/library/?active_status=active&amp;ad_type=all&amp;country=BR&amp;q=Biblioteca%20do%20Concurseiro&amp;search_type=keyword_unordered&amp;media_type=all" TargetMode="External"/><Relationship Id="rId170" Type="http://schemas.openxmlformats.org/officeDocument/2006/relationships/hyperlink" Target="https://bibliotecadoconcurseiro.site/" TargetMode="External"/><Relationship Id="rId171" Type="http://schemas.openxmlformats.org/officeDocument/2006/relationships/hyperlink" Target="https://www.facebook.com/ads/library/?active_status=active&amp;ad_type=all&amp;country=BR&amp;q=alfabetiza&#231;&#227;o%20em%20casa&amp;search_type=keyword_unordered&amp;media_type=all" TargetMode="External"/><Relationship Id="rId172" Type="http://schemas.openxmlformats.org/officeDocument/2006/relationships/hyperlink" Target="https://www.facebook.com/ads/library/?active_status=active&amp;ad_type=all&amp;country=BR&amp;q=app%20do%20paiz&#227;o&amp;search_type=keyword_unordered&amp;media_type=all" TargetMode="External"/><Relationship Id="rId173" Type="http://schemas.openxmlformats.org/officeDocument/2006/relationships/hyperlink" Target="https://www.facebook.com/ads/library/?active_status=active&amp;ad_type=all&amp;country=BR&amp;q=desafio%20treino%20plano%20alimentar%20anamnese&amp;search_type=keyword_unordered&amp;media_type=all" TargetMode="External"/><Relationship Id="rId174" Type="http://schemas.openxmlformats.org/officeDocument/2006/relationships/hyperlink" Target="https://www.facebook.com/ads/library/?active_status=active&amp;ad_type=all&amp;country=BR&amp;q=parar%20de%20gritar%20filho&amp;search_type=keyword_unordered&amp;media_type=all" TargetMode="External"/><Relationship Id="rId175" Type="http://schemas.openxmlformats.org/officeDocument/2006/relationships/hyperlink" Target="https://www.facebook.com/ads/library/?active_status=active&amp;ad_type=all&amp;country=BR&amp;q=Desafio%2030%20Dias%20com%20Deus&amp;search_type=keyword_unordered&amp;media_type=all" TargetMode="External"/><Relationship Id="rId176" Type="http://schemas.openxmlformats.org/officeDocument/2006/relationships/hyperlink" Target="https://www.desafio30diascomdeus.online/" TargetMode="External"/><Relationship Id="rId177" Type="http://schemas.openxmlformats.org/officeDocument/2006/relationships/hyperlink" Target="https://www.facebook.com/ads/library/?active_status=active&amp;ad_type=all&amp;country=BR&amp;q=crian&#231;a%20viciada%20celular&amp;search_type=keyword_unordered&amp;media_type=all" TargetMode="External"/><Relationship Id="rId178" Type="http://schemas.openxmlformats.org/officeDocument/2006/relationships/hyperlink" Target="https://ebook.desintoxicacaodigital.com.br/" TargetMode="External"/><Relationship Id="rId179" Type="http://schemas.openxmlformats.org/officeDocument/2006/relationships/hyperlink" Target="https://www.facebook.com/ads/library/?active_status=active&amp;ad_type=all&amp;country=BR&amp;q=Domando%20a%20Teimosia&amp;search_type=keyword_unordered&amp;media_type=all" TargetMode="External"/><Relationship Id="rId180" Type="http://schemas.openxmlformats.org/officeDocument/2006/relationships/hyperlink" Target="https://ebook.domandoateimosia.com/" TargetMode="External"/><Relationship Id="rId181" Type="http://schemas.openxmlformats.org/officeDocument/2006/relationships/hyperlink" Target="https://www.facebook.com/ads/library/?active_status=active&amp;ad_type=all&amp;country=BR&amp;q=cura%20da%20alma%20devocional&amp;search_type=keyword_unordered&amp;media_type=all" TargetMode="External"/><Relationship Id="rId182" Type="http://schemas.openxmlformats.org/officeDocument/2006/relationships/hyperlink" Target="https://hotmart.com/pt-br/marketplace/produtos/hagsx-cura-da-alma-devocional-diario-para-curar-traumas-e-feridas-do-passado-4ktcx/P85285936W" TargetMode="External"/><Relationship Id="rId183" Type="http://schemas.openxmlformats.org/officeDocument/2006/relationships/hyperlink" Target="https://www.facebook.com/ads/library/?active_status=active&amp;ad_type=all&amp;country=BR&amp;q=devocional%20ansiedade&amp;search_type=keyword_unordered&amp;media_type=all" TargetMode="External"/><Relationship Id="rId184" Type="http://schemas.openxmlformats.org/officeDocument/2006/relationships/hyperlink" Target="https://hotmart.com/pt-br/marketplace/produtos/devocional-15-dias-para-quem-sofre-de-ansiedade/F96615361N" TargetMode="External"/><Relationship Id="rId185" Type="http://schemas.openxmlformats.org/officeDocument/2006/relationships/hyperlink" Target="https://www.facebook.com/ads/library/?active_status=active&amp;ad_type=all&amp;country=BR&amp;q=cura%20interior%20mulheres&amp;search_type=keyword_unordered&amp;media_type=all" TargetMode="External"/><Relationship Id="rId186" Type="http://schemas.openxmlformats.org/officeDocument/2006/relationships/hyperlink" Target="https://hotmart.com/pt-br/marketplace/produtos/devocional-com-proposito-para-mulheres-30-dias-de-cura-interior/P102090014T" TargetMode="External"/><Relationship Id="rId187" Type="http://schemas.openxmlformats.org/officeDocument/2006/relationships/hyperlink" Target="https://www.facebook.com/ads/library/?active_status=active&amp;ad_type=all&amp;country=BR&amp;q=Mulheres%20no%20Secreto&amp;search_type=keyword_unordered&amp;media_type=all" TargetMode="External"/><Relationship Id="rId188" Type="http://schemas.openxmlformats.org/officeDocument/2006/relationships/hyperlink" Target="https://mulheresnosecreto.com.br/renovacao/" TargetMode="External"/><Relationship Id="rId189" Type="http://schemas.openxmlformats.org/officeDocument/2006/relationships/hyperlink" Target="https://www.facebook.com/ads/library/?active_status=active&amp;ad_type=all&amp;country=BR&amp;q=NeuroOctoMusical&amp;search_type=keyword_unordered&amp;media_type=all" TargetMode="External"/><Relationship Id="rId190" Type="http://schemas.openxmlformats.org/officeDocument/2006/relationships/hyperlink" Target="https://pipoeduca.com/" TargetMode="External"/><Relationship Id="rId191" Type="http://schemas.openxmlformats.org/officeDocument/2006/relationships/hyperlink" Target="https://www.facebook.com/ads/library/?active_status=active&amp;ad_type=all&amp;country=BR&amp;q=Trendly&amp;search_type=keyword_unordered&amp;media_type=all" TargetMode="External"/><Relationship Id="rId192" Type="http://schemas.openxmlformats.org/officeDocument/2006/relationships/hyperlink" Target="https://www.facebook.com/ads/library/?active_status=active&amp;ad_type=all&amp;country=BR&amp;q=Virtude%20Plena&amp;search_type=keyword_unordered&amp;media_type=all" TargetMode="External"/><Relationship Id="rId193" Type="http://schemas.openxmlformats.org/officeDocument/2006/relationships/hyperlink" Target="https://virtudeplena.com/desafio/" TargetMode="External"/><Relationship Id="rId194" Type="http://schemas.openxmlformats.org/officeDocument/2006/relationships/hyperlink" Target="https://www.facebook.com/ads/library/?active_status=active&amp;ad_type=all&amp;country=BR&amp;q=Loopyz&amp;search_type=keyword_unordered&amp;media_type=all" TargetMode="External"/><Relationship Id="rId195" Type="http://schemas.openxmlformats.org/officeDocument/2006/relationships/hyperlink" Target="https://loopyz.com.br/" TargetMode="External"/><Relationship Id="rId196" Type="http://schemas.openxmlformats.org/officeDocument/2006/relationships/hyperlink" Target="https://www.facebook.com/ads/library/?active_status=active&amp;ad_type=all&amp;country=BR&amp;q=regula&#231;&#227;o%20emocional%20infantil&amp;search_type=keyword_unordered&amp;media_type=all" TargetMode="External"/><Relationship Id="rId197" Type="http://schemas.openxmlformats.org/officeDocument/2006/relationships/hyperlink" Target="https://pay.hotmart.com/R89696248N" TargetMode="External"/><Relationship Id="rId198" Type="http://schemas.openxmlformats.org/officeDocument/2006/relationships/hyperlink" Target="https://www.facebook.com/ads/library/?active_status=active&amp;ad_type=all&amp;country=BR&amp;q=assistir%20videos%20e%20ganhar%20dinheiro&amp;search_type=keyword_unordered&amp;media_type=all" TargetMode="External"/><Relationship Id="rId199" Type="http://schemas.openxmlformats.org/officeDocument/2006/relationships/hyperlink" Target="http://playvideospremiados.com/" TargetMode="External"/><Relationship Id="rId200" Type="http://schemas.openxmlformats.org/officeDocument/2006/relationships/hyperlink" Target="https://www.facebook.com/ads/library/?active_status=active&amp;ad_type=all&amp;country=BR&amp;q=Do%20Zero%20&#224;%20Monetiza&#231;&#227;o%20no%20YouTube&amp;search_type=keyword_unordered&amp;media_type=all" TargetMode="External"/><Relationship Id="rId201" Type="http://schemas.openxmlformats.org/officeDocument/2006/relationships/hyperlink" Target="https://www.facebook.com/ads/library/?active_status=active&amp;ad_type=all&amp;country=BR&amp;q=LottoApp&amp;search_type=keyword_unordered&amp;media_type=all" TargetMode="External"/><Relationship Id="rId202" Type="http://schemas.openxmlformats.org/officeDocument/2006/relationships/hyperlink" Target="https://www.facebook.com/ads/library/?active_status=active&amp;ad_type=all&amp;country=BR&amp;q=Shop%20Cash&amp;search_type=keyword_unordered&amp;media_type=all" TargetMode="External"/><Relationship Id="rId203" Type="http://schemas.openxmlformats.org/officeDocument/2006/relationships/hyperlink" Target="https://www.facebook.com/ads/library/?active_status=active&amp;ad_type=all&amp;country=BR&amp;q=curso%20AIVA&amp;search_type=keyword_unordered&amp;media_type=all" TargetMode="External"/><Relationship Id="rId204" Type="http://schemas.openxmlformats.org/officeDocument/2006/relationships/hyperlink" Target="https://www.facebook.com/ads/library/?active_status=active&amp;ad_type=all&amp;country=BR&amp;q=script%20da%20banca%20concurso&amp;search_type=keyword_unordered&amp;media_type=all" TargetMode="External"/><Relationship Id="rId205" Type="http://schemas.openxmlformats.org/officeDocument/2006/relationships/hyperlink" Target="https://www.facebook.com/ads/library/?active_status=active&amp;ad_type=all&amp;country=BR&amp;q=disciplina%20positiva&amp;search_type=keyword_unordered&amp;media_type=all" TargetMode="External"/><Relationship Id="rId206" Type="http://schemas.openxmlformats.org/officeDocument/2006/relationships/hyperlink" Target="https://comportamentopositivo.com/positiva/" TargetMode="External"/><Relationship Id="rId207" Type="http://schemas.openxmlformats.org/officeDocument/2006/relationships/hyperlink" Target="https://www.facebook.com/ads/library/?active_status=active&amp;ad_type=all&amp;country=BR&amp;q=Gestor%20IA&amp;search_type=keyword_unordered&amp;media_type=all" TargetMode="External"/><Relationship Id="rId208" Type="http://schemas.openxmlformats.org/officeDocument/2006/relationships/hyperlink" Target="https://gestoria.site/" TargetMode="External"/><Relationship Id="rId209" Type="http://schemas.openxmlformats.org/officeDocument/2006/relationships/hyperlink" Target="https://www.facebook.com/ads/library/?active_status=active&amp;ad_type=all&amp;country=BR&amp;q=TDAH%20infantil%20atividades&amp;search_type=keyword_unordered&amp;media_type=all" TargetMode="External"/><Relationship Id="rId210" Type="http://schemas.openxmlformats.org/officeDocument/2006/relationships/hyperlink" Target="https://tdah.soescola.com/" TargetMode="External"/><Relationship Id="rId211" Type="http://schemas.openxmlformats.org/officeDocument/2006/relationships/hyperlink" Target="https://www.facebook.com/ads/library/?active_status=active&amp;ad_type=all&amp;country=BR&amp;q=autismo%20atividades%20crian&#231;a&amp;search_type=keyword_unordered&amp;media_type=all" TargetMode="External"/><Relationship Id="rId212" Type="http://schemas.openxmlformats.org/officeDocument/2006/relationships/hyperlink" Target="https://kitsoescola.com/autismo/" TargetMode="External"/><Relationship Id="rId213" Type="http://schemas.openxmlformats.org/officeDocument/2006/relationships/hyperlink" Target="https://www.facebook.com/ads/library/?active_status=active&amp;ad_type=all&amp;country=BR&amp;q=TEA%20Sem%20Crise&amp;search_type=keyword_unordered&amp;media_type=all" TargetMode="External"/><Relationship Id="rId214" Type="http://schemas.openxmlformats.org/officeDocument/2006/relationships/hyperlink" Target="https://academiadoautismo.com.br/tea-sem-crise/" TargetMode="External"/><Relationship Id="rId215" Type="http://schemas.openxmlformats.org/officeDocument/2006/relationships/hyperlink" Target="https://www.facebook.com/ads/library/?active_status=active&amp;ad_type=all&amp;country=BR&amp;q=LiveGo%20Pro&amp;search_type=keyword_unordered&amp;media_type=all" TargetMode="External"/><Relationship Id="rId216" Type="http://schemas.openxmlformats.org/officeDocument/2006/relationships/hyperlink" Target="https://www.facebook.com/ads/library/?active_status=active&amp;ad_type=all&amp;country=BR&amp;q=biblia%20gratis%20frete&amp;search_type=keyword_unordered&amp;media_type=all" TargetMode="External"/><Relationship Id="rId217" Type="http://schemas.openxmlformats.org/officeDocument/2006/relationships/hyperlink" Target="https://www.facebook.com/ads/library/?active_status=active&amp;ad_type=all&amp;country=BR&amp;q=Saradas%20para%20Sarar&amp;search_type=keyword_unordered&amp;media_type=all" TargetMode="External"/><Relationship Id="rId218" Type="http://schemas.openxmlformats.org/officeDocument/2006/relationships/hyperlink" Target="https://saradasparasarar.kpages.online/nova-pagina-f6122b44-533a-4f97-bc16-1537ce559d68-1537900276" TargetMode="External"/><Relationship Id="rId219" Type="http://schemas.openxmlformats.org/officeDocument/2006/relationships/hyperlink" Target="https://www.facebook.com/ads/library/?active_status=active&amp;ad_type=all&amp;country=BR&amp;q=mounjaro%20natural%20caseiro&amp;search_type=keyword_unordered&amp;media_type=all" TargetMode="External"/><Relationship Id="rId220" Type="http://schemas.openxmlformats.org/officeDocument/2006/relationships/hyperlink" Target="https://www.facebook.com/ads/library/?active_status=active&amp;ad_type=all&amp;country=BR&amp;q=%2B500%20Planos%20de%20Aula&amp;search_type=keyword_unordered&amp;media_type=all" TargetMode="External"/><Relationship Id="rId221" Type="http://schemas.openxmlformats.org/officeDocument/2006/relationships/hyperlink" Target="https://planosdeaula.netlify.app/" TargetMode="External"/><Relationship Id="rId222" Type="http://schemas.openxmlformats.org/officeDocument/2006/relationships/hyperlink" Target="https://www.facebook.com/ads/library/?active_status=active&amp;ad_type=all&amp;country=BR&amp;q=Raio-X%20ENARE%20Farmacia&amp;search_type=keyword_unordered&amp;media_type=all" TargetMode="External"/><Relationship Id="rId223" Type="http://schemas.openxmlformats.org/officeDocument/2006/relationships/hyperlink" Target="https://raioxenarefarmacia2026.netlify.app/" TargetMode="External"/><Relationship Id="rId224" Type="http://schemas.openxmlformats.org/officeDocument/2006/relationships/hyperlink" Target="https://www.facebook.com/ads/library/?active_status=active&amp;ad_type=all&amp;country=BR&amp;q=Robo%20Produtor&amp;search_type=keyword_unordered&amp;media_type=all" TargetMode="External"/><Relationship Id="rId225" Type="http://schemas.openxmlformats.org/officeDocument/2006/relationships/hyperlink" Target="https://robodofuturo.com.br/" TargetMode="External"/><Relationship Id="rId226" Type="http://schemas.openxmlformats.org/officeDocument/2006/relationships/hyperlink" Target="https://www.facebook.com/ads/library/?active_status=active&amp;ad_type=all&amp;country=BR&amp;q=Arquitetos%20do%20Pensamento&amp;search_type=keyword_unordered&amp;media_type=all" TargetMode="External"/><Relationship Id="rId227" Type="http://schemas.openxmlformats.org/officeDocument/2006/relationships/hyperlink" Target="https://arquitetos-do-pensamento.netlify.app/" TargetMode="External"/><Relationship Id="rId228" Type="http://schemas.openxmlformats.org/officeDocument/2006/relationships/hyperlink" Target="https://www.facebook.com/ads/library/?active_status=active&amp;ad_type=all&amp;country=BR&amp;q=desbanir%20n&#250;mero%20whatsapp&amp;search_type=keyword_unordered&amp;media_type=all" TargetMode="External"/><Relationship Id="rId229" Type="http://schemas.openxmlformats.org/officeDocument/2006/relationships/hyperlink" Target="https://www.facebook.com/ads/library/?active_status=active&amp;ad_type=all&amp;country=BR&amp;q=Cash%20no%20Pix&amp;search_type=keyword_unordered&amp;media_type=all" TargetMode="External"/><Relationship Id="rId230" Type="http://schemas.openxmlformats.org/officeDocument/2006/relationships/hyperlink" Target="https://cashnopix.net/" TargetMode="External"/><Relationship Id="rId231" Type="http://schemas.openxmlformats.org/officeDocument/2006/relationships/hyperlink" Target="https://www.facebook.com/ads/library/?active_status=active&amp;ad_type=all&amp;country=BR&amp;q=parar%20de%20gritar%20filho&amp;search_type=keyword_unordered&amp;media_type=all" TargetMode="External"/><Relationship Id="rId232" Type="http://schemas.openxmlformats.org/officeDocument/2006/relationships/hyperlink" Target="https://biarcangeli.ac-page.com/paradegritar" TargetMode="External"/><Relationship Id="rId233" Type="http://schemas.openxmlformats.org/officeDocument/2006/relationships/hyperlink" Target="https://www.facebook.com/ads/library/?active_status=active&amp;ad_type=all&amp;country=BR&amp;q=WhatsRadar&amp;search_type=keyword_unordered&amp;media_type=all" TargetMode="External"/><Relationship Id="rId234" Type="http://schemas.openxmlformats.org/officeDocument/2006/relationships/hyperlink" Target="https://whatsradar.com/" TargetMode="External"/><Relationship Id="rId235" Type="http://schemas.openxmlformats.org/officeDocument/2006/relationships/hyperlink" Target="https://www.facebook.com/ads/library/?active_status=active&amp;ad_type=all&amp;country=BR&amp;q=Agentor%20Bruno%20Gabarra&amp;search_type=keyword_unordered&amp;media_type=all" TargetMode="External"/><Relationship Id="rId236" Type="http://schemas.openxmlformats.org/officeDocument/2006/relationships/hyperlink" Target="https://www.facebook.com/ads/library/?active_status=active&amp;ad_type=all&amp;country=BR&amp;q=mounjaro%20de%20pobre&amp;search_type=keyword_unordered&amp;media_type=all" TargetMode="External"/><Relationship Id="rId237" Type="http://schemas.openxmlformats.org/officeDocument/2006/relationships/hyperlink" Target="https://www.facebook.com/ads/library/?active_status=active&amp;ad_type=all&amp;country=BR&amp;q=Love%20Pix&amp;search_type=keyword_unordered&amp;media_type=all" TargetMode="External"/><Relationship Id="rId238" Type="http://schemas.openxmlformats.org/officeDocument/2006/relationships/hyperlink" Target="https://www.facebook.com/ads/library/?active_status=active&amp;ad_type=all&amp;country=BR&amp;q=Publion&amp;search_type=keyword_unordered&amp;media_type=all" TargetMode="External"/><Relationship Id="rId239" Type="http://schemas.openxmlformats.org/officeDocument/2006/relationships/hyperlink" Target="https://www.facebook.com/ads/library/?active_status=active&amp;ad_type=all&amp;country=BR&amp;q=Cinefy&amp;search_type=keyword_unordered&amp;media_type=all" TargetMode="External"/><Relationship Id="rId240" Type="http://schemas.openxmlformats.org/officeDocument/2006/relationships/hyperlink" Target="https://app.cinefytv.site/" TargetMode="External"/><Relationship Id="rId241" Type="http://schemas.openxmlformats.org/officeDocument/2006/relationships/hyperlink" Target="https://www.facebook.com/ads/library/?active_status=active&amp;ad_type=all&amp;country=BR&amp;q=Operax&amp;search_type=keyword_unordered&amp;media_type=all" TargetMode="External"/><Relationship Id="rId242" Type="http://schemas.openxmlformats.org/officeDocument/2006/relationships/hyperlink" Target="https://www.facebook.com/ads/library/?active_status=active&amp;ad_type=all&amp;country=BR&amp;q=CapCut%20Pro%20assinatura%20barata&amp;search_type=keyword_unordered&amp;media_type=all" TargetMode="External"/><Relationship Id="rId243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9" min="5" style="0" width="11"/>
    <col collapsed="false" customWidth="true" hidden="false" outlineLevel="0" max="10" min="10" style="0" width="24"/>
    <col collapsed="false" customWidth="true" hidden="false" outlineLevel="0" max="11" min="11" style="0" width="1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B6" s="3" t="s">
        <v>2</v>
      </c>
      <c r="C6" s="3"/>
      <c r="D6" s="4" t="s">
        <v>3</v>
      </c>
      <c r="E6" s="4"/>
      <c r="F6" s="4" t="s">
        <v>4</v>
      </c>
      <c r="G6" s="4"/>
      <c r="H6" s="5" t="s">
        <v>5</v>
      </c>
      <c r="I6" s="5"/>
      <c r="J6" s="3" t="s">
        <v>6</v>
      </c>
      <c r="K6" s="3"/>
      <c r="L6" s="4" t="s">
        <v>7</v>
      </c>
      <c r="M6" s="4"/>
      <c r="N6" s="6" t="s">
        <v>8</v>
      </c>
      <c r="O6" s="6"/>
      <c r="P6" s="7" t="s">
        <v>9</v>
      </c>
      <c r="Q6" s="7"/>
    </row>
    <row r="7" customFormat="false" ht="15" hidden="false" customHeight="false" outlineLevel="0" collapsed="false">
      <c r="B7" s="8" t="n">
        <f aca="false">COUNTA(Ofertas!A2:A124)</f>
        <v>123</v>
      </c>
      <c r="C7" s="8"/>
      <c r="D7" s="8" t="n">
        <f aca="false">COUNTIF(Ofertas!B2:B124,"&gt;=7")</f>
        <v>12</v>
      </c>
      <c r="E7" s="8"/>
      <c r="F7" s="8" t="n">
        <f aca="false">COUNTIF(Ofertas!C2:C124,"&gt;=7")</f>
        <v>15</v>
      </c>
      <c r="G7" s="8"/>
      <c r="H7" s="8" t="n">
        <f aca="false">COUNTIF(Ofertas!E2:E124,"Alta")</f>
        <v>6</v>
      </c>
      <c r="I7" s="8"/>
      <c r="J7" s="8" t="n">
        <f aca="false">COUNTIF(Ofertas!N2:N124,"ativa")</f>
        <v>9</v>
      </c>
      <c r="K7" s="8"/>
      <c r="L7" s="8" t="n">
        <f aca="false">COUNTIF(Ofertas!O2:O124,"replicar")</f>
        <v>14</v>
      </c>
      <c r="M7" s="8"/>
      <c r="N7" s="8" t="n">
        <f aca="false">SUM(Ofertas!L2:L124)</f>
        <v>100</v>
      </c>
      <c r="O7" s="8"/>
      <c r="P7" s="8" t="n">
        <f aca="false">ROUND(AVERAGEIF(Ofertas!S2:S124,"&gt;0"),0)</f>
        <v>72</v>
      </c>
      <c r="Q7" s="8"/>
    </row>
    <row r="8" customFormat="false" ht="15" hidden="false" customHeight="false" outlineLevel="0" collapsed="false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10" customFormat="false" ht="16.15" hidden="false" customHeight="false" outlineLevel="0" collapsed="false">
      <c r="B10" s="9" t="s">
        <v>10</v>
      </c>
    </row>
    <row r="11" customFormat="false" ht="15" hidden="false" customHeight="false" outlineLevel="0" collapsed="false">
      <c r="B11" s="10" t="s">
        <v>11</v>
      </c>
      <c r="C11" s="10" t="s">
        <v>12</v>
      </c>
      <c r="D11" s="10" t="s">
        <v>13</v>
      </c>
      <c r="E11" s="10" t="s">
        <v>14</v>
      </c>
      <c r="F11" s="10" t="s">
        <v>15</v>
      </c>
      <c r="G11" s="10" t="s">
        <v>16</v>
      </c>
      <c r="H11" s="10" t="s">
        <v>17</v>
      </c>
      <c r="I11" s="10" t="s">
        <v>18</v>
      </c>
      <c r="J11" s="10" t="s">
        <v>19</v>
      </c>
      <c r="K11" s="10" t="s">
        <v>20</v>
      </c>
    </row>
    <row r="12" customFormat="false" ht="15" hidden="false" customHeight="false" outlineLevel="0" collapsed="false">
      <c r="B12" s="11" t="n">
        <v>1</v>
      </c>
      <c r="C12" s="12" t="s">
        <v>21</v>
      </c>
      <c r="D12" s="13" t="n">
        <f aca="false">INDEX(Ofertas!B:B,MATCH($C12,Ofertas!$A:$A,0))</f>
        <v>8.5</v>
      </c>
      <c r="E12" s="13" t="n">
        <f aca="false">INDEX(Ofertas!C:C,MATCH($C12,Ofertas!$A:$A,0))</f>
        <v>6.7</v>
      </c>
      <c r="F12" s="13" t="n">
        <f aca="false">INDEX(Ofertas!D:D,MATCH($C12,Ofertas!$A:$A,0))</f>
        <v>7.5</v>
      </c>
      <c r="G12" s="11" t="str">
        <f aca="false">INDEX(Ofertas!E:E,MATCH($C12,Ofertas!$A:$A,0))</f>
        <v>Alta</v>
      </c>
      <c r="H12" s="11" t="n">
        <f aca="false">INDEX(Ofertas!L:L,MATCH($C12,Ofertas!$A:$A,0))</f>
        <v>9</v>
      </c>
      <c r="I12" s="11" t="n">
        <f aca="false">INDEX(Ofertas!M:M,MATCH($C12,Ofertas!$A:$A,0))</f>
        <v>509</v>
      </c>
      <c r="J12" s="14" t="str">
        <f aca="false">INDEX(Ofertas!P:P,MATCH($C12,Ofertas!$A:$A,0))</f>
        <v>danca</v>
      </c>
      <c r="K12" s="15" t="s">
        <v>22</v>
      </c>
    </row>
    <row r="13" customFormat="false" ht="15" hidden="false" customHeight="false" outlineLevel="0" collapsed="false">
      <c r="B13" s="16" t="n">
        <v>2</v>
      </c>
      <c r="C13" s="17" t="s">
        <v>23</v>
      </c>
      <c r="D13" s="18" t="n">
        <f aca="false">INDEX(Ofertas!B:B,MATCH($C13,Ofertas!$A:$A,0))</f>
        <v>8</v>
      </c>
      <c r="E13" s="18" t="n">
        <f aca="false">INDEX(Ofertas!C:C,MATCH($C13,Ofertas!$A:$A,0))</f>
        <v>6.9</v>
      </c>
      <c r="F13" s="18" t="n">
        <f aca="false">INDEX(Ofertas!D:D,MATCH($C13,Ofertas!$A:$A,0))</f>
        <v>7.4</v>
      </c>
      <c r="G13" s="16" t="str">
        <f aca="false">INDEX(Ofertas!E:E,MATCH($C13,Ofertas!$A:$A,0))</f>
        <v>Alta</v>
      </c>
      <c r="H13" s="16" t="n">
        <f aca="false">INDEX(Ofertas!L:L,MATCH($C13,Ofertas!$A:$A,0))</f>
        <v>9</v>
      </c>
      <c r="I13" s="16" t="n">
        <f aca="false">INDEX(Ofertas!M:M,MATCH($C13,Ofertas!$A:$A,0))</f>
        <v>54</v>
      </c>
      <c r="J13" s="19" t="str">
        <f aca="false">INDEX(Ofertas!P:P,MATCH($C13,Ofertas!$A:$A,0))</f>
        <v>comportamento-infantil</v>
      </c>
      <c r="K13" s="20" t="s">
        <v>22</v>
      </c>
    </row>
    <row r="14" customFormat="false" ht="15" hidden="false" customHeight="false" outlineLevel="0" collapsed="false">
      <c r="B14" s="11" t="n">
        <v>3</v>
      </c>
      <c r="C14" s="12" t="s">
        <v>24</v>
      </c>
      <c r="D14" s="13" t="n">
        <f aca="false">INDEX(Ofertas!B:B,MATCH($C14,Ofertas!$A:$A,0))</f>
        <v>8</v>
      </c>
      <c r="E14" s="13" t="n">
        <f aca="false">INDEX(Ofertas!C:C,MATCH($C14,Ofertas!$A:$A,0))</f>
        <v>6.5</v>
      </c>
      <c r="F14" s="13" t="n">
        <f aca="false">INDEX(Ofertas!D:D,MATCH($C14,Ofertas!$A:$A,0))</f>
        <v>7.2</v>
      </c>
      <c r="G14" s="11" t="str">
        <f aca="false">INDEX(Ofertas!E:E,MATCH($C14,Ofertas!$A:$A,0))</f>
        <v>Alta</v>
      </c>
      <c r="H14" s="11" t="n">
        <f aca="false">INDEX(Ofertas!L:L,MATCH($C14,Ofertas!$A:$A,0))</f>
        <v>0</v>
      </c>
      <c r="I14" s="11" t="n">
        <f aca="false">INDEX(Ofertas!M:M,MATCH($C14,Ofertas!$A:$A,0))</f>
        <v>1826</v>
      </c>
      <c r="J14" s="14" t="str">
        <f aca="false">INDEX(Ofertas!P:P,MATCH($C14,Ofertas!$A:$A,0))</f>
        <v>esoterico</v>
      </c>
      <c r="K14" s="15" t="s">
        <v>22</v>
      </c>
    </row>
    <row r="15" customFormat="false" ht="15" hidden="false" customHeight="false" outlineLevel="0" collapsed="false">
      <c r="B15" s="16" t="n">
        <v>4</v>
      </c>
      <c r="C15" s="17" t="s">
        <v>25</v>
      </c>
      <c r="D15" s="18" t="n">
        <f aca="false">INDEX(Ofertas!B:B,MATCH($C15,Ofertas!$A:$A,0))</f>
        <v>7.5</v>
      </c>
      <c r="E15" s="18" t="n">
        <f aca="false">INDEX(Ofertas!C:C,MATCH($C15,Ofertas!$A:$A,0))</f>
        <v>6.8</v>
      </c>
      <c r="F15" s="18" t="n">
        <f aca="false">INDEX(Ofertas!D:D,MATCH($C15,Ofertas!$A:$A,0))</f>
        <v>7.1</v>
      </c>
      <c r="G15" s="16" t="str">
        <f aca="false">INDEX(Ofertas!E:E,MATCH($C15,Ofertas!$A:$A,0))</f>
        <v>Alta</v>
      </c>
      <c r="H15" s="16" t="n">
        <f aca="false">INDEX(Ofertas!L:L,MATCH($C15,Ofertas!$A:$A,0))</f>
        <v>8</v>
      </c>
      <c r="I15" s="16" t="n">
        <f aca="false">INDEX(Ofertas!M:M,MATCH($C15,Ofertas!$A:$A,0))</f>
        <v>123</v>
      </c>
      <c r="J15" s="19" t="str">
        <f aca="false">INDEX(Ofertas!P:P,MATCH($C15,Ofertas!$A:$A,0))</f>
        <v>material-pedagogico</v>
      </c>
      <c r="K15" s="20" t="s">
        <v>22</v>
      </c>
    </row>
    <row r="16" customFormat="false" ht="15" hidden="false" customHeight="false" outlineLevel="0" collapsed="false">
      <c r="B16" s="11" t="n">
        <v>5</v>
      </c>
      <c r="C16" s="12" t="s">
        <v>26</v>
      </c>
      <c r="D16" s="13" t="n">
        <f aca="false">INDEX(Ofertas!B:B,MATCH($C16,Ofertas!$A:$A,0))</f>
        <v>6.5</v>
      </c>
      <c r="E16" s="13" t="n">
        <f aca="false">INDEX(Ofertas!C:C,MATCH($C16,Ofertas!$A:$A,0))</f>
        <v>7.5</v>
      </c>
      <c r="F16" s="13" t="n">
        <f aca="false">INDEX(Ofertas!D:D,MATCH($C16,Ofertas!$A:$A,0))</f>
        <v>7.1</v>
      </c>
      <c r="G16" s="11" t="str">
        <f aca="false">INDEX(Ofertas!E:E,MATCH($C16,Ofertas!$A:$A,0))</f>
        <v>Alta</v>
      </c>
      <c r="H16" s="11" t="n">
        <f aca="false">INDEX(Ofertas!L:L,MATCH($C16,Ofertas!$A:$A,0))</f>
        <v>1</v>
      </c>
      <c r="I16" s="11" t="n">
        <f aca="false">INDEX(Ofertas!M:M,MATCH($C16,Ofertas!$A:$A,0))</f>
        <v>76</v>
      </c>
      <c r="J16" s="14" t="str">
        <f aca="false">INDEX(Ofertas!P:P,MATCH($C16,Ofertas!$A:$A,0))</f>
        <v>material-pedagogico</v>
      </c>
      <c r="K16" s="15" t="s">
        <v>22</v>
      </c>
    </row>
    <row r="17" customFormat="false" ht="15" hidden="false" customHeight="false" outlineLevel="0" collapsed="false">
      <c r="B17" s="16" t="n">
        <v>6</v>
      </c>
      <c r="C17" s="17" t="s">
        <v>27</v>
      </c>
      <c r="D17" s="18" t="n">
        <f aca="false">INDEX(Ofertas!B:B,MATCH($C17,Ofertas!$A:$A,0))</f>
        <v>8</v>
      </c>
      <c r="E17" s="18" t="n">
        <f aca="false">INDEX(Ofertas!C:C,MATCH($C17,Ofertas!$A:$A,0))</f>
        <v>6.1</v>
      </c>
      <c r="F17" s="18" t="n">
        <f aca="false">INDEX(Ofertas!D:D,MATCH($C17,Ofertas!$A:$A,0))</f>
        <v>7</v>
      </c>
      <c r="G17" s="16" t="str">
        <f aca="false">INDEX(Ofertas!E:E,MATCH($C17,Ofertas!$A:$A,0))</f>
        <v>Alta</v>
      </c>
      <c r="H17" s="16" t="n">
        <f aca="false">INDEX(Ofertas!L:L,MATCH($C17,Ofertas!$A:$A,0))</f>
        <v>10</v>
      </c>
      <c r="I17" s="16" t="n">
        <f aca="false">INDEX(Ofertas!M:M,MATCH($C17,Ofertas!$A:$A,0))</f>
        <v>39</v>
      </c>
      <c r="J17" s="19" t="str">
        <f aca="false">INDEX(Ofertas!P:P,MATCH($C17,Ofertas!$A:$A,0))</f>
        <v>material-pedagogico</v>
      </c>
      <c r="K17" s="16" t="s">
        <v>28</v>
      </c>
    </row>
    <row r="18" customFormat="false" ht="15" hidden="false" customHeight="false" outlineLevel="0" collapsed="false">
      <c r="B18" s="11" t="n">
        <v>7</v>
      </c>
      <c r="C18" s="12" t="s">
        <v>29</v>
      </c>
      <c r="D18" s="13" t="n">
        <f aca="false">INDEX(Ofertas!B:B,MATCH($C18,Ofertas!$A:$A,0))</f>
        <v>7</v>
      </c>
      <c r="E18" s="13" t="n">
        <f aca="false">INDEX(Ofertas!C:C,MATCH($C18,Ofertas!$A:$A,0))</f>
        <v>6.7</v>
      </c>
      <c r="F18" s="13" t="n">
        <f aca="false">INDEX(Ofertas!D:D,MATCH($C18,Ofertas!$A:$A,0))</f>
        <v>6.8</v>
      </c>
      <c r="G18" s="11" t="str">
        <f aca="false">INDEX(Ofertas!E:E,MATCH($C18,Ofertas!$A:$A,0))</f>
        <v>Media</v>
      </c>
      <c r="H18" s="11" t="n">
        <f aca="false">INDEX(Ofertas!L:L,MATCH($C18,Ofertas!$A:$A,0))</f>
        <v>3</v>
      </c>
      <c r="I18" s="11" t="n">
        <f aca="false">INDEX(Ofertas!M:M,MATCH($C18,Ofertas!$A:$A,0))</f>
        <v>35</v>
      </c>
      <c r="J18" s="14" t="str">
        <f aca="false">INDEX(Ofertas!P:P,MATCH($C18,Ofertas!$A:$A,0))</f>
        <v>comportamento-infantil</v>
      </c>
      <c r="K18" s="11" t="s">
        <v>28</v>
      </c>
    </row>
    <row r="19" customFormat="false" ht="15" hidden="false" customHeight="false" outlineLevel="0" collapsed="false">
      <c r="B19" s="16" t="n">
        <v>8</v>
      </c>
      <c r="C19" s="17" t="s">
        <v>30</v>
      </c>
      <c r="D19" s="18" t="n">
        <f aca="false">INDEX(Ofertas!B:B,MATCH($C19,Ofertas!$A:$A,0))</f>
        <v>7</v>
      </c>
      <c r="E19" s="18" t="n">
        <f aca="false">INDEX(Ofertas!C:C,MATCH($C19,Ofertas!$A:$A,0))</f>
        <v>6.2</v>
      </c>
      <c r="F19" s="18" t="n">
        <f aca="false">INDEX(Ofertas!D:D,MATCH($C19,Ofertas!$A:$A,0))</f>
        <v>6.6</v>
      </c>
      <c r="G19" s="16" t="str">
        <f aca="false">INDEX(Ofertas!E:E,MATCH($C19,Ofertas!$A:$A,0))</f>
        <v>Media</v>
      </c>
      <c r="H19" s="16" t="n">
        <f aca="false">INDEX(Ofertas!L:L,MATCH($C19,Ofertas!$A:$A,0))</f>
        <v>11</v>
      </c>
      <c r="I19" s="16" t="n">
        <f aca="false">INDEX(Ofertas!M:M,MATCH($C19,Ofertas!$A:$A,0))</f>
        <v>9</v>
      </c>
      <c r="J19" s="19" t="str">
        <f aca="false">INDEX(Ofertas!P:P,MATCH($C19,Ofertas!$A:$A,0))</f>
        <v>danca</v>
      </c>
      <c r="K19" s="20" t="s">
        <v>22</v>
      </c>
    </row>
    <row r="20" customFormat="false" ht="15" hidden="false" customHeight="false" outlineLevel="0" collapsed="false">
      <c r="B20" s="11" t="n">
        <v>9</v>
      </c>
      <c r="C20" s="12" t="s">
        <v>31</v>
      </c>
      <c r="D20" s="13" t="n">
        <f aca="false">INDEX(Ofertas!B:B,MATCH($C20,Ofertas!$A:$A,0))</f>
        <v>7</v>
      </c>
      <c r="E20" s="13" t="n">
        <f aca="false">INDEX(Ofertas!C:C,MATCH($C20,Ofertas!$A:$A,0))</f>
        <v>6.2</v>
      </c>
      <c r="F20" s="13" t="n">
        <f aca="false">INDEX(Ofertas!D:D,MATCH($C20,Ofertas!$A:$A,0))</f>
        <v>6.6</v>
      </c>
      <c r="G20" s="11" t="str">
        <f aca="false">INDEX(Ofertas!E:E,MATCH($C20,Ofertas!$A:$A,0))</f>
        <v>Media</v>
      </c>
      <c r="H20" s="11" t="n">
        <f aca="false">INDEX(Ofertas!L:L,MATCH($C20,Ofertas!$A:$A,0))</f>
        <v>19</v>
      </c>
      <c r="I20" s="11" t="n">
        <f aca="false">INDEX(Ofertas!M:M,MATCH($C20,Ofertas!$A:$A,0))</f>
        <v>10</v>
      </c>
      <c r="J20" s="14" t="str">
        <f aca="false">INDEX(Ofertas!P:P,MATCH($C20,Ofertas!$A:$A,0))</f>
        <v>danca</v>
      </c>
      <c r="K20" s="11" t="s">
        <v>28</v>
      </c>
    </row>
    <row r="21" customFormat="false" ht="15" hidden="false" customHeight="false" outlineLevel="0" collapsed="false">
      <c r="B21" s="16" t="n">
        <v>10</v>
      </c>
      <c r="C21" s="17" t="s">
        <v>32</v>
      </c>
      <c r="D21" s="18" t="n">
        <f aca="false">INDEX(Ofertas!B:B,MATCH($C21,Ofertas!$A:$A,0))</f>
        <v>6</v>
      </c>
      <c r="E21" s="18" t="n">
        <f aca="false">INDEX(Ofertas!C:C,MATCH($C21,Ofertas!$A:$A,0))</f>
        <v>6.9</v>
      </c>
      <c r="F21" s="18" t="n">
        <f aca="false">INDEX(Ofertas!D:D,MATCH($C21,Ofertas!$A:$A,0))</f>
        <v>6.5</v>
      </c>
      <c r="G21" s="16" t="str">
        <f aca="false">INDEX(Ofertas!E:E,MATCH($C21,Ofertas!$A:$A,0))</f>
        <v>Media</v>
      </c>
      <c r="H21" s="16" t="n">
        <f aca="false">INDEX(Ofertas!L:L,MATCH($C21,Ofertas!$A:$A,0))</f>
        <v>2</v>
      </c>
      <c r="I21" s="16" t="n">
        <f aca="false">INDEX(Ofertas!M:M,MATCH($C21,Ofertas!$A:$A,0))</f>
        <v>42</v>
      </c>
      <c r="J21" s="19" t="str">
        <f aca="false">INDEX(Ofertas!P:P,MATCH($C21,Ofertas!$A:$A,0))</f>
        <v>comportamento-infantil</v>
      </c>
      <c r="K21" s="20" t="s">
        <v>22</v>
      </c>
    </row>
    <row r="22" customFormat="false" ht="15" hidden="false" customHeight="false" outlineLevel="0" collapsed="false">
      <c r="B22" s="11" t="n">
        <v>11</v>
      </c>
      <c r="C22" s="12" t="s">
        <v>33</v>
      </c>
      <c r="D22" s="13" t="n">
        <f aca="false">INDEX(Ofertas!B:B,MATCH($C22,Ofertas!$A:$A,0))</f>
        <v>6.5</v>
      </c>
      <c r="E22" s="13" t="n">
        <f aca="false">INDEX(Ofertas!C:C,MATCH($C22,Ofertas!$A:$A,0))</f>
        <v>6.1</v>
      </c>
      <c r="F22" s="13" t="n">
        <f aca="false">INDEX(Ofertas!D:D,MATCH($C22,Ofertas!$A:$A,0))</f>
        <v>6.3</v>
      </c>
      <c r="G22" s="11" t="str">
        <f aca="false">INDEX(Ofertas!E:E,MATCH($C22,Ofertas!$A:$A,0))</f>
        <v>Media</v>
      </c>
      <c r="H22" s="11" t="n">
        <f aca="false">INDEX(Ofertas!L:L,MATCH($C22,Ofertas!$A:$A,0))</f>
        <v>2</v>
      </c>
      <c r="I22" s="11" t="n">
        <f aca="false">INDEX(Ofertas!M:M,MATCH($C22,Ofertas!$A:$A,0))</f>
        <v>107</v>
      </c>
      <c r="J22" s="14" t="str">
        <f aca="false">INDEX(Ofertas!P:P,MATCH($C22,Ofertas!$A:$A,0))</f>
        <v>material-pedagogico</v>
      </c>
      <c r="K22" s="11" t="s">
        <v>28</v>
      </c>
    </row>
    <row r="23" customFormat="false" ht="15" hidden="false" customHeight="false" outlineLevel="0" collapsed="false">
      <c r="B23" s="16" t="n">
        <v>12</v>
      </c>
      <c r="C23" s="17" t="s">
        <v>34</v>
      </c>
      <c r="D23" s="18" t="n">
        <f aca="false">INDEX(Ofertas!B:B,MATCH($C23,Ofertas!$A:$A,0))</f>
        <v>6.5</v>
      </c>
      <c r="E23" s="18" t="n">
        <f aca="false">INDEX(Ofertas!C:C,MATCH($C23,Ofertas!$A:$A,0))</f>
        <v>6.1</v>
      </c>
      <c r="F23" s="18" t="n">
        <f aca="false">INDEX(Ofertas!D:D,MATCH($C23,Ofertas!$A:$A,0))</f>
        <v>6.3</v>
      </c>
      <c r="G23" s="16" t="str">
        <f aca="false">INDEX(Ofertas!E:E,MATCH($C23,Ofertas!$A:$A,0))</f>
        <v>Media</v>
      </c>
      <c r="H23" s="16" t="n">
        <f aca="false">INDEX(Ofertas!L:L,MATCH($C23,Ofertas!$A:$A,0))</f>
        <v>1</v>
      </c>
      <c r="I23" s="16" t="n">
        <f aca="false">INDEX(Ofertas!M:M,MATCH($C23,Ofertas!$A:$A,0))</f>
        <v>74</v>
      </c>
      <c r="J23" s="19" t="str">
        <f aca="false">INDEX(Ofertas!P:P,MATCH($C23,Ofertas!$A:$A,0))</f>
        <v>material-pedagogico</v>
      </c>
      <c r="K23" s="20" t="s">
        <v>22</v>
      </c>
    </row>
    <row r="26" customFormat="false" ht="16.15" hidden="false" customHeight="false" outlineLevel="0" collapsed="false">
      <c r="B26" s="9" t="s">
        <v>35</v>
      </c>
      <c r="J26" s="9" t="s">
        <v>36</v>
      </c>
    </row>
    <row r="27" customFormat="false" ht="15" hidden="false" customHeight="false" outlineLevel="0" collapsed="false">
      <c r="B27" s="10" t="s">
        <v>19</v>
      </c>
      <c r="C27" s="10" t="s">
        <v>37</v>
      </c>
      <c r="D27" s="10" t="s">
        <v>38</v>
      </c>
      <c r="E27" s="10" t="s">
        <v>39</v>
      </c>
      <c r="F27" s="10" t="s">
        <v>8</v>
      </c>
      <c r="G27" s="10" t="s">
        <v>9</v>
      </c>
      <c r="H27" s="10" t="s">
        <v>40</v>
      </c>
    </row>
    <row r="28" customFormat="false" ht="15" hidden="false" customHeight="false" outlineLevel="0" collapsed="false">
      <c r="B28" s="14" t="s">
        <v>41</v>
      </c>
      <c r="C28" s="11" t="n">
        <f aca="false">COUNTIF(Ofertas!$P$2:$P$124,$B28)</f>
        <v>23</v>
      </c>
      <c r="D28" s="21" t="n">
        <f aca="false">IFERROR(ROUND(AVERAGEIF(Ofertas!$P$2:$P$124,$B28,Ofertas!$D$2:$D$124),1),"")</f>
        <v>4.4</v>
      </c>
      <c r="E28" s="21" t="n">
        <f aca="false">IFERROR(ROUND(AVERAGEIF(Ofertas!$P$2:$P$124,$B28,Ofertas!$B$2:$B$124),1),"")</f>
        <v>1.7</v>
      </c>
      <c r="F28" s="11" t="n">
        <f aca="false">SUMIF(Ofertas!$P$2:$P$124,$B28,Ofertas!$L$2:$L$124)</f>
        <v>17</v>
      </c>
      <c r="G28" s="22" t="n">
        <f aca="false">IFERROR(ROUND(AVERAGEIF(Ofertas!$P$2:$P$124,$B28,Ofertas!$S$2:$S$124),0),"")</f>
        <v>34</v>
      </c>
      <c r="H28" s="23" t="str">
        <f aca="false">REPT("|",C28)</f>
        <v>|||||||||||||||||||||||</v>
      </c>
      <c r="J28" s="24" t="s">
        <v>42</v>
      </c>
    </row>
    <row r="29" customFormat="false" ht="15" hidden="false" customHeight="false" outlineLevel="0" collapsed="false">
      <c r="B29" s="19" t="s">
        <v>43</v>
      </c>
      <c r="C29" s="16" t="n">
        <f aca="false">COUNTIF(Ofertas!$P$2:$P$124,$B29)</f>
        <v>13</v>
      </c>
      <c r="D29" s="25" t="n">
        <f aca="false">IFERROR(ROUND(AVERAGEIF(Ofertas!$P$2:$P$124,$B29,Ofertas!$D$2:$D$124),1),"")</f>
        <v>5.8</v>
      </c>
      <c r="E29" s="25" t="n">
        <f aca="false">IFERROR(ROUND(AVERAGEIF(Ofertas!$P$2:$P$124,$B29,Ofertas!$B$2:$B$124),1),"")</f>
        <v>6.2</v>
      </c>
      <c r="F29" s="16" t="n">
        <f aca="false">SUMIF(Ofertas!$P$2:$P$124,$B29,Ofertas!$L$2:$L$124)</f>
        <v>58</v>
      </c>
      <c r="G29" s="26" t="n">
        <f aca="false">IFERROR(ROUND(AVERAGEIF(Ofertas!$P$2:$P$124,$B29,Ofertas!$S$2:$S$124),0),"")</f>
        <v>109</v>
      </c>
      <c r="H29" s="27" t="str">
        <f aca="false">REPT("|",C29)</f>
        <v>|||||||||||||</v>
      </c>
      <c r="J29" s="28" t="s">
        <v>44</v>
      </c>
    </row>
    <row r="30" customFormat="false" ht="15" hidden="false" customHeight="false" outlineLevel="0" collapsed="false">
      <c r="B30" s="14" t="s">
        <v>45</v>
      </c>
      <c r="C30" s="11" t="n">
        <f aca="false">COUNTIF(Ofertas!$P$2:$P$124,$B30)</f>
        <v>11</v>
      </c>
      <c r="D30" s="21" t="n">
        <f aca="false">IFERROR(ROUND(AVERAGEIF(Ofertas!$P$2:$P$124,$B30,Ofertas!$D$2:$D$124),1),"")</f>
        <v>6.1</v>
      </c>
      <c r="E30" s="21" t="n">
        <f aca="false">IFERROR(ROUND(AVERAGEIF(Ofertas!$P$2:$P$124,$B30,Ofertas!$B$2:$B$124),1),"")</f>
        <v>5.8</v>
      </c>
      <c r="F30" s="11" t="n">
        <f aca="false">SUMIF(Ofertas!$P$2:$P$124,$B30,Ofertas!$L$2:$L$124)</f>
        <v>25</v>
      </c>
      <c r="G30" s="22" t="n">
        <f aca="false">IFERROR(ROUND(AVERAGEIF(Ofertas!$P$2:$P$124,$B30,Ofertas!$S$2:$S$124),0),"")</f>
        <v>27</v>
      </c>
      <c r="H30" s="23" t="str">
        <f aca="false">REPT("|",C30)</f>
        <v>|||||||||||</v>
      </c>
      <c r="J30" s="28" t="s">
        <v>46</v>
      </c>
    </row>
    <row r="31" customFormat="false" ht="15" hidden="false" customHeight="false" outlineLevel="0" collapsed="false">
      <c r="B31" s="19" t="s">
        <v>47</v>
      </c>
      <c r="C31" s="16" t="n">
        <f aca="false">COUNTIF(Ofertas!$P$2:$P$124,$B31)</f>
        <v>11</v>
      </c>
      <c r="D31" s="25" t="n">
        <f aca="false">IFERROR(ROUND(AVERAGEIF(Ofertas!$P$2:$P$124,$B31,Ofertas!$D$2:$D$124),1),"")</f>
        <v>3.8</v>
      </c>
      <c r="E31" s="25" t="n">
        <f aca="false">IFERROR(ROUND(AVERAGEIF(Ofertas!$P$2:$P$124,$B31,Ofertas!$B$2:$B$124),1),"")</f>
        <v>0.2</v>
      </c>
      <c r="F31" s="16" t="n">
        <f aca="false">SUMIF(Ofertas!$P$2:$P$124,$B31,Ofertas!$L$2:$L$124)</f>
        <v>0</v>
      </c>
      <c r="G31" s="26" t="n">
        <f aca="false">IFERROR(ROUND(AVERAGEIF(Ofertas!$P$2:$P$124,$B31,Ofertas!$S$2:$S$124),0),"")</f>
        <v>98</v>
      </c>
      <c r="H31" s="27" t="str">
        <f aca="false">REPT("|",C31)</f>
        <v>|||||||||||</v>
      </c>
      <c r="J31" s="28" t="s">
        <v>48</v>
      </c>
    </row>
    <row r="32" customFormat="false" ht="15" hidden="false" customHeight="false" outlineLevel="0" collapsed="false">
      <c r="B32" s="14" t="s">
        <v>49</v>
      </c>
      <c r="C32" s="11" t="n">
        <f aca="false">COUNTIF(Ofertas!$P$2:$P$124,$B32)</f>
        <v>7</v>
      </c>
      <c r="D32" s="21" t="n">
        <f aca="false">IFERROR(ROUND(AVERAGEIF(Ofertas!$P$2:$P$124,$B32,Ofertas!$D$2:$D$124),1),"")</f>
        <v>4</v>
      </c>
      <c r="E32" s="21" t="n">
        <f aca="false">IFERROR(ROUND(AVERAGEIF(Ofertas!$P$2:$P$124,$B32,Ofertas!$B$2:$B$124),1),"")</f>
        <v>3.4</v>
      </c>
      <c r="F32" s="11" t="n">
        <f aca="false">SUMIF(Ofertas!$P$2:$P$124,$B32,Ofertas!$L$2:$L$124)</f>
        <v>0</v>
      </c>
      <c r="G32" s="22" t="n">
        <f aca="false">IFERROR(ROUND(AVERAGEIF(Ofertas!$P$2:$P$124,$B32,Ofertas!$S$2:$S$124),0),"")</f>
        <v>91</v>
      </c>
      <c r="H32" s="23" t="str">
        <f aca="false">REPT("|",C32)</f>
        <v>|||||||</v>
      </c>
      <c r="J32" s="28" t="s">
        <v>50</v>
      </c>
    </row>
    <row r="33" customFormat="false" ht="15" hidden="false" customHeight="false" outlineLevel="0" collapsed="false">
      <c r="B33" s="19" t="s">
        <v>51</v>
      </c>
      <c r="C33" s="16" t="n">
        <f aca="false">COUNTIF(Ofertas!$P$2:$P$124,$B33)</f>
        <v>4</v>
      </c>
      <c r="D33" s="25" t="n">
        <f aca="false">IFERROR(ROUND(AVERAGEIF(Ofertas!$P$2:$P$124,$B33,Ofertas!$D$2:$D$124),1),"")</f>
        <v>5.7</v>
      </c>
      <c r="E33" s="25" t="n">
        <f aca="false">IFERROR(ROUND(AVERAGEIF(Ofertas!$P$2:$P$124,$B33,Ofertas!$B$2:$B$124),1),"")</f>
        <v>4.9</v>
      </c>
      <c r="F33" s="16" t="n">
        <f aca="false">SUMIF(Ofertas!$P$2:$P$124,$B33,Ofertas!$L$2:$L$124)</f>
        <v>0</v>
      </c>
      <c r="G33" s="26" t="n">
        <f aca="false">IFERROR(ROUND(AVERAGEIF(Ofertas!$P$2:$P$124,$B33,Ofertas!$S$2:$S$124),0),"")</f>
        <v>18</v>
      </c>
      <c r="H33" s="27" t="str">
        <f aca="false">REPT("|",C33)</f>
        <v>||||</v>
      </c>
      <c r="J33" s="28" t="s">
        <v>52</v>
      </c>
    </row>
    <row r="34" customFormat="false" ht="15" hidden="false" customHeight="false" outlineLevel="0" collapsed="false">
      <c r="B34" s="14" t="s">
        <v>53</v>
      </c>
      <c r="C34" s="11" t="n">
        <f aca="false">COUNTIF(Ofertas!$P$2:$P$124,$B34)</f>
        <v>4</v>
      </c>
      <c r="D34" s="21" t="n">
        <f aca="false">IFERROR(ROUND(AVERAGEIF(Ofertas!$P$2:$P$124,$B34,Ofertas!$D$2:$D$124),1),"")</f>
        <v>5.6</v>
      </c>
      <c r="E34" s="21" t="n">
        <f aca="false">IFERROR(ROUND(AVERAGEIF(Ofertas!$P$2:$P$124,$B34,Ofertas!$B$2:$B$124),1),"")</f>
        <v>6.1</v>
      </c>
      <c r="F34" s="11" t="n">
        <f aca="false">SUMIF(Ofertas!$P$2:$P$124,$B34,Ofertas!$L$2:$L$124)</f>
        <v>0</v>
      </c>
      <c r="G34" s="22" t="n">
        <f aca="false">IFERROR(ROUND(AVERAGEIF(Ofertas!$P$2:$P$124,$B34,Ofertas!$S$2:$S$124),0),"")</f>
        <v>92</v>
      </c>
      <c r="H34" s="23" t="str">
        <f aca="false">REPT("|",C34)</f>
        <v>||||</v>
      </c>
      <c r="J34" s="28"/>
    </row>
    <row r="35" customFormat="false" ht="15" hidden="false" customHeight="false" outlineLevel="0" collapsed="false">
      <c r="B35" s="19" t="s">
        <v>54</v>
      </c>
      <c r="C35" s="16" t="n">
        <f aca="false">COUNTIF(Ofertas!$P$2:$P$124,$B35)</f>
        <v>4</v>
      </c>
      <c r="D35" s="25" t="n">
        <f aca="false">IFERROR(ROUND(AVERAGEIF(Ofertas!$P$2:$P$124,$B35,Ofertas!$D$2:$D$124),1),"")</f>
        <v>2.6</v>
      </c>
      <c r="E35" s="25" t="n">
        <f aca="false">IFERROR(ROUND(AVERAGEIF(Ofertas!$P$2:$P$124,$B35,Ofertas!$B$2:$B$124),1),"")</f>
        <v>1</v>
      </c>
      <c r="F35" s="16" t="n">
        <f aca="false">SUMIF(Ofertas!$P$2:$P$124,$B35,Ofertas!$L$2:$L$124)</f>
        <v>0</v>
      </c>
      <c r="G35" s="26" t="n">
        <f aca="false">IFERROR(ROUND(AVERAGEIF(Ofertas!$P$2:$P$124,$B35,Ofertas!$S$2:$S$124),0),"")</f>
        <v>66</v>
      </c>
      <c r="H35" s="27" t="str">
        <f aca="false">REPT("|",C35)</f>
        <v>||||</v>
      </c>
      <c r="J35" s="24" t="s">
        <v>55</v>
      </c>
    </row>
    <row r="36" customFormat="false" ht="15" hidden="false" customHeight="false" outlineLevel="0" collapsed="false">
      <c r="B36" s="14" t="s">
        <v>56</v>
      </c>
      <c r="C36" s="11" t="n">
        <f aca="false">COUNTIF(Ofertas!$P$2:$P$124,$B36)</f>
        <v>3</v>
      </c>
      <c r="D36" s="21" t="n">
        <f aca="false">IFERROR(ROUND(AVERAGEIF(Ofertas!$P$2:$P$124,$B36,Ofertas!$D$2:$D$124),1),"")</f>
        <v>4.1</v>
      </c>
      <c r="E36" s="21" t="n">
        <f aca="false">IFERROR(ROUND(AVERAGEIF(Ofertas!$P$2:$P$124,$B36,Ofertas!$B$2:$B$124),1),"")</f>
        <v>2.7</v>
      </c>
      <c r="F36" s="11" t="n">
        <f aca="false">SUMIF(Ofertas!$P$2:$P$124,$B36,Ofertas!$L$2:$L$124)</f>
        <v>0</v>
      </c>
      <c r="G36" s="22" t="n">
        <f aca="false">IFERROR(ROUND(AVERAGEIF(Ofertas!$P$2:$P$124,$B36,Ofertas!$S$2:$S$124),0),"")</f>
        <v>115</v>
      </c>
      <c r="H36" s="23" t="str">
        <f aca="false">REPT("|",C36)</f>
        <v>|||</v>
      </c>
      <c r="J36" s="28" t="s">
        <v>57</v>
      </c>
    </row>
    <row r="37" customFormat="false" ht="15" hidden="false" customHeight="false" outlineLevel="0" collapsed="false">
      <c r="B37" s="19" t="s">
        <v>58</v>
      </c>
      <c r="C37" s="16" t="n">
        <f aca="false">COUNTIF(Ofertas!$P$2:$P$124,$B37)</f>
        <v>3</v>
      </c>
      <c r="D37" s="25" t="n">
        <f aca="false">IFERROR(ROUND(AVERAGEIF(Ofertas!$P$2:$P$124,$B37,Ofertas!$D$2:$D$124),1),"")</f>
        <v>3.7</v>
      </c>
      <c r="E37" s="25" t="n">
        <f aca="false">IFERROR(ROUND(AVERAGEIF(Ofertas!$P$2:$P$124,$B37,Ofertas!$B$2:$B$124),1),"")</f>
        <v>3</v>
      </c>
      <c r="F37" s="16" t="n">
        <f aca="false">SUMIF(Ofertas!$P$2:$P$124,$B37,Ofertas!$L$2:$L$124)</f>
        <v>0</v>
      </c>
      <c r="G37" s="26" t="n">
        <f aca="false">IFERROR(ROUND(AVERAGEIF(Ofertas!$P$2:$P$124,$B37,Ofertas!$S$2:$S$124),0),"")</f>
        <v>38</v>
      </c>
      <c r="H37" s="27" t="str">
        <f aca="false">REPT("|",C37)</f>
        <v>|||</v>
      </c>
      <c r="J37" s="28"/>
    </row>
    <row r="38" customFormat="false" ht="15" hidden="false" customHeight="false" outlineLevel="0" collapsed="false">
      <c r="B38" s="14" t="s">
        <v>59</v>
      </c>
      <c r="C38" s="11" t="n">
        <f aca="false">COUNTIF(Ofertas!$P$2:$P$124,$B38)</f>
        <v>3</v>
      </c>
      <c r="D38" s="21" t="n">
        <f aca="false">IFERROR(ROUND(AVERAGEIF(Ofertas!$P$2:$P$124,$B38,Ofertas!$D$2:$D$124),1),"")</f>
        <v>3.6</v>
      </c>
      <c r="E38" s="21" t="n">
        <f aca="false">IFERROR(ROUND(AVERAGEIF(Ofertas!$P$2:$P$124,$B38,Ofertas!$B$2:$B$124),1),"")</f>
        <v>0</v>
      </c>
      <c r="F38" s="11" t="n">
        <f aca="false">SUMIF(Ofertas!$P$2:$P$124,$B38,Ofertas!$L$2:$L$124)</f>
        <v>0</v>
      </c>
      <c r="G38" s="22" t="n">
        <f aca="false">IFERROR(ROUND(AVERAGEIF(Ofertas!$P$2:$P$124,$B38,Ofertas!$S$2:$S$124),0),"")</f>
        <v>26</v>
      </c>
      <c r="H38" s="23" t="str">
        <f aca="false">REPT("|",C38)</f>
        <v>|||</v>
      </c>
      <c r="J38" s="24" t="s">
        <v>60</v>
      </c>
    </row>
    <row r="39" customFormat="false" ht="15" hidden="false" customHeight="false" outlineLevel="0" collapsed="false">
      <c r="B39" s="19" t="s">
        <v>61</v>
      </c>
      <c r="C39" s="16" t="n">
        <f aca="false">COUNTIF(Ofertas!$P$2:$P$124,$B39)</f>
        <v>3</v>
      </c>
      <c r="D39" s="25" t="n">
        <f aca="false">IFERROR(ROUND(AVERAGEIF(Ofertas!$P$2:$P$124,$B39,Ofertas!$D$2:$D$124),1),"")</f>
        <v>3.4</v>
      </c>
      <c r="E39" s="25" t="n">
        <f aca="false">IFERROR(ROUND(AVERAGEIF(Ofertas!$P$2:$P$124,$B39,Ofertas!$B$2:$B$124),1),"")</f>
        <v>0.3</v>
      </c>
      <c r="F39" s="16" t="n">
        <f aca="false">SUMIF(Ofertas!$P$2:$P$124,$B39,Ofertas!$L$2:$L$124)</f>
        <v>0</v>
      </c>
      <c r="G39" s="26" t="n">
        <f aca="false">IFERROR(ROUND(AVERAGEIF(Ofertas!$P$2:$P$124,$B39,Ofertas!$S$2:$S$124),0),"")</f>
        <v>38</v>
      </c>
      <c r="H39" s="27" t="str">
        <f aca="false">REPT("|",C39)</f>
        <v>|||</v>
      </c>
      <c r="J39" s="24" t="s">
        <v>62</v>
      </c>
    </row>
    <row r="40" customFormat="false" ht="15" hidden="false" customHeight="false" outlineLevel="0" collapsed="false">
      <c r="B40" s="14" t="s">
        <v>63</v>
      </c>
      <c r="C40" s="11" t="n">
        <f aca="false">COUNTIF(Ofertas!$P$2:$P$124,$B40)</f>
        <v>2</v>
      </c>
      <c r="D40" s="21" t="n">
        <f aca="false">IFERROR(ROUND(AVERAGEIF(Ofertas!$P$2:$P$124,$B40,Ofertas!$D$2:$D$124),1),"")</f>
        <v>5.4</v>
      </c>
      <c r="E40" s="21" t="n">
        <f aca="false">IFERROR(ROUND(AVERAGEIF(Ofertas!$P$2:$P$124,$B40,Ofertas!$B$2:$B$124),1),"")</f>
        <v>6.3</v>
      </c>
      <c r="F40" s="11" t="n">
        <f aca="false">SUMIF(Ofertas!$P$2:$P$124,$B40,Ofertas!$L$2:$L$124)</f>
        <v>0</v>
      </c>
      <c r="G40" s="22" t="n">
        <f aca="false">IFERROR(ROUND(AVERAGEIF(Ofertas!$P$2:$P$124,$B40,Ofertas!$S$2:$S$124),0),"")</f>
        <v>0</v>
      </c>
      <c r="H40" s="23" t="str">
        <f aca="false">REPT("|",C40)</f>
        <v>||</v>
      </c>
      <c r="J40" s="28"/>
    </row>
    <row r="41" customFormat="false" ht="15" hidden="false" customHeight="false" outlineLevel="0" collapsed="false">
      <c r="B41" s="19" t="s">
        <v>64</v>
      </c>
      <c r="C41" s="16" t="n">
        <f aca="false">COUNTIF(Ofertas!$P$2:$P$124,$B41)</f>
        <v>2</v>
      </c>
      <c r="D41" s="25" t="n">
        <f aca="false">IFERROR(ROUND(AVERAGEIF(Ofertas!$P$2:$P$124,$B41,Ofertas!$D$2:$D$124),1),"")</f>
        <v>4.8</v>
      </c>
      <c r="E41" s="25" t="n">
        <f aca="false">IFERROR(ROUND(AVERAGEIF(Ofertas!$P$2:$P$124,$B41,Ofertas!$B$2:$B$124),1),"")</f>
        <v>1.8</v>
      </c>
      <c r="F41" s="16" t="n">
        <f aca="false">SUMIF(Ofertas!$P$2:$P$124,$B41,Ofertas!$L$2:$L$124)</f>
        <v>0</v>
      </c>
      <c r="G41" s="26" t="n">
        <f aca="false">IFERROR(ROUND(AVERAGEIF(Ofertas!$P$2:$P$124,$B41,Ofertas!$S$2:$S$124),0),"")</f>
        <v>28</v>
      </c>
      <c r="H41" s="27" t="str">
        <f aca="false">REPT("|",C41)</f>
        <v>||</v>
      </c>
      <c r="J41" s="24" t="s">
        <v>65</v>
      </c>
    </row>
    <row r="42" customFormat="false" ht="15" hidden="false" customHeight="false" outlineLevel="0" collapsed="false">
      <c r="B42" s="14" t="s">
        <v>66</v>
      </c>
      <c r="C42" s="11" t="n">
        <f aca="false">COUNTIF(Ofertas!$P$2:$P$124,$B42)</f>
        <v>2</v>
      </c>
      <c r="D42" s="21" t="n">
        <f aca="false">IFERROR(ROUND(AVERAGEIF(Ofertas!$P$2:$P$124,$B42,Ofertas!$D$2:$D$124),1),"")</f>
        <v>3.6</v>
      </c>
      <c r="E42" s="21" t="n">
        <f aca="false">IFERROR(ROUND(AVERAGEIF(Ofertas!$P$2:$P$124,$B42,Ofertas!$B$2:$B$124),1),"")</f>
        <v>1.8</v>
      </c>
      <c r="F42" s="11" t="n">
        <f aca="false">SUMIF(Ofertas!$P$2:$P$124,$B42,Ofertas!$L$2:$L$124)</f>
        <v>0</v>
      </c>
      <c r="G42" s="22" t="n">
        <f aca="false">IFERROR(ROUND(AVERAGEIF(Ofertas!$P$2:$P$124,$B42,Ofertas!$S$2:$S$124),0),"")</f>
        <v>86</v>
      </c>
      <c r="H42" s="23" t="str">
        <f aca="false">REPT("|",C42)</f>
        <v>||</v>
      </c>
    </row>
    <row r="43" customFormat="false" ht="15" hidden="false" customHeight="false" outlineLevel="0" collapsed="false">
      <c r="B43" s="19" t="s">
        <v>67</v>
      </c>
      <c r="C43" s="16" t="n">
        <f aca="false">COUNTIF(Ofertas!$P$2:$P$124,$B43)</f>
        <v>2</v>
      </c>
      <c r="D43" s="25" t="n">
        <f aca="false">IFERROR(ROUND(AVERAGEIF(Ofertas!$P$2:$P$124,$B43,Ofertas!$D$2:$D$124),1),"")</f>
        <v>3.3</v>
      </c>
      <c r="E43" s="25" t="n">
        <f aca="false">IFERROR(ROUND(AVERAGEIF(Ofertas!$P$2:$P$124,$B43,Ofertas!$B$2:$B$124),1),"")</f>
        <v>1.8</v>
      </c>
      <c r="F43" s="16" t="n">
        <f aca="false">SUMIF(Ofertas!$P$2:$P$124,$B43,Ofertas!$L$2:$L$124)</f>
        <v>0</v>
      </c>
      <c r="G43" s="26" t="n">
        <f aca="false">IFERROR(ROUND(AVERAGEIF(Ofertas!$P$2:$P$124,$B43,Ofertas!$S$2:$S$124),0),"")</f>
        <v>20</v>
      </c>
      <c r="H43" s="27" t="str">
        <f aca="false">REPT("|",C43)</f>
        <v>||</v>
      </c>
    </row>
    <row r="44" customFormat="false" ht="15" hidden="false" customHeight="false" outlineLevel="0" collapsed="false">
      <c r="B44" s="14" t="s">
        <v>68</v>
      </c>
      <c r="C44" s="11" t="n">
        <f aca="false">COUNTIF(Ofertas!$P$2:$P$124,$B44)</f>
        <v>2</v>
      </c>
      <c r="D44" s="21" t="n">
        <f aca="false">IFERROR(ROUND(AVERAGEIF(Ofertas!$P$2:$P$124,$B44,Ofertas!$D$2:$D$124),1),"")</f>
        <v>3.8</v>
      </c>
      <c r="E44" s="21" t="n">
        <f aca="false">IFERROR(ROUND(AVERAGEIF(Ofertas!$P$2:$P$124,$B44,Ofertas!$B$2:$B$124),1),"")</f>
        <v>1.5</v>
      </c>
      <c r="F44" s="11" t="n">
        <f aca="false">SUMIF(Ofertas!$P$2:$P$124,$B44,Ofertas!$L$2:$L$124)</f>
        <v>0</v>
      </c>
      <c r="G44" s="22" t="n">
        <f aca="false">IFERROR(ROUND(AVERAGEIF(Ofertas!$P$2:$P$124,$B44,Ofertas!$S$2:$S$124),0),"")</f>
        <v>180</v>
      </c>
      <c r="H44" s="23" t="str">
        <f aca="false">REPT("|",C44)</f>
        <v>||</v>
      </c>
    </row>
    <row r="45" customFormat="false" ht="15" hidden="false" customHeight="false" outlineLevel="0" collapsed="false">
      <c r="B45" s="19" t="s">
        <v>69</v>
      </c>
      <c r="C45" s="16" t="n">
        <f aca="false">COUNTIF(Ofertas!$P$2:$P$124,$B45)</f>
        <v>2</v>
      </c>
      <c r="D45" s="25" t="n">
        <f aca="false">IFERROR(ROUND(AVERAGEIF(Ofertas!$P$2:$P$124,$B45,Ofertas!$D$2:$D$124),1),"")</f>
        <v>3.3</v>
      </c>
      <c r="E45" s="25" t="n">
        <f aca="false">IFERROR(ROUND(AVERAGEIF(Ofertas!$P$2:$P$124,$B45,Ofertas!$B$2:$B$124),1),"")</f>
        <v>1.5</v>
      </c>
      <c r="F45" s="16" t="n">
        <f aca="false">SUMIF(Ofertas!$P$2:$P$124,$B45,Ofertas!$L$2:$L$124)</f>
        <v>0</v>
      </c>
      <c r="G45" s="26" t="n">
        <f aca="false">IFERROR(ROUND(AVERAGEIF(Ofertas!$P$2:$P$124,$B45,Ofertas!$S$2:$S$124),0),"")</f>
        <v>75</v>
      </c>
      <c r="H45" s="27" t="str">
        <f aca="false">REPT("|",C45)</f>
        <v>||</v>
      </c>
    </row>
    <row r="46" customFormat="false" ht="15" hidden="false" customHeight="false" outlineLevel="0" collapsed="false">
      <c r="B46" s="14" t="s">
        <v>70</v>
      </c>
      <c r="C46" s="11" t="n">
        <f aca="false">COUNTIF(Ofertas!$P$2:$P$124,$B46)</f>
        <v>2</v>
      </c>
      <c r="D46" s="21" t="n">
        <f aca="false">IFERROR(ROUND(AVERAGEIF(Ofertas!$P$2:$P$124,$B46,Ofertas!$D$2:$D$124),1),"")</f>
        <v>3.3</v>
      </c>
      <c r="E46" s="21" t="n">
        <f aca="false">IFERROR(ROUND(AVERAGEIF(Ofertas!$P$2:$P$124,$B46,Ofertas!$B$2:$B$124),1),"")</f>
        <v>0.5</v>
      </c>
      <c r="F46" s="11" t="n">
        <f aca="false">SUMIF(Ofertas!$P$2:$P$124,$B46,Ofertas!$L$2:$L$124)</f>
        <v>0</v>
      </c>
      <c r="G46" s="22" t="n">
        <f aca="false">IFERROR(ROUND(AVERAGEIF(Ofertas!$P$2:$P$124,$B46,Ofertas!$S$2:$S$124),0),"")</f>
        <v>74</v>
      </c>
      <c r="H46" s="23" t="str">
        <f aca="false">REPT("|",C46)</f>
        <v>||</v>
      </c>
    </row>
    <row r="47" customFormat="false" ht="15" hidden="false" customHeight="false" outlineLevel="0" collapsed="false">
      <c r="B47" s="19" t="s">
        <v>71</v>
      </c>
      <c r="C47" s="16" t="n">
        <f aca="false">COUNTIF(Ofertas!$P$2:$P$124,$B47)</f>
        <v>2</v>
      </c>
      <c r="D47" s="25" t="n">
        <f aca="false">IFERROR(ROUND(AVERAGEIF(Ofertas!$P$2:$P$124,$B47,Ofertas!$D$2:$D$124),1),"")</f>
        <v>2.9</v>
      </c>
      <c r="E47" s="25" t="n">
        <f aca="false">IFERROR(ROUND(AVERAGEIF(Ofertas!$P$2:$P$124,$B47,Ofertas!$B$2:$B$124),1),"")</f>
        <v>0.5</v>
      </c>
      <c r="F47" s="16" t="n">
        <f aca="false">SUMIF(Ofertas!$P$2:$P$124,$B47,Ofertas!$L$2:$L$124)</f>
        <v>0</v>
      </c>
      <c r="G47" s="26" t="n">
        <f aca="false">IFERROR(ROUND(AVERAGEIF(Ofertas!$P$2:$P$124,$B47,Ofertas!$S$2:$S$124),0),"")</f>
        <v>53</v>
      </c>
      <c r="H47" s="27" t="str">
        <f aca="false">REPT("|",C47)</f>
        <v>||</v>
      </c>
    </row>
    <row r="48" customFormat="false" ht="15" hidden="false" customHeight="false" outlineLevel="0" collapsed="false">
      <c r="B48" s="14" t="s">
        <v>72</v>
      </c>
      <c r="C48" s="11" t="n">
        <f aca="false">COUNTIF(Ofertas!$P$2:$P$124,$B48)</f>
        <v>1</v>
      </c>
      <c r="D48" s="21" t="n">
        <f aca="false">IFERROR(ROUND(AVERAGEIF(Ofertas!$P$2:$P$124,$B48,Ofertas!$D$2:$D$124),1),"")</f>
        <v>5.8</v>
      </c>
      <c r="E48" s="21" t="n">
        <f aca="false">IFERROR(ROUND(AVERAGEIF(Ofertas!$P$2:$P$124,$B48,Ofertas!$B$2:$B$124),1),"")</f>
        <v>5.5</v>
      </c>
      <c r="F48" s="11" t="n">
        <f aca="false">SUMIF(Ofertas!$P$2:$P$124,$B48,Ofertas!$L$2:$L$124)</f>
        <v>0</v>
      </c>
      <c r="G48" s="22" t="n">
        <f aca="false">IFERROR(ROUND(AVERAGEIF(Ofertas!$P$2:$P$124,$B48,Ofertas!$S$2:$S$124),0),"")</f>
        <v>47</v>
      </c>
      <c r="H48" s="23" t="str">
        <f aca="false">REPT("|",C48)</f>
        <v>|</v>
      </c>
    </row>
    <row r="49" customFormat="false" ht="15" hidden="false" customHeight="false" outlineLevel="0" collapsed="false">
      <c r="B49" s="19" t="s">
        <v>73</v>
      </c>
      <c r="C49" s="16" t="n">
        <f aca="false">COUNTIF(Ofertas!$P$2:$P$124,$B49)</f>
        <v>1</v>
      </c>
      <c r="D49" s="25" t="n">
        <f aca="false">IFERROR(ROUND(AVERAGEIF(Ofertas!$P$2:$P$124,$B49,Ofertas!$D$2:$D$124),1),"")</f>
        <v>4.9</v>
      </c>
      <c r="E49" s="25" t="n">
        <f aca="false">IFERROR(ROUND(AVERAGEIF(Ofertas!$P$2:$P$124,$B49,Ofertas!$B$2:$B$124),1),"")</f>
        <v>3</v>
      </c>
      <c r="F49" s="16" t="n">
        <f aca="false">SUMIF(Ofertas!$P$2:$P$124,$B49,Ofertas!$L$2:$L$124)</f>
        <v>0</v>
      </c>
      <c r="G49" s="26" t="n">
        <f aca="false">IFERROR(ROUND(AVERAGEIF(Ofertas!$P$2:$P$124,$B49,Ofertas!$S$2:$S$124),0),"")</f>
        <v>40</v>
      </c>
      <c r="H49" s="27" t="str">
        <f aca="false">REPT("|",C49)</f>
        <v>|</v>
      </c>
    </row>
    <row r="50" customFormat="false" ht="15" hidden="false" customHeight="false" outlineLevel="0" collapsed="false">
      <c r="B50" s="14" t="s">
        <v>74</v>
      </c>
      <c r="C50" s="11" t="n">
        <f aca="false">COUNTIF(Ofertas!$P$2:$P$124,$B50)</f>
        <v>1</v>
      </c>
      <c r="D50" s="21" t="n">
        <f aca="false">IFERROR(ROUND(AVERAGEIF(Ofertas!$P$2:$P$124,$B50,Ofertas!$D$2:$D$124),1),"")</f>
        <v>4.8</v>
      </c>
      <c r="E50" s="21" t="n">
        <f aca="false">IFERROR(ROUND(AVERAGEIF(Ofertas!$P$2:$P$124,$B50,Ofertas!$B$2:$B$124),1),"")</f>
        <v>3</v>
      </c>
      <c r="F50" s="11" t="n">
        <f aca="false">SUMIF(Ofertas!$P$2:$P$124,$B50,Ofertas!$L$2:$L$124)</f>
        <v>0</v>
      </c>
      <c r="G50" s="22" t="n">
        <f aca="false">IFERROR(ROUND(AVERAGEIF(Ofertas!$P$2:$P$124,$B50,Ofertas!$S$2:$S$124),0),"")</f>
        <v>25</v>
      </c>
      <c r="H50" s="23" t="str">
        <f aca="false">REPT("|",C50)</f>
        <v>|</v>
      </c>
    </row>
    <row r="51" customFormat="false" ht="15" hidden="false" customHeight="false" outlineLevel="0" collapsed="false">
      <c r="B51" s="19" t="s">
        <v>75</v>
      </c>
      <c r="C51" s="16" t="n">
        <f aca="false">COUNTIF(Ofertas!$P$2:$P$124,$B51)</f>
        <v>1</v>
      </c>
      <c r="D51" s="25" t="n">
        <f aca="false">IFERROR(ROUND(AVERAGEIF(Ofertas!$P$2:$P$124,$B51,Ofertas!$D$2:$D$124),1),"")</f>
        <v>4.7</v>
      </c>
      <c r="E51" s="25" t="n">
        <f aca="false">IFERROR(ROUND(AVERAGEIF(Ofertas!$P$2:$P$124,$B51,Ofertas!$B$2:$B$124),1),"")</f>
        <v>3</v>
      </c>
      <c r="F51" s="16" t="n">
        <f aca="false">SUMIF(Ofertas!$P$2:$P$124,$B51,Ofertas!$L$2:$L$124)</f>
        <v>0</v>
      </c>
      <c r="G51" s="26" t="n">
        <f aca="false">IFERROR(ROUND(AVERAGEIF(Ofertas!$P$2:$P$124,$B51,Ofertas!$S$2:$S$124),0),"")</f>
        <v>50</v>
      </c>
      <c r="H51" s="27" t="str">
        <f aca="false">REPT("|",C51)</f>
        <v>|</v>
      </c>
    </row>
    <row r="52" customFormat="false" ht="15" hidden="false" customHeight="false" outlineLevel="0" collapsed="false">
      <c r="B52" s="14" t="s">
        <v>76</v>
      </c>
      <c r="C52" s="11" t="n">
        <f aca="false">COUNTIF(Ofertas!$P$2:$P$124,$B52)</f>
        <v>1</v>
      </c>
      <c r="D52" s="21" t="n">
        <f aca="false">IFERROR(ROUND(AVERAGEIF(Ofertas!$P$2:$P$124,$B52,Ofertas!$D$2:$D$124),1),"")</f>
        <v>4.5</v>
      </c>
      <c r="E52" s="21" t="n">
        <f aca="false">IFERROR(ROUND(AVERAGEIF(Ofertas!$P$2:$P$124,$B52,Ofertas!$B$2:$B$124),1),"")</f>
        <v>2.5</v>
      </c>
      <c r="F52" s="11" t="n">
        <f aca="false">SUMIF(Ofertas!$P$2:$P$124,$B52,Ofertas!$L$2:$L$124)</f>
        <v>0</v>
      </c>
      <c r="G52" s="22" t="n">
        <f aca="false">IFERROR(ROUND(AVERAGEIF(Ofertas!$P$2:$P$124,$B52,Ofertas!$S$2:$S$124),0),"")</f>
        <v>47</v>
      </c>
      <c r="H52" s="23" t="str">
        <f aca="false">REPT("|",C52)</f>
        <v>|</v>
      </c>
    </row>
    <row r="53" customFormat="false" ht="15" hidden="false" customHeight="false" outlineLevel="0" collapsed="false">
      <c r="B53" s="19" t="s">
        <v>77</v>
      </c>
      <c r="C53" s="16" t="n">
        <f aca="false">COUNTIF(Ofertas!$P$2:$P$124,$B53)</f>
        <v>1</v>
      </c>
      <c r="D53" s="25" t="n">
        <f aca="false">IFERROR(ROUND(AVERAGEIF(Ofertas!$P$2:$P$124,$B53,Ofertas!$D$2:$D$124),1),"")</f>
        <v>4.4</v>
      </c>
      <c r="E53" s="25" t="n">
        <f aca="false">IFERROR(ROUND(AVERAGEIF(Ofertas!$P$2:$P$124,$B53,Ofertas!$B$2:$B$124),1),"")</f>
        <v>2</v>
      </c>
      <c r="F53" s="16" t="n">
        <f aca="false">SUMIF(Ofertas!$P$2:$P$124,$B53,Ofertas!$L$2:$L$124)</f>
        <v>0</v>
      </c>
      <c r="G53" s="26" t="n">
        <f aca="false">IFERROR(ROUND(AVERAGEIF(Ofertas!$P$2:$P$124,$B53,Ofertas!$S$2:$S$124),0),"")</f>
        <v>21</v>
      </c>
      <c r="H53" s="27" t="str">
        <f aca="false">REPT("|",C53)</f>
        <v>|</v>
      </c>
    </row>
    <row r="54" customFormat="false" ht="15" hidden="false" customHeight="false" outlineLevel="0" collapsed="false">
      <c r="B54" s="14" t="s">
        <v>78</v>
      </c>
      <c r="C54" s="11" t="n">
        <f aca="false">COUNTIF(Ofertas!$P$2:$P$124,$B54)</f>
        <v>1</v>
      </c>
      <c r="D54" s="21" t="n">
        <f aca="false">IFERROR(ROUND(AVERAGEIF(Ofertas!$P$2:$P$124,$B54,Ofertas!$D$2:$D$124),1),"")</f>
        <v>4.4</v>
      </c>
      <c r="E54" s="21" t="n">
        <f aca="false">IFERROR(ROUND(AVERAGEIF(Ofertas!$P$2:$P$124,$B54,Ofertas!$B$2:$B$124),1),"")</f>
        <v>0.5</v>
      </c>
      <c r="F54" s="11" t="n">
        <f aca="false">SUMIF(Ofertas!$P$2:$P$124,$B54,Ofertas!$L$2:$L$124)</f>
        <v>0</v>
      </c>
      <c r="G54" s="22" t="n">
        <f aca="false">IFERROR(ROUND(AVERAGEIF(Ofertas!$P$2:$P$124,$B54,Ofertas!$S$2:$S$124),0),"")</f>
        <v>60</v>
      </c>
      <c r="H54" s="23" t="str">
        <f aca="false">REPT("|",C54)</f>
        <v>|</v>
      </c>
    </row>
    <row r="55" customFormat="false" ht="15" hidden="false" customHeight="false" outlineLevel="0" collapsed="false">
      <c r="B55" s="19" t="s">
        <v>79</v>
      </c>
      <c r="C55" s="16" t="n">
        <f aca="false">COUNTIF(Ofertas!$P$2:$P$124,$B55)</f>
        <v>1</v>
      </c>
      <c r="D55" s="25" t="n">
        <f aca="false">IFERROR(ROUND(AVERAGEIF(Ofertas!$P$2:$P$124,$B55,Ofertas!$D$2:$D$124),1),"")</f>
        <v>4.2</v>
      </c>
      <c r="E55" s="25" t="n">
        <f aca="false">IFERROR(ROUND(AVERAGEIF(Ofertas!$P$2:$P$124,$B55,Ofertas!$B$2:$B$124),1),"")</f>
        <v>2.5</v>
      </c>
      <c r="F55" s="16" t="n">
        <f aca="false">SUMIF(Ofertas!$P$2:$P$124,$B55,Ofertas!$L$2:$L$124)</f>
        <v>0</v>
      </c>
      <c r="G55" s="26" t="n">
        <f aca="false">IFERROR(ROUND(AVERAGEIF(Ofertas!$P$2:$P$124,$B55,Ofertas!$S$2:$S$124),0),"")</f>
        <v>0</v>
      </c>
      <c r="H55" s="27" t="str">
        <f aca="false">REPT("|",C55)</f>
        <v>|</v>
      </c>
    </row>
    <row r="56" customFormat="false" ht="15" hidden="false" customHeight="false" outlineLevel="0" collapsed="false">
      <c r="B56" s="14" t="s">
        <v>80</v>
      </c>
      <c r="C56" s="11" t="n">
        <f aca="false">COUNTIF(Ofertas!$P$2:$P$124,$B56)</f>
        <v>1</v>
      </c>
      <c r="D56" s="21" t="n">
        <f aca="false">IFERROR(ROUND(AVERAGEIF(Ofertas!$P$2:$P$124,$B56,Ofertas!$D$2:$D$124),1),"")</f>
        <v>4.1</v>
      </c>
      <c r="E56" s="21" t="n">
        <f aca="false">IFERROR(ROUND(AVERAGEIF(Ofertas!$P$2:$P$124,$B56,Ofertas!$B$2:$B$124),1),"")</f>
        <v>5.5</v>
      </c>
      <c r="F56" s="11" t="n">
        <f aca="false">SUMIF(Ofertas!$P$2:$P$124,$B56,Ofertas!$L$2:$L$124)</f>
        <v>0</v>
      </c>
      <c r="G56" s="22" t="n">
        <f aca="false">IFERROR(ROUND(AVERAGEIF(Ofertas!$P$2:$P$124,$B56,Ofertas!$S$2:$S$124),0),"")</f>
        <v>0</v>
      </c>
      <c r="H56" s="23" t="str">
        <f aca="false">REPT("|",C56)</f>
        <v>|</v>
      </c>
    </row>
    <row r="57" customFormat="false" ht="15" hidden="false" customHeight="false" outlineLevel="0" collapsed="false">
      <c r="B57" s="19" t="s">
        <v>81</v>
      </c>
      <c r="C57" s="16" t="n">
        <f aca="false">COUNTIF(Ofertas!$P$2:$P$124,$B57)</f>
        <v>1</v>
      </c>
      <c r="D57" s="25" t="n">
        <f aca="false">IFERROR(ROUND(AVERAGEIF(Ofertas!$P$2:$P$124,$B57,Ofertas!$D$2:$D$124),1),"")</f>
        <v>4.1</v>
      </c>
      <c r="E57" s="25" t="n">
        <f aca="false">IFERROR(ROUND(AVERAGEIF(Ofertas!$P$2:$P$124,$B57,Ofertas!$B$2:$B$124),1),"")</f>
        <v>2.5</v>
      </c>
      <c r="F57" s="16" t="n">
        <f aca="false">SUMIF(Ofertas!$P$2:$P$124,$B57,Ofertas!$L$2:$L$124)</f>
        <v>0</v>
      </c>
      <c r="G57" s="26" t="n">
        <f aca="false">IFERROR(ROUND(AVERAGEIF(Ofertas!$P$2:$P$124,$B57,Ofertas!$S$2:$S$124),0),"")</f>
        <v>0</v>
      </c>
      <c r="H57" s="27" t="str">
        <f aca="false">REPT("|",C57)</f>
        <v>|</v>
      </c>
    </row>
    <row r="58" customFormat="false" ht="15" hidden="false" customHeight="false" outlineLevel="0" collapsed="false">
      <c r="B58" s="14" t="s">
        <v>82</v>
      </c>
      <c r="C58" s="11" t="n">
        <f aca="false">COUNTIF(Ofertas!$P$2:$P$124,$B58)</f>
        <v>1</v>
      </c>
      <c r="D58" s="21" t="n">
        <f aca="false">IFERROR(ROUND(AVERAGEIF(Ofertas!$P$2:$P$124,$B58,Ofertas!$D$2:$D$124),1),"")</f>
        <v>4.1</v>
      </c>
      <c r="E58" s="21" t="n">
        <f aca="false">IFERROR(ROUND(AVERAGEIF(Ofertas!$P$2:$P$124,$B58,Ofertas!$B$2:$B$124),1),"")</f>
        <v>0.5</v>
      </c>
      <c r="F58" s="11" t="n">
        <f aca="false">SUMIF(Ofertas!$P$2:$P$124,$B58,Ofertas!$L$2:$L$124)</f>
        <v>0</v>
      </c>
      <c r="G58" s="22" t="n">
        <f aca="false">IFERROR(ROUND(AVERAGEIF(Ofertas!$P$2:$P$124,$B58,Ofertas!$S$2:$S$124),0),"")</f>
        <v>30</v>
      </c>
      <c r="H58" s="23" t="str">
        <f aca="false">REPT("|",C58)</f>
        <v>|</v>
      </c>
    </row>
    <row r="59" customFormat="false" ht="15" hidden="false" customHeight="false" outlineLevel="0" collapsed="false">
      <c r="B59" s="19" t="s">
        <v>83</v>
      </c>
      <c r="C59" s="16" t="n">
        <f aca="false">COUNTIF(Ofertas!$P$2:$P$124,$B59)</f>
        <v>1</v>
      </c>
      <c r="D59" s="25" t="n">
        <f aca="false">IFERROR(ROUND(AVERAGEIF(Ofertas!$P$2:$P$124,$B59,Ofertas!$D$2:$D$124),1),"")</f>
        <v>4</v>
      </c>
      <c r="E59" s="25" t="n">
        <f aca="false">IFERROR(ROUND(AVERAGEIF(Ofertas!$P$2:$P$124,$B59,Ofertas!$B$2:$B$124),1),"")</f>
        <v>2.5</v>
      </c>
      <c r="F59" s="16" t="n">
        <f aca="false">SUMIF(Ofertas!$P$2:$P$124,$B59,Ofertas!$L$2:$L$124)</f>
        <v>0</v>
      </c>
      <c r="G59" s="26" t="n">
        <f aca="false">IFERROR(ROUND(AVERAGEIF(Ofertas!$P$2:$P$124,$B59,Ofertas!$S$2:$S$124),0),"")</f>
        <v>0</v>
      </c>
      <c r="H59" s="27" t="str">
        <f aca="false">REPT("|",C59)</f>
        <v>|</v>
      </c>
    </row>
    <row r="60" customFormat="false" ht="15" hidden="false" customHeight="false" outlineLevel="0" collapsed="false">
      <c r="B60" s="14" t="s">
        <v>84</v>
      </c>
      <c r="C60" s="11" t="n">
        <f aca="false">COUNTIF(Ofertas!$P$2:$P$124,$B60)</f>
        <v>1</v>
      </c>
      <c r="D60" s="21" t="n">
        <f aca="false">IFERROR(ROUND(AVERAGEIF(Ofertas!$P$2:$P$124,$B60,Ofertas!$D$2:$D$124),1),"")</f>
        <v>3.8</v>
      </c>
      <c r="E60" s="21" t="n">
        <f aca="false">IFERROR(ROUND(AVERAGEIF(Ofertas!$P$2:$P$124,$B60,Ofertas!$B$2:$B$124),1),"")</f>
        <v>0.5</v>
      </c>
      <c r="F60" s="11" t="n">
        <f aca="false">SUMIF(Ofertas!$P$2:$P$124,$B60,Ofertas!$L$2:$L$124)</f>
        <v>0</v>
      </c>
      <c r="G60" s="22" t="n">
        <f aca="false">IFERROR(ROUND(AVERAGEIF(Ofertas!$P$2:$P$124,$B60,Ofertas!$S$2:$S$124),0),"")</f>
        <v>19</v>
      </c>
      <c r="H60" s="23" t="str">
        <f aca="false">REPT("|",C60)</f>
        <v>|</v>
      </c>
    </row>
    <row r="61" customFormat="false" ht="15" hidden="false" customHeight="false" outlineLevel="0" collapsed="false">
      <c r="B61" s="19" t="s">
        <v>85</v>
      </c>
      <c r="C61" s="16" t="n">
        <f aca="false">COUNTIF(Ofertas!$P$2:$P$124,$B61)</f>
        <v>1</v>
      </c>
      <c r="D61" s="25" t="n">
        <f aca="false">IFERROR(ROUND(AVERAGEIF(Ofertas!$P$2:$P$124,$B61,Ofertas!$D$2:$D$124),1),"")</f>
        <v>3.5</v>
      </c>
      <c r="E61" s="25" t="n">
        <f aca="false">IFERROR(ROUND(AVERAGEIF(Ofertas!$P$2:$P$124,$B61,Ofertas!$B$2:$B$124),1),"")</f>
        <v>5.5</v>
      </c>
      <c r="F61" s="16" t="n">
        <f aca="false">SUMIF(Ofertas!$P$2:$P$124,$B61,Ofertas!$L$2:$L$124)</f>
        <v>0</v>
      </c>
      <c r="G61" s="26" t="n">
        <f aca="false">IFERROR(ROUND(AVERAGEIF(Ofertas!$P$2:$P$124,$B61,Ofertas!$S$2:$S$124),0),"")</f>
        <v>0</v>
      </c>
      <c r="H61" s="27" t="str">
        <f aca="false">REPT("|",C61)</f>
        <v>|</v>
      </c>
    </row>
    <row r="62" customFormat="false" ht="15" hidden="false" customHeight="false" outlineLevel="0" collapsed="false">
      <c r="B62" s="14" t="s">
        <v>86</v>
      </c>
      <c r="C62" s="11" t="n">
        <f aca="false">COUNTIF(Ofertas!$P$2:$P$124,$B62)</f>
        <v>1</v>
      </c>
      <c r="D62" s="21" t="n">
        <f aca="false">IFERROR(ROUND(AVERAGEIF(Ofertas!$P$2:$P$124,$B62,Ofertas!$D$2:$D$124),1),"")</f>
        <v>3.4</v>
      </c>
      <c r="E62" s="21" t="n">
        <f aca="false">IFERROR(ROUND(AVERAGEIF(Ofertas!$P$2:$P$124,$B62,Ofertas!$B$2:$B$124),1),"")</f>
        <v>0.5</v>
      </c>
      <c r="F62" s="11" t="n">
        <f aca="false">SUMIF(Ofertas!$P$2:$P$124,$B62,Ofertas!$L$2:$L$124)</f>
        <v>0</v>
      </c>
      <c r="G62" s="22" t="n">
        <f aca="false">IFERROR(ROUND(AVERAGEIF(Ofertas!$P$2:$P$124,$B62,Ofertas!$S$2:$S$124),0),"")</f>
        <v>197</v>
      </c>
      <c r="H62" s="23" t="str">
        <f aca="false">REPT("|",C62)</f>
        <v>|</v>
      </c>
    </row>
    <row r="63" customFormat="false" ht="15" hidden="false" customHeight="false" outlineLevel="0" collapsed="false">
      <c r="B63" s="19" t="s">
        <v>87</v>
      </c>
      <c r="C63" s="16" t="n">
        <f aca="false">COUNTIF(Ofertas!$P$2:$P$124,$B63)</f>
        <v>1</v>
      </c>
      <c r="D63" s="25" t="n">
        <f aca="false">IFERROR(ROUND(AVERAGEIF(Ofertas!$P$2:$P$124,$B63,Ofertas!$D$2:$D$124),1),"")</f>
        <v>3.1</v>
      </c>
      <c r="E63" s="25" t="n">
        <f aca="false">IFERROR(ROUND(AVERAGEIF(Ofertas!$P$2:$P$124,$B63,Ofertas!$B$2:$B$124),1),"")</f>
        <v>0.5</v>
      </c>
      <c r="F63" s="16" t="n">
        <f aca="false">SUMIF(Ofertas!$P$2:$P$124,$B63,Ofertas!$L$2:$L$124)</f>
        <v>0</v>
      </c>
      <c r="G63" s="26" t="n">
        <f aca="false">IFERROR(ROUND(AVERAGEIF(Ofertas!$P$2:$P$124,$B63,Ofertas!$S$2:$S$124),0),"")</f>
        <v>30</v>
      </c>
      <c r="H63" s="27" t="str">
        <f aca="false">REPT("|",C63)</f>
        <v>|</v>
      </c>
    </row>
    <row r="64" customFormat="false" ht="15" hidden="false" customHeight="false" outlineLevel="0" collapsed="false">
      <c r="B64" s="14" t="s">
        <v>88</v>
      </c>
      <c r="C64" s="11" t="n">
        <f aca="false">COUNTIF(Ofertas!$P$2:$P$124,$B64)</f>
        <v>1</v>
      </c>
      <c r="D64" s="21" t="n">
        <f aca="false">IFERROR(ROUND(AVERAGEIF(Ofertas!$P$2:$P$124,$B64,Ofertas!$D$2:$D$124),1),"")</f>
        <v>2.9</v>
      </c>
      <c r="E64" s="21" t="n">
        <f aca="false">IFERROR(ROUND(AVERAGEIF(Ofertas!$P$2:$P$124,$B64,Ofertas!$B$2:$B$124),1),"")</f>
        <v>0</v>
      </c>
      <c r="F64" s="11" t="n">
        <f aca="false">SUMIF(Ofertas!$P$2:$P$124,$B64,Ofertas!$L$2:$L$124)</f>
        <v>0</v>
      </c>
      <c r="G64" s="22" t="n">
        <f aca="false">IFERROR(ROUND(AVERAGEIF(Ofertas!$P$2:$P$124,$B64,Ofertas!$S$2:$S$124),0),"")</f>
        <v>27</v>
      </c>
      <c r="H64" s="23" t="str">
        <f aca="false">REPT("|",C64)</f>
        <v>|</v>
      </c>
    </row>
    <row r="65" customFormat="false" ht="15" hidden="false" customHeight="false" outlineLevel="0" collapsed="false">
      <c r="B65" s="19" t="s">
        <v>89</v>
      </c>
      <c r="C65" s="16" t="n">
        <f aca="false">COUNTIF(Ofertas!$P$2:$P$124,$B65)</f>
        <v>1</v>
      </c>
      <c r="D65" s="25" t="n">
        <f aca="false">IFERROR(ROUND(AVERAGEIF(Ofertas!$P$2:$P$124,$B65,Ofertas!$D$2:$D$124),1),"")</f>
        <v>2.2</v>
      </c>
      <c r="E65" s="25" t="n">
        <f aca="false">IFERROR(ROUND(AVERAGEIF(Ofertas!$P$2:$P$124,$B65,Ofertas!$B$2:$B$124),1),"")</f>
        <v>2.5</v>
      </c>
      <c r="F65" s="16" t="n">
        <f aca="false">SUMIF(Ofertas!$P$2:$P$124,$B65,Ofertas!$L$2:$L$124)</f>
        <v>0</v>
      </c>
      <c r="G65" s="26" t="n">
        <f aca="false">IFERROR(ROUND(AVERAGEIF(Ofertas!$P$2:$P$124,$B65,Ofertas!$S$2:$S$124),0),"")</f>
        <v>0</v>
      </c>
      <c r="H65" s="27" t="str">
        <f aca="false">REPT("|",C65)</f>
        <v>|</v>
      </c>
    </row>
  </sheetData>
  <mergeCells count="18">
    <mergeCell ref="B2:J3"/>
    <mergeCell ref="B4:J4"/>
    <mergeCell ref="B6:C6"/>
    <mergeCell ref="D6:E6"/>
    <mergeCell ref="F6:G6"/>
    <mergeCell ref="H6:I6"/>
    <mergeCell ref="J6:K6"/>
    <mergeCell ref="L6:M6"/>
    <mergeCell ref="N6:O6"/>
    <mergeCell ref="P6:Q6"/>
    <mergeCell ref="B7:C8"/>
    <mergeCell ref="D7:E8"/>
    <mergeCell ref="F7:G8"/>
    <mergeCell ref="H7:I8"/>
    <mergeCell ref="J7:K8"/>
    <mergeCell ref="L7:M8"/>
    <mergeCell ref="N7:O8"/>
    <mergeCell ref="P7:Q8"/>
  </mergeCells>
  <conditionalFormatting sqref="F12:F23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D12:E23">
    <cfRule type="colorScale" priority="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D28:E65">
    <cfRule type="colorScale" priority="4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hyperlinks>
    <hyperlink ref="K12" r:id="rId1" display="abrir"/>
    <hyperlink ref="K13" r:id="rId2" display="abrir"/>
    <hyperlink ref="K14" r:id="rId3" display="abrir"/>
    <hyperlink ref="K15" r:id="rId4" display="abrir"/>
    <hyperlink ref="K16" r:id="rId5" display="abrir"/>
    <hyperlink ref="K19" r:id="rId6" display="abrir"/>
    <hyperlink ref="K21" r:id="rId7" display="abrir"/>
    <hyperlink ref="K23" r:id="rId8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22"/>
    <col collapsed="false" customWidth="true" hidden="false" outlineLevel="0" max="17" min="17" style="0" width="26"/>
    <col collapsed="false" customWidth="true" hidden="false" outlineLevel="0" max="18" min="18" style="0" width="15"/>
    <col collapsed="false" customWidth="true" hidden="false" outlineLevel="0" max="19" min="19" style="0" width="18"/>
    <col collapsed="false" customWidth="true" hidden="false" outlineLevel="0" max="20" min="20" style="0" width="11"/>
    <col collapsed="false" customWidth="true" hidden="false" outlineLevel="0" max="22" min="21" style="0" width="13"/>
    <col collapsed="false" customWidth="true" hidden="false" outlineLevel="0" max="23" min="23" style="0" width="10"/>
    <col collapsed="false" customWidth="true" hidden="false" outlineLevel="0" max="25" min="24" style="0" width="13"/>
    <col collapsed="false" customWidth="true" hidden="false" outlineLevel="0" max="26" min="26" style="0" width="16"/>
    <col collapsed="false" customWidth="true" hidden="false" outlineLevel="0" max="27" min="27" style="0" width="12"/>
    <col collapsed="false" customWidth="true" hidden="false" outlineLevel="0" max="30" min="28" style="0" width="10"/>
    <col collapsed="false" customWidth="true" hidden="false" outlineLevel="0" max="31" min="31" style="0" width="11"/>
    <col collapsed="false" customWidth="true" hidden="false" outlineLevel="0" max="32" min="32" style="0" width="12"/>
    <col collapsed="false" customWidth="true" hidden="false" outlineLevel="0" max="33" min="33" style="0" width="22"/>
    <col collapsed="false" customWidth="true" hidden="false" outlineLevel="0" max="34" min="34" style="0" width="70"/>
  </cols>
  <sheetData>
    <row r="1" customFormat="false" ht="42" hidden="false" customHeight="true" outlineLevel="0" collapsed="false">
      <c r="A1" s="29" t="s">
        <v>90</v>
      </c>
      <c r="B1" s="29" t="s">
        <v>91</v>
      </c>
      <c r="C1" s="29" t="s">
        <v>92</v>
      </c>
      <c r="D1" s="29" t="s">
        <v>15</v>
      </c>
      <c r="E1" s="29" t="s">
        <v>93</v>
      </c>
      <c r="F1" s="29" t="s">
        <v>94</v>
      </c>
      <c r="G1" s="29" t="s">
        <v>95</v>
      </c>
      <c r="H1" s="29" t="s">
        <v>96</v>
      </c>
      <c r="I1" s="29" t="s">
        <v>97</v>
      </c>
      <c r="J1" s="29" t="s">
        <v>98</v>
      </c>
      <c r="K1" s="29" t="s">
        <v>99</v>
      </c>
      <c r="L1" s="29" t="s">
        <v>8</v>
      </c>
      <c r="M1" s="29" t="s">
        <v>18</v>
      </c>
      <c r="N1" s="29" t="s">
        <v>100</v>
      </c>
      <c r="O1" s="29" t="s">
        <v>101</v>
      </c>
      <c r="P1" s="29" t="s">
        <v>19</v>
      </c>
      <c r="Q1" s="29" t="s">
        <v>102</v>
      </c>
      <c r="R1" s="29" t="s">
        <v>103</v>
      </c>
      <c r="S1" s="29" t="s">
        <v>104</v>
      </c>
      <c r="T1" s="29" t="s">
        <v>105</v>
      </c>
      <c r="U1" s="29" t="s">
        <v>106</v>
      </c>
      <c r="V1" s="29" t="s">
        <v>107</v>
      </c>
      <c r="W1" s="29" t="s">
        <v>108</v>
      </c>
      <c r="X1" s="29" t="s">
        <v>109</v>
      </c>
      <c r="Y1" s="29" t="s">
        <v>110</v>
      </c>
      <c r="Z1" s="29" t="s">
        <v>111</v>
      </c>
      <c r="AA1" s="29" t="s">
        <v>112</v>
      </c>
      <c r="AB1" s="29" t="s">
        <v>113</v>
      </c>
      <c r="AC1" s="29" t="s">
        <v>114</v>
      </c>
      <c r="AD1" s="29" t="s">
        <v>115</v>
      </c>
      <c r="AE1" s="29" t="s">
        <v>116</v>
      </c>
      <c r="AF1" s="29" t="s">
        <v>117</v>
      </c>
      <c r="AG1" s="29" t="s">
        <v>118</v>
      </c>
      <c r="AH1" s="29" t="s">
        <v>119</v>
      </c>
    </row>
    <row r="2" customFormat="false" ht="15" hidden="false" customHeight="false" outlineLevel="0" collapsed="false">
      <c r="A2" s="17" t="s">
        <v>21</v>
      </c>
      <c r="B2" s="30" t="n">
        <f aca="false">MIN(10, IF(N2="ativa",5,IF(N2="nova",4,IF(N2="esfriando",2,0)))+IF(L2&gt;=9,3,IF(L2&gt;=3,2,IF(L2&gt;=1,1,0)))+IF(M2&gt;=60,1.5,IF(M2&gt;=30,1,IF(M2&gt;=14,0.5,0)))+IF(V2&gt;=50,1.5,IF(V2&gt;=10,1,IF(V2&gt;=1,0.5,0)))+IF(W2&gt;=4,0.5,0))</f>
        <v>8.5</v>
      </c>
      <c r="C2" s="18" t="n">
        <f aca="false">ROUND(AC2*0.15+AD2*0.25+AE2*0.4+AF2*0.2,1)</f>
        <v>6.7</v>
      </c>
      <c r="D2" s="30" t="n">
        <f aca="false">ROUND(B2*0.45+C2*0.55,1)</f>
        <v>7.5</v>
      </c>
      <c r="E2" s="16" t="str">
        <f aca="false">IF(D2&gt;=7,"Alta",IF(D2&gt;=5,"Media","Baixa"))</f>
        <v>Alta</v>
      </c>
      <c r="F2" s="19" t="s">
        <v>120</v>
      </c>
      <c r="G2" s="16" t="n">
        <v>1</v>
      </c>
      <c r="H2" s="19" t="s">
        <v>121</v>
      </c>
      <c r="I2" s="16" t="n">
        <v>1</v>
      </c>
      <c r="J2" s="31" t="s">
        <v>122</v>
      </c>
      <c r="K2" s="31" t="s">
        <v>123</v>
      </c>
      <c r="L2" s="16" t="n">
        <v>9</v>
      </c>
      <c r="M2" s="16" t="n">
        <v>509</v>
      </c>
      <c r="N2" s="16" t="s">
        <v>124</v>
      </c>
      <c r="O2" s="16" t="s">
        <v>125</v>
      </c>
      <c r="P2" s="19" t="s">
        <v>43</v>
      </c>
      <c r="Q2" s="19" t="s">
        <v>121</v>
      </c>
      <c r="R2" s="32" t="n">
        <v>97</v>
      </c>
      <c r="S2" s="32" t="n">
        <v>150</v>
      </c>
      <c r="T2" s="33" t="n">
        <v>0.85</v>
      </c>
      <c r="U2" s="19" t="s">
        <v>126</v>
      </c>
      <c r="V2" s="16" t="n">
        <v>0</v>
      </c>
      <c r="W2" s="16" t="n">
        <v>1</v>
      </c>
      <c r="X2" s="16" t="s">
        <v>127</v>
      </c>
      <c r="Y2" s="16" t="s">
        <v>127</v>
      </c>
      <c r="Z2" s="19" t="s">
        <v>128</v>
      </c>
      <c r="AA2" s="16" t="s">
        <v>129</v>
      </c>
      <c r="AB2" s="16" t="s">
        <v>12</v>
      </c>
      <c r="AC2" s="16" t="n">
        <v>9</v>
      </c>
      <c r="AD2" s="16" t="n">
        <v>10</v>
      </c>
      <c r="AE2" s="16" t="n">
        <v>3</v>
      </c>
      <c r="AF2" s="16" t="n">
        <v>8</v>
      </c>
      <c r="AG2" s="19" t="s">
        <v>130</v>
      </c>
      <c r="AH2" s="19" t="s">
        <v>131</v>
      </c>
    </row>
    <row r="3" customFormat="false" ht="15" hidden="false" customHeight="false" outlineLevel="0" collapsed="false">
      <c r="A3" s="12" t="s">
        <v>23</v>
      </c>
      <c r="B3" s="34" t="n">
        <f aca="false">MIN(10, IF(N3="ativa",5,IF(N3="nova",4,IF(N3="esfriando",2,0)))+IF(L3&gt;=9,3,IF(L3&gt;=3,2,IF(L3&gt;=1,1,0)))+IF(M3&gt;=60,1.5,IF(M3&gt;=30,1,IF(M3&gt;=14,0.5,0)))+IF(V3&gt;=50,1.5,IF(V3&gt;=10,1,IF(V3&gt;=1,0.5,0)))+IF(W3&gt;=4,0.5,0))</f>
        <v>8</v>
      </c>
      <c r="C3" s="13" t="n">
        <f aca="false">ROUND(AC3*0.15+AD3*0.25+AE3*0.4+AF3*0.2,1)</f>
        <v>6.9</v>
      </c>
      <c r="D3" s="34" t="n">
        <f aca="false">ROUND(B3*0.45+C3*0.55,1)</f>
        <v>7.4</v>
      </c>
      <c r="E3" s="11" t="str">
        <f aca="false">IF(D3&gt;=7,"Alta",IF(D3&gt;=5,"Media","Baixa"))</f>
        <v>Alta</v>
      </c>
      <c r="F3" s="14" t="s">
        <v>132</v>
      </c>
      <c r="G3" s="11" t="n">
        <v>1</v>
      </c>
      <c r="H3" s="14" t="s">
        <v>133</v>
      </c>
      <c r="I3" s="11" t="n">
        <v>4</v>
      </c>
      <c r="J3" s="35" t="s">
        <v>122</v>
      </c>
      <c r="K3" s="35" t="s">
        <v>134</v>
      </c>
      <c r="L3" s="11" t="n">
        <v>9</v>
      </c>
      <c r="M3" s="11" t="n">
        <v>54</v>
      </c>
      <c r="N3" s="11" t="s">
        <v>124</v>
      </c>
      <c r="O3" s="11" t="s">
        <v>125</v>
      </c>
      <c r="P3" s="14" t="s">
        <v>41</v>
      </c>
      <c r="Q3" s="14" t="s">
        <v>133</v>
      </c>
      <c r="R3" s="36" t="n">
        <v>17.9</v>
      </c>
      <c r="S3" s="36" t="n">
        <v>24</v>
      </c>
      <c r="T3" s="37" t="n">
        <v>0.9</v>
      </c>
      <c r="U3" s="14" t="s">
        <v>135</v>
      </c>
      <c r="V3" s="11" t="n">
        <v>0</v>
      </c>
      <c r="W3" s="11" t="n">
        <v>1</v>
      </c>
      <c r="X3" s="11" t="s">
        <v>136</v>
      </c>
      <c r="Y3" s="11" t="s">
        <v>136</v>
      </c>
      <c r="Z3" s="14" t="s">
        <v>137</v>
      </c>
      <c r="AA3" s="11" t="s">
        <v>129</v>
      </c>
      <c r="AB3" s="11" t="s">
        <v>12</v>
      </c>
      <c r="AC3" s="11" t="n">
        <v>3</v>
      </c>
      <c r="AD3" s="11" t="n">
        <v>8</v>
      </c>
      <c r="AE3" s="11" t="n">
        <v>10</v>
      </c>
      <c r="AF3" s="11" t="n">
        <v>2</v>
      </c>
      <c r="AG3" s="14"/>
      <c r="AH3" s="14" t="s">
        <v>138</v>
      </c>
    </row>
    <row r="4" customFormat="false" ht="15" hidden="false" customHeight="false" outlineLevel="0" collapsed="false">
      <c r="A4" s="17" t="s">
        <v>24</v>
      </c>
      <c r="B4" s="30" t="n">
        <f aca="false">MIN(10, IF(N4="ativa",5,IF(N4="nova",4,IF(N4="esfriando",2,0)))+IF(L4&gt;=9,3,IF(L4&gt;=3,2,IF(L4&gt;=1,1,0)))+IF(M4&gt;=60,1.5,IF(M4&gt;=30,1,IF(M4&gt;=14,0.5,0)))+IF(V4&gt;=50,1.5,IF(V4&gt;=10,1,IF(V4&gt;=1,0.5,0)))+IF(W4&gt;=4,0.5,0))</f>
        <v>8</v>
      </c>
      <c r="C4" s="18" t="n">
        <f aca="false">ROUND(AC4*0.15+AD4*0.25+AE4*0.4+AF4*0.2,1)</f>
        <v>6.5</v>
      </c>
      <c r="D4" s="30" t="n">
        <f aca="false">ROUND(B4*0.45+C4*0.55,1)</f>
        <v>7.2</v>
      </c>
      <c r="E4" s="16" t="str">
        <f aca="false">IF(D4&gt;=7,"Alta",IF(D4&gt;=5,"Media","Baixa"))</f>
        <v>Alta</v>
      </c>
      <c r="F4" s="19" t="s">
        <v>139</v>
      </c>
      <c r="G4" s="16" t="n">
        <v>1</v>
      </c>
      <c r="H4" s="19" t="s">
        <v>140</v>
      </c>
      <c r="I4" s="16" t="n">
        <v>3</v>
      </c>
      <c r="J4" s="31" t="s">
        <v>122</v>
      </c>
      <c r="K4" s="31" t="s">
        <v>134</v>
      </c>
      <c r="L4" s="16" t="n">
        <v>0</v>
      </c>
      <c r="M4" s="16" t="n">
        <v>1826</v>
      </c>
      <c r="N4" s="16" t="s">
        <v>141</v>
      </c>
      <c r="O4" s="16" t="s">
        <v>125</v>
      </c>
      <c r="P4" s="19" t="s">
        <v>51</v>
      </c>
      <c r="Q4" s="19" t="s">
        <v>140</v>
      </c>
      <c r="R4" s="32" t="n">
        <v>29</v>
      </c>
      <c r="S4" s="32" t="n">
        <v>45</v>
      </c>
      <c r="T4" s="33" t="n">
        <v>0.97</v>
      </c>
      <c r="U4" s="19" t="s">
        <v>135</v>
      </c>
      <c r="V4" s="16" t="n">
        <v>206</v>
      </c>
      <c r="W4" s="16" t="n">
        <v>2</v>
      </c>
      <c r="X4" s="16" t="s">
        <v>142</v>
      </c>
      <c r="Y4" s="16" t="s">
        <v>136</v>
      </c>
      <c r="Z4" s="19" t="s">
        <v>143</v>
      </c>
      <c r="AA4" s="16" t="s">
        <v>129</v>
      </c>
      <c r="AB4" s="16" t="s">
        <v>12</v>
      </c>
      <c r="AC4" s="16" t="n">
        <v>3</v>
      </c>
      <c r="AD4" s="16" t="n">
        <v>8</v>
      </c>
      <c r="AE4" s="16" t="n">
        <v>9</v>
      </c>
      <c r="AF4" s="16" t="n">
        <v>2</v>
      </c>
      <c r="AG4" s="19"/>
      <c r="AH4" s="19" t="s">
        <v>144</v>
      </c>
    </row>
    <row r="5" customFormat="false" ht="15" hidden="false" customHeight="false" outlineLevel="0" collapsed="false">
      <c r="A5" s="12" t="s">
        <v>25</v>
      </c>
      <c r="B5" s="34" t="n">
        <f aca="false">MIN(10, IF(N5="ativa",5,IF(N5="nova",4,IF(N5="esfriando",2,0)))+IF(L5&gt;=9,3,IF(L5&gt;=3,2,IF(L5&gt;=1,1,0)))+IF(M5&gt;=60,1.5,IF(M5&gt;=30,1,IF(M5&gt;=14,0.5,0)))+IF(V5&gt;=50,1.5,IF(V5&gt;=10,1,IF(V5&gt;=1,0.5,0)))+IF(W5&gt;=4,0.5,0))</f>
        <v>7.5</v>
      </c>
      <c r="C5" s="13" t="n">
        <f aca="false">ROUND(AC5*0.15+AD5*0.25+AE5*0.4+AF5*0.2,1)</f>
        <v>6.8</v>
      </c>
      <c r="D5" s="34" t="n">
        <f aca="false">ROUND(B5*0.45+C5*0.55,1)</f>
        <v>7.1</v>
      </c>
      <c r="E5" s="11" t="str">
        <f aca="false">IF(D5&gt;=7,"Alta",IF(D5&gt;=5,"Media","Baixa"))</f>
        <v>Alta</v>
      </c>
      <c r="F5" s="14" t="s">
        <v>145</v>
      </c>
      <c r="G5" s="11" t="n">
        <v>1</v>
      </c>
      <c r="H5" s="14" t="s">
        <v>146</v>
      </c>
      <c r="I5" s="11" t="n">
        <v>4</v>
      </c>
      <c r="J5" s="35" t="s">
        <v>122</v>
      </c>
      <c r="K5" s="35" t="s">
        <v>134</v>
      </c>
      <c r="L5" s="11" t="n">
        <v>8</v>
      </c>
      <c r="M5" s="11" t="n">
        <v>123</v>
      </c>
      <c r="N5" s="11" t="s">
        <v>124</v>
      </c>
      <c r="O5" s="11" t="s">
        <v>147</v>
      </c>
      <c r="P5" s="14" t="s">
        <v>45</v>
      </c>
      <c r="Q5" s="14" t="s">
        <v>146</v>
      </c>
      <c r="R5" s="36" t="n">
        <v>12</v>
      </c>
      <c r="S5" s="36" t="n">
        <v>12</v>
      </c>
      <c r="T5" s="37" t="n">
        <v>0.9</v>
      </c>
      <c r="U5" s="14" t="s">
        <v>148</v>
      </c>
      <c r="V5" s="11" t="n">
        <v>0</v>
      </c>
      <c r="W5" s="11" t="n">
        <v>1</v>
      </c>
      <c r="X5" s="11" t="s">
        <v>136</v>
      </c>
      <c r="Y5" s="11" t="s">
        <v>136</v>
      </c>
      <c r="Z5" s="14" t="s">
        <v>137</v>
      </c>
      <c r="AA5" s="11" t="s">
        <v>129</v>
      </c>
      <c r="AB5" s="11" t="s">
        <v>12</v>
      </c>
      <c r="AC5" s="11" t="n">
        <v>2</v>
      </c>
      <c r="AD5" s="11" t="n">
        <v>9</v>
      </c>
      <c r="AE5" s="11" t="n">
        <v>9</v>
      </c>
      <c r="AF5" s="11" t="n">
        <v>3</v>
      </c>
      <c r="AG5" s="14"/>
      <c r="AH5" s="14" t="s">
        <v>149</v>
      </c>
    </row>
    <row r="6" customFormat="false" ht="15" hidden="false" customHeight="false" outlineLevel="0" collapsed="false">
      <c r="A6" s="17" t="s">
        <v>26</v>
      </c>
      <c r="B6" s="30" t="n">
        <f aca="false">MIN(10, IF(N6="ativa",5,IF(N6="nova",4,IF(N6="esfriando",2,0)))+IF(L6&gt;=9,3,IF(L6&gt;=3,2,IF(L6&gt;=1,1,0)))+IF(M6&gt;=60,1.5,IF(M6&gt;=30,1,IF(M6&gt;=14,0.5,0)))+IF(V6&gt;=50,1.5,IF(V6&gt;=10,1,IF(V6&gt;=1,0.5,0)))+IF(W6&gt;=4,0.5,0))</f>
        <v>6.5</v>
      </c>
      <c r="C6" s="18" t="n">
        <f aca="false">ROUND(AC6*0.15+AD6*0.25+AE6*0.4+AF6*0.2,1)</f>
        <v>7.5</v>
      </c>
      <c r="D6" s="30" t="n">
        <f aca="false">ROUND(B6*0.45+C6*0.55,1)</f>
        <v>7.1</v>
      </c>
      <c r="E6" s="16" t="str">
        <f aca="false">IF(D6&gt;=7,"Alta",IF(D6&gt;=5,"Media","Baixa"))</f>
        <v>Alta</v>
      </c>
      <c r="F6" s="19" t="s">
        <v>150</v>
      </c>
      <c r="G6" s="16" t="n">
        <v>1</v>
      </c>
      <c r="H6" s="19" t="s">
        <v>151</v>
      </c>
      <c r="I6" s="16" t="n">
        <v>1</v>
      </c>
      <c r="J6" s="31" t="s">
        <v>122</v>
      </c>
      <c r="K6" s="31" t="s">
        <v>134</v>
      </c>
      <c r="L6" s="16" t="n">
        <v>1</v>
      </c>
      <c r="M6" s="16" t="n">
        <v>76</v>
      </c>
      <c r="N6" s="16" t="s">
        <v>124</v>
      </c>
      <c r="O6" s="16" t="s">
        <v>125</v>
      </c>
      <c r="P6" s="19" t="s">
        <v>45</v>
      </c>
      <c r="Q6" s="19" t="s">
        <v>151</v>
      </c>
      <c r="R6" s="32" t="n">
        <v>162</v>
      </c>
      <c r="S6" s="32" t="n">
        <v>162</v>
      </c>
      <c r="T6" s="33" t="n">
        <v>0.85</v>
      </c>
      <c r="U6" s="19" t="s">
        <v>152</v>
      </c>
      <c r="V6" s="16" t="n">
        <v>0</v>
      </c>
      <c r="W6" s="16" t="n">
        <v>1</v>
      </c>
      <c r="X6" s="16" t="s">
        <v>136</v>
      </c>
      <c r="Y6" s="16" t="s">
        <v>136</v>
      </c>
      <c r="Z6" s="19" t="s">
        <v>137</v>
      </c>
      <c r="AA6" s="16" t="s">
        <v>129</v>
      </c>
      <c r="AB6" s="16" t="s">
        <v>12</v>
      </c>
      <c r="AC6" s="16" t="n">
        <v>10</v>
      </c>
      <c r="AD6" s="16" t="n">
        <v>7</v>
      </c>
      <c r="AE6" s="16" t="n">
        <v>7</v>
      </c>
      <c r="AF6" s="16" t="n">
        <v>7</v>
      </c>
      <c r="AG6" s="19"/>
      <c r="AH6" s="19" t="s">
        <v>153</v>
      </c>
    </row>
    <row r="7" customFormat="false" ht="15" hidden="false" customHeight="false" outlineLevel="0" collapsed="false">
      <c r="A7" s="12" t="s">
        <v>27</v>
      </c>
      <c r="B7" s="34" t="n">
        <f aca="false">MIN(10, IF(N7="ativa",5,IF(N7="nova",4,IF(N7="esfriando",2,0)))+IF(L7&gt;=9,3,IF(L7&gt;=3,2,IF(L7&gt;=1,1,0)))+IF(M7&gt;=60,1.5,IF(M7&gt;=30,1,IF(M7&gt;=14,0.5,0)))+IF(V7&gt;=50,1.5,IF(V7&gt;=10,1,IF(V7&gt;=1,0.5,0)))+IF(W7&gt;=4,0.5,0))</f>
        <v>8</v>
      </c>
      <c r="C7" s="13" t="n">
        <f aca="false">ROUND(AC7*0.15+AD7*0.25+AE7*0.4+AF7*0.2,1)</f>
        <v>6.1</v>
      </c>
      <c r="D7" s="34" t="n">
        <f aca="false">ROUND(B7*0.45+C7*0.55,1)</f>
        <v>7</v>
      </c>
      <c r="E7" s="11" t="str">
        <f aca="false">IF(D7&gt;=7,"Alta",IF(D7&gt;=5,"Media","Baixa"))</f>
        <v>Alta</v>
      </c>
      <c r="F7" s="14" t="s">
        <v>154</v>
      </c>
      <c r="G7" s="11" t="n">
        <v>1</v>
      </c>
      <c r="H7" s="14" t="s">
        <v>155</v>
      </c>
      <c r="I7" s="11" t="n">
        <v>4</v>
      </c>
      <c r="J7" s="14" t="s">
        <v>28</v>
      </c>
      <c r="K7" s="35" t="s">
        <v>134</v>
      </c>
      <c r="L7" s="11" t="n">
        <v>10</v>
      </c>
      <c r="M7" s="11" t="n">
        <v>39</v>
      </c>
      <c r="N7" s="11" t="s">
        <v>124</v>
      </c>
      <c r="O7" s="11" t="s">
        <v>125</v>
      </c>
      <c r="P7" s="14" t="s">
        <v>45</v>
      </c>
      <c r="Q7" s="14" t="s">
        <v>155</v>
      </c>
      <c r="R7" s="36" t="n">
        <v>20</v>
      </c>
      <c r="S7" s="36" t="n">
        <v>20</v>
      </c>
      <c r="T7" s="37" t="n">
        <v>0.9</v>
      </c>
      <c r="U7" s="14" t="s">
        <v>156</v>
      </c>
      <c r="V7" s="11" t="n">
        <v>0</v>
      </c>
      <c r="W7" s="11" t="n">
        <v>1</v>
      </c>
      <c r="X7" s="11" t="s">
        <v>136</v>
      </c>
      <c r="Y7" s="11" t="s">
        <v>136</v>
      </c>
      <c r="Z7" s="14" t="s">
        <v>137</v>
      </c>
      <c r="AA7" s="11" t="s">
        <v>129</v>
      </c>
      <c r="AB7" s="11" t="s">
        <v>12</v>
      </c>
      <c r="AC7" s="11" t="n">
        <v>2</v>
      </c>
      <c r="AD7" s="11" t="n">
        <v>7</v>
      </c>
      <c r="AE7" s="11" t="n">
        <v>8</v>
      </c>
      <c r="AF7" s="11" t="n">
        <v>4</v>
      </c>
      <c r="AG7" s="14"/>
      <c r="AH7" s="14" t="s">
        <v>157</v>
      </c>
    </row>
    <row r="8" customFormat="false" ht="15" hidden="false" customHeight="false" outlineLevel="0" collapsed="false">
      <c r="A8" s="17" t="s">
        <v>29</v>
      </c>
      <c r="B8" s="30" t="n">
        <f aca="false">MIN(10, IF(N8="ativa",5,IF(N8="nova",4,IF(N8="esfriando",2,0)))+IF(L8&gt;=9,3,IF(L8&gt;=3,2,IF(L8&gt;=1,1,0)))+IF(M8&gt;=60,1.5,IF(M8&gt;=30,1,IF(M8&gt;=14,0.5,0)))+IF(V8&gt;=50,1.5,IF(V8&gt;=10,1,IF(V8&gt;=1,0.5,0)))+IF(W8&gt;=4,0.5,0))</f>
        <v>7</v>
      </c>
      <c r="C8" s="18" t="n">
        <f aca="false">ROUND(AC8*0.15+AD8*0.25+AE8*0.4+AF8*0.2,1)</f>
        <v>6.7</v>
      </c>
      <c r="D8" s="30" t="n">
        <f aca="false">ROUND(B8*0.45+C8*0.55,1)</f>
        <v>6.8</v>
      </c>
      <c r="E8" s="16" t="str">
        <f aca="false">IF(D8&gt;=7,"Alta",IF(D8&gt;=5,"Media","Baixa"))</f>
        <v>Media</v>
      </c>
      <c r="F8" s="19" t="s">
        <v>158</v>
      </c>
      <c r="G8" s="16" t="n">
        <v>1</v>
      </c>
      <c r="H8" s="19" t="s">
        <v>159</v>
      </c>
      <c r="I8" s="16" t="n">
        <v>1</v>
      </c>
      <c r="J8" s="19" t="s">
        <v>28</v>
      </c>
      <c r="K8" s="31" t="s">
        <v>134</v>
      </c>
      <c r="L8" s="16" t="n">
        <v>3</v>
      </c>
      <c r="M8" s="16" t="n">
        <v>35</v>
      </c>
      <c r="N8" s="16" t="s">
        <v>124</v>
      </c>
      <c r="O8" s="16" t="s">
        <v>147</v>
      </c>
      <c r="P8" s="19" t="s">
        <v>41</v>
      </c>
      <c r="Q8" s="19" t="s">
        <v>159</v>
      </c>
      <c r="R8" s="32" t="n">
        <v>0</v>
      </c>
      <c r="S8" s="32" t="n">
        <v>0</v>
      </c>
      <c r="T8" s="33" t="n">
        <v>0.9</v>
      </c>
      <c r="U8" s="19" t="s">
        <v>160</v>
      </c>
      <c r="V8" s="16" t="n">
        <v>0</v>
      </c>
      <c r="W8" s="16" t="n">
        <v>1</v>
      </c>
      <c r="X8" s="16" t="s">
        <v>136</v>
      </c>
      <c r="Y8" s="16" t="s">
        <v>136</v>
      </c>
      <c r="Z8" s="19" t="s">
        <v>137</v>
      </c>
      <c r="AA8" s="16" t="s">
        <v>129</v>
      </c>
      <c r="AB8" s="16" t="s">
        <v>12</v>
      </c>
      <c r="AC8" s="16" t="n">
        <v>0</v>
      </c>
      <c r="AD8" s="16" t="n">
        <v>5</v>
      </c>
      <c r="AE8" s="16" t="n">
        <v>9</v>
      </c>
      <c r="AF8" s="16" t="n">
        <v>9</v>
      </c>
      <c r="AG8" s="19"/>
      <c r="AH8" s="19" t="s">
        <v>161</v>
      </c>
    </row>
    <row r="9" customFormat="false" ht="15" hidden="false" customHeight="false" outlineLevel="0" collapsed="false">
      <c r="A9" s="12" t="s">
        <v>30</v>
      </c>
      <c r="B9" s="34" t="n">
        <f aca="false">MIN(10, IF(N9="ativa",5,IF(N9="nova",4,IF(N9="esfriando",2,0)))+IF(L9&gt;=9,3,IF(L9&gt;=3,2,IF(L9&gt;=1,1,0)))+IF(M9&gt;=60,1.5,IF(M9&gt;=30,1,IF(M9&gt;=14,0.5,0)))+IF(V9&gt;=50,1.5,IF(V9&gt;=10,1,IF(V9&gt;=1,0.5,0)))+IF(W9&gt;=4,0.5,0))</f>
        <v>7</v>
      </c>
      <c r="C9" s="13" t="n">
        <f aca="false">ROUND(AC9*0.15+AD9*0.25+AE9*0.4+AF9*0.2,1)</f>
        <v>6.2</v>
      </c>
      <c r="D9" s="34" t="n">
        <f aca="false">ROUND(B9*0.45+C9*0.55,1)</f>
        <v>6.6</v>
      </c>
      <c r="E9" s="11" t="str">
        <f aca="false">IF(D9&gt;=7,"Alta",IF(D9&gt;=5,"Media","Baixa"))</f>
        <v>Media</v>
      </c>
      <c r="F9" s="14" t="s">
        <v>162</v>
      </c>
      <c r="G9" s="11" t="n">
        <v>1</v>
      </c>
      <c r="H9" s="14" t="s">
        <v>163</v>
      </c>
      <c r="I9" s="11" t="n">
        <v>2</v>
      </c>
      <c r="J9" s="35" t="s">
        <v>122</v>
      </c>
      <c r="K9" s="35" t="s">
        <v>164</v>
      </c>
      <c r="L9" s="11" t="n">
        <v>11</v>
      </c>
      <c r="M9" s="11" t="n">
        <v>9</v>
      </c>
      <c r="N9" s="11" t="s">
        <v>124</v>
      </c>
      <c r="O9" s="11" t="s">
        <v>125</v>
      </c>
      <c r="P9" s="14" t="s">
        <v>43</v>
      </c>
      <c r="Q9" s="14" t="s">
        <v>163</v>
      </c>
      <c r="R9" s="36" t="n">
        <v>19.9</v>
      </c>
      <c r="S9" s="36" t="n">
        <v>35</v>
      </c>
      <c r="T9" s="37" t="n">
        <v>0.9</v>
      </c>
      <c r="U9" s="14" t="s">
        <v>165</v>
      </c>
      <c r="V9" s="11" t="n">
        <v>0</v>
      </c>
      <c r="W9" s="11" t="n">
        <v>1</v>
      </c>
      <c r="X9" s="11" t="s">
        <v>127</v>
      </c>
      <c r="Y9" s="11" t="s">
        <v>127</v>
      </c>
      <c r="Z9" s="14" t="s">
        <v>137</v>
      </c>
      <c r="AA9" s="11" t="s">
        <v>129</v>
      </c>
      <c r="AB9" s="11" t="s">
        <v>12</v>
      </c>
      <c r="AC9" s="11" t="n">
        <v>5</v>
      </c>
      <c r="AD9" s="11" t="n">
        <v>4</v>
      </c>
      <c r="AE9" s="11" t="n">
        <v>8</v>
      </c>
      <c r="AF9" s="11" t="n">
        <v>6</v>
      </c>
      <c r="AG9" s="14" t="s">
        <v>166</v>
      </c>
      <c r="AH9" s="14" t="s">
        <v>167</v>
      </c>
    </row>
    <row r="10" customFormat="false" ht="15" hidden="false" customHeight="false" outlineLevel="0" collapsed="false">
      <c r="A10" s="17" t="s">
        <v>31</v>
      </c>
      <c r="B10" s="30" t="n">
        <f aca="false">MIN(10, IF(N10="ativa",5,IF(N10="nova",4,IF(N10="esfriando",2,0)))+IF(L10&gt;=9,3,IF(L10&gt;=3,2,IF(L10&gt;=1,1,0)))+IF(M10&gt;=60,1.5,IF(M10&gt;=30,1,IF(M10&gt;=14,0.5,0)))+IF(V10&gt;=50,1.5,IF(V10&gt;=10,1,IF(V10&gt;=1,0.5,0)))+IF(W10&gt;=4,0.5,0))</f>
        <v>7</v>
      </c>
      <c r="C10" s="18" t="n">
        <f aca="false">ROUND(AC10*0.15+AD10*0.25+AE10*0.4+AF10*0.2,1)</f>
        <v>6.2</v>
      </c>
      <c r="D10" s="30" t="n">
        <f aca="false">ROUND(B10*0.45+C10*0.55,1)</f>
        <v>6.6</v>
      </c>
      <c r="E10" s="16" t="str">
        <f aca="false">IF(D10&gt;=7,"Alta",IF(D10&gt;=5,"Media","Baixa"))</f>
        <v>Media</v>
      </c>
      <c r="F10" s="19" t="s">
        <v>168</v>
      </c>
      <c r="G10" s="16" t="n">
        <v>1</v>
      </c>
      <c r="H10" s="19" t="s">
        <v>169</v>
      </c>
      <c r="I10" s="16" t="n">
        <v>1</v>
      </c>
      <c r="J10" s="19" t="s">
        <v>28</v>
      </c>
      <c r="K10" s="31" t="s">
        <v>134</v>
      </c>
      <c r="L10" s="16" t="n">
        <v>19</v>
      </c>
      <c r="M10" s="16" t="n">
        <v>10</v>
      </c>
      <c r="N10" s="16" t="s">
        <v>124</v>
      </c>
      <c r="O10" s="16" t="s">
        <v>147</v>
      </c>
      <c r="P10" s="19" t="s">
        <v>43</v>
      </c>
      <c r="Q10" s="19" t="s">
        <v>169</v>
      </c>
      <c r="R10" s="32" t="n">
        <v>19.9</v>
      </c>
      <c r="S10" s="32" t="n">
        <v>30</v>
      </c>
      <c r="T10" s="33" t="n">
        <v>0.92</v>
      </c>
      <c r="U10" s="19" t="s">
        <v>160</v>
      </c>
      <c r="V10" s="16" t="n">
        <v>0</v>
      </c>
      <c r="W10" s="16" t="n">
        <v>1</v>
      </c>
      <c r="X10" s="16" t="s">
        <v>127</v>
      </c>
      <c r="Y10" s="16" t="s">
        <v>127</v>
      </c>
      <c r="Z10" s="19" t="s">
        <v>137</v>
      </c>
      <c r="AA10" s="16" t="s">
        <v>129</v>
      </c>
      <c r="AB10" s="16" t="s">
        <v>170</v>
      </c>
      <c r="AC10" s="16" t="n">
        <v>4</v>
      </c>
      <c r="AD10" s="16" t="n">
        <v>4</v>
      </c>
      <c r="AE10" s="16" t="n">
        <v>9</v>
      </c>
      <c r="AF10" s="16" t="n">
        <v>5</v>
      </c>
      <c r="AG10" s="19"/>
      <c r="AH10" s="19" t="s">
        <v>171</v>
      </c>
    </row>
    <row r="11" customFormat="false" ht="15" hidden="false" customHeight="false" outlineLevel="0" collapsed="false">
      <c r="A11" s="12" t="s">
        <v>32</v>
      </c>
      <c r="B11" s="34" t="n">
        <f aca="false">MIN(10, IF(N11="ativa",5,IF(N11="nova",4,IF(N11="esfriando",2,0)))+IF(L11&gt;=9,3,IF(L11&gt;=3,2,IF(L11&gt;=1,1,0)))+IF(M11&gt;=60,1.5,IF(M11&gt;=30,1,IF(M11&gt;=14,0.5,0)))+IF(V11&gt;=50,1.5,IF(V11&gt;=10,1,IF(V11&gt;=1,0.5,0)))+IF(W11&gt;=4,0.5,0))</f>
        <v>6</v>
      </c>
      <c r="C11" s="13" t="n">
        <f aca="false">ROUND(AC11*0.15+AD11*0.25+AE11*0.4+AF11*0.2,1)</f>
        <v>6.9</v>
      </c>
      <c r="D11" s="34" t="n">
        <f aca="false">ROUND(B11*0.45+C11*0.55,1)</f>
        <v>6.5</v>
      </c>
      <c r="E11" s="11" t="str">
        <f aca="false">IF(D11&gt;=7,"Alta",IF(D11&gt;=5,"Media","Baixa"))</f>
        <v>Media</v>
      </c>
      <c r="F11" s="14" t="s">
        <v>172</v>
      </c>
      <c r="G11" s="11" t="n">
        <v>1</v>
      </c>
      <c r="H11" s="14" t="s">
        <v>133</v>
      </c>
      <c r="I11" s="11" t="n">
        <v>4</v>
      </c>
      <c r="J11" s="35" t="s">
        <v>122</v>
      </c>
      <c r="K11" s="35" t="s">
        <v>134</v>
      </c>
      <c r="L11" s="11" t="n">
        <v>2</v>
      </c>
      <c r="M11" s="11" t="n">
        <v>42</v>
      </c>
      <c r="N11" s="11" t="s">
        <v>124</v>
      </c>
      <c r="O11" s="11" t="s">
        <v>125</v>
      </c>
      <c r="P11" s="14" t="s">
        <v>41</v>
      </c>
      <c r="Q11" s="14" t="s">
        <v>133</v>
      </c>
      <c r="R11" s="36" t="n">
        <v>10</v>
      </c>
      <c r="S11" s="36" t="n">
        <v>10</v>
      </c>
      <c r="T11" s="37" t="n">
        <v>0.9</v>
      </c>
      <c r="U11" s="14" t="s">
        <v>160</v>
      </c>
      <c r="V11" s="11" t="n">
        <v>0</v>
      </c>
      <c r="W11" s="11" t="n">
        <v>1</v>
      </c>
      <c r="X11" s="11" t="s">
        <v>136</v>
      </c>
      <c r="Y11" s="11" t="s">
        <v>136</v>
      </c>
      <c r="Z11" s="14" t="s">
        <v>137</v>
      </c>
      <c r="AA11" s="11" t="s">
        <v>129</v>
      </c>
      <c r="AB11" s="11" t="s">
        <v>12</v>
      </c>
      <c r="AC11" s="11" t="n">
        <v>1</v>
      </c>
      <c r="AD11" s="11" t="n">
        <v>6</v>
      </c>
      <c r="AE11" s="11" t="n">
        <v>10</v>
      </c>
      <c r="AF11" s="11" t="n">
        <v>6</v>
      </c>
      <c r="AG11" s="14" t="s">
        <v>173</v>
      </c>
      <c r="AH11" s="14" t="s">
        <v>174</v>
      </c>
    </row>
    <row r="12" customFormat="false" ht="15" hidden="false" customHeight="false" outlineLevel="0" collapsed="false">
      <c r="A12" s="17" t="s">
        <v>33</v>
      </c>
      <c r="B12" s="30" t="n">
        <f aca="false">MIN(10, IF(N12="ativa",5,IF(N12="nova",4,IF(N12="esfriando",2,0)))+IF(L12&gt;=9,3,IF(L12&gt;=3,2,IF(L12&gt;=1,1,0)))+IF(M12&gt;=60,1.5,IF(M12&gt;=30,1,IF(M12&gt;=14,0.5,0)))+IF(V12&gt;=50,1.5,IF(V12&gt;=10,1,IF(V12&gt;=1,0.5,0)))+IF(W12&gt;=4,0.5,0))</f>
        <v>6.5</v>
      </c>
      <c r="C12" s="18" t="n">
        <f aca="false">ROUND(AC12*0.15+AD12*0.25+AE12*0.4+AF12*0.2,1)</f>
        <v>6.1</v>
      </c>
      <c r="D12" s="30" t="n">
        <f aca="false">ROUND(B12*0.45+C12*0.55,1)</f>
        <v>6.3</v>
      </c>
      <c r="E12" s="16" t="str">
        <f aca="false">IF(D12&gt;=7,"Alta",IF(D12&gt;=5,"Media","Baixa"))</f>
        <v>Media</v>
      </c>
      <c r="F12" s="19" t="s">
        <v>175</v>
      </c>
      <c r="G12" s="16" t="n">
        <v>1</v>
      </c>
      <c r="H12" s="19" t="s">
        <v>155</v>
      </c>
      <c r="I12" s="16" t="n">
        <v>4</v>
      </c>
      <c r="J12" s="19" t="s">
        <v>28</v>
      </c>
      <c r="K12" s="31" t="s">
        <v>134</v>
      </c>
      <c r="L12" s="16" t="n">
        <v>2</v>
      </c>
      <c r="M12" s="16" t="n">
        <v>107</v>
      </c>
      <c r="N12" s="16" t="s">
        <v>124</v>
      </c>
      <c r="O12" s="16" t="s">
        <v>125</v>
      </c>
      <c r="P12" s="19" t="s">
        <v>45</v>
      </c>
      <c r="Q12" s="19" t="s">
        <v>155</v>
      </c>
      <c r="R12" s="32" t="n">
        <v>0</v>
      </c>
      <c r="S12" s="32" t="n">
        <v>0</v>
      </c>
      <c r="T12" s="33" t="n">
        <v>0.9</v>
      </c>
      <c r="U12" s="19" t="s">
        <v>160</v>
      </c>
      <c r="V12" s="16" t="n">
        <v>0</v>
      </c>
      <c r="W12" s="16" t="n">
        <v>1</v>
      </c>
      <c r="X12" s="16" t="s">
        <v>136</v>
      </c>
      <c r="Y12" s="16" t="s">
        <v>136</v>
      </c>
      <c r="Z12" s="19" t="s">
        <v>137</v>
      </c>
      <c r="AA12" s="16" t="s">
        <v>129</v>
      </c>
      <c r="AB12" s="16" t="s">
        <v>12</v>
      </c>
      <c r="AC12" s="16" t="n">
        <v>0</v>
      </c>
      <c r="AD12" s="16" t="n">
        <v>9</v>
      </c>
      <c r="AE12" s="16" t="n">
        <v>8</v>
      </c>
      <c r="AF12" s="16" t="n">
        <v>3</v>
      </c>
      <c r="AG12" s="19"/>
      <c r="AH12" s="19" t="s">
        <v>176</v>
      </c>
    </row>
    <row r="13" customFormat="false" ht="15" hidden="false" customHeight="false" outlineLevel="0" collapsed="false">
      <c r="A13" s="12" t="s">
        <v>34</v>
      </c>
      <c r="B13" s="34" t="n">
        <f aca="false">MIN(10, IF(N13="ativa",5,IF(N13="nova",4,IF(N13="esfriando",2,0)))+IF(L13&gt;=9,3,IF(L13&gt;=3,2,IF(L13&gt;=1,1,0)))+IF(M13&gt;=60,1.5,IF(M13&gt;=30,1,IF(M13&gt;=14,0.5,0)))+IF(V13&gt;=50,1.5,IF(V13&gt;=10,1,IF(V13&gt;=1,0.5,0)))+IF(W13&gt;=4,0.5,0))</f>
        <v>6.5</v>
      </c>
      <c r="C13" s="13" t="n">
        <f aca="false">ROUND(AC13*0.15+AD13*0.25+AE13*0.4+AF13*0.2,1)</f>
        <v>6.1</v>
      </c>
      <c r="D13" s="34" t="n">
        <f aca="false">ROUND(B13*0.45+C13*0.55,1)</f>
        <v>6.3</v>
      </c>
      <c r="E13" s="11" t="str">
        <f aca="false">IF(D13&gt;=7,"Alta",IF(D13&gt;=5,"Media","Baixa"))</f>
        <v>Media</v>
      </c>
      <c r="F13" s="14" t="s">
        <v>177</v>
      </c>
      <c r="G13" s="11" t="n">
        <v>1</v>
      </c>
      <c r="H13" s="14" t="s">
        <v>178</v>
      </c>
      <c r="I13" s="11" t="n">
        <v>2</v>
      </c>
      <c r="J13" s="35" t="s">
        <v>122</v>
      </c>
      <c r="K13" s="35" t="s">
        <v>134</v>
      </c>
      <c r="L13" s="11" t="n">
        <v>1</v>
      </c>
      <c r="M13" s="11" t="n">
        <v>74</v>
      </c>
      <c r="N13" s="11" t="s">
        <v>124</v>
      </c>
      <c r="O13" s="11" t="s">
        <v>147</v>
      </c>
      <c r="P13" s="14" t="s">
        <v>45</v>
      </c>
      <c r="Q13" s="14" t="s">
        <v>178</v>
      </c>
      <c r="R13" s="36" t="n">
        <v>20</v>
      </c>
      <c r="S13" s="36" t="n">
        <v>35</v>
      </c>
      <c r="T13" s="37" t="n">
        <v>0.9</v>
      </c>
      <c r="U13" s="14" t="s">
        <v>165</v>
      </c>
      <c r="V13" s="11" t="n">
        <v>0</v>
      </c>
      <c r="W13" s="11" t="n">
        <v>1</v>
      </c>
      <c r="X13" s="11" t="s">
        <v>136</v>
      </c>
      <c r="Y13" s="11" t="s">
        <v>136</v>
      </c>
      <c r="Z13" s="14" t="s">
        <v>137</v>
      </c>
      <c r="AA13" s="11" t="s">
        <v>129</v>
      </c>
      <c r="AB13" s="11" t="s">
        <v>12</v>
      </c>
      <c r="AC13" s="11" t="n">
        <v>5</v>
      </c>
      <c r="AD13" s="11" t="n">
        <v>7</v>
      </c>
      <c r="AE13" s="11" t="n">
        <v>7</v>
      </c>
      <c r="AF13" s="11" t="n">
        <v>4</v>
      </c>
      <c r="AG13" s="14"/>
      <c r="AH13" s="14" t="s">
        <v>179</v>
      </c>
    </row>
    <row r="14" customFormat="false" ht="15" hidden="false" customHeight="false" outlineLevel="0" collapsed="false">
      <c r="A14" s="17" t="s">
        <v>180</v>
      </c>
      <c r="B14" s="30" t="n">
        <f aca="false">MIN(10, IF(N14="ativa",5,IF(N14="nova",4,IF(N14="esfriando",2,0)))+IF(L14&gt;=9,3,IF(L14&gt;=3,2,IF(L14&gt;=1,1,0)))+IF(M14&gt;=60,1.5,IF(M14&gt;=30,1,IF(M14&gt;=14,0.5,0)))+IF(V14&gt;=50,1.5,IF(V14&gt;=10,1,IF(V14&gt;=1,0.5,0)))+IF(W14&gt;=4,0.5,0))</f>
        <v>6.5</v>
      </c>
      <c r="C14" s="18" t="n">
        <f aca="false">ROUND(AC14*0.15+AD14*0.25+AE14*0.4+AF14*0.2,1)</f>
        <v>6</v>
      </c>
      <c r="D14" s="30" t="n">
        <f aca="false">ROUND(B14*0.45+C14*0.55,1)</f>
        <v>6.2</v>
      </c>
      <c r="E14" s="16" t="str">
        <f aca="false">IF(D14&gt;=7,"Alta",IF(D14&gt;=5,"Media","Baixa"))</f>
        <v>Media</v>
      </c>
      <c r="F14" s="19" t="s">
        <v>181</v>
      </c>
      <c r="G14" s="16" t="n">
        <v>1</v>
      </c>
      <c r="H14" s="19" t="s">
        <v>182</v>
      </c>
      <c r="I14" s="16" t="n">
        <v>2</v>
      </c>
      <c r="J14" s="31" t="s">
        <v>122</v>
      </c>
      <c r="K14" s="31" t="s">
        <v>183</v>
      </c>
      <c r="L14" s="16" t="n">
        <v>2</v>
      </c>
      <c r="M14" s="16" t="n">
        <v>584</v>
      </c>
      <c r="N14" s="16" t="s">
        <v>124</v>
      </c>
      <c r="O14" s="16" t="s">
        <v>184</v>
      </c>
      <c r="P14" s="19" t="s">
        <v>43</v>
      </c>
      <c r="Q14" s="19" t="s">
        <v>182</v>
      </c>
      <c r="R14" s="32" t="n">
        <v>247</v>
      </c>
      <c r="S14" s="32" t="n">
        <v>247</v>
      </c>
      <c r="T14" s="33" t="n">
        <v>0.85</v>
      </c>
      <c r="U14" s="19" t="s">
        <v>126</v>
      </c>
      <c r="V14" s="16" t="n">
        <v>0</v>
      </c>
      <c r="W14" s="16" t="n">
        <v>1</v>
      </c>
      <c r="X14" s="16" t="s">
        <v>127</v>
      </c>
      <c r="Y14" s="16" t="s">
        <v>127</v>
      </c>
      <c r="Z14" s="19" t="s">
        <v>128</v>
      </c>
      <c r="AA14" s="16" t="s">
        <v>129</v>
      </c>
      <c r="AB14" s="16" t="s">
        <v>12</v>
      </c>
      <c r="AC14" s="16" t="n">
        <v>10</v>
      </c>
      <c r="AD14" s="16" t="n">
        <v>10</v>
      </c>
      <c r="AE14" s="16" t="n">
        <v>2</v>
      </c>
      <c r="AF14" s="16" t="n">
        <v>6</v>
      </c>
      <c r="AG14" s="19" t="s">
        <v>185</v>
      </c>
      <c r="AH14" s="19" t="s">
        <v>186</v>
      </c>
    </row>
    <row r="15" customFormat="false" ht="15" hidden="false" customHeight="false" outlineLevel="0" collapsed="false">
      <c r="A15" s="12" t="s">
        <v>187</v>
      </c>
      <c r="B15" s="34" t="n">
        <f aca="false">MIN(10, IF(N15="ativa",5,IF(N15="nova",4,IF(N15="esfriando",2,0)))+IF(L15&gt;=9,3,IF(L15&gt;=3,2,IF(L15&gt;=1,1,0)))+IF(M15&gt;=60,1.5,IF(M15&gt;=30,1,IF(M15&gt;=14,0.5,0)))+IF(V15&gt;=50,1.5,IF(V15&gt;=10,1,IF(V15&gt;=1,0.5,0)))+IF(W15&gt;=4,0.5,0))</f>
        <v>7.5</v>
      </c>
      <c r="C15" s="13" t="n">
        <f aca="false">ROUND(AC15*0.15+AD15*0.25+AE15*0.4+AF15*0.2,1)</f>
        <v>5.3</v>
      </c>
      <c r="D15" s="34" t="n">
        <f aca="false">ROUND(B15*0.45+C15*0.55,1)</f>
        <v>6.3</v>
      </c>
      <c r="E15" s="11" t="str">
        <f aca="false">IF(D15&gt;=7,"Alta",IF(D15&gt;=5,"Media","Baixa"))</f>
        <v>Media</v>
      </c>
      <c r="F15" s="14" t="s">
        <v>188</v>
      </c>
      <c r="G15" s="11" t="n">
        <v>1</v>
      </c>
      <c r="H15" s="14" t="s">
        <v>182</v>
      </c>
      <c r="I15" s="11" t="n">
        <v>2</v>
      </c>
      <c r="J15" s="35" t="s">
        <v>122</v>
      </c>
      <c r="K15" s="35" t="s">
        <v>189</v>
      </c>
      <c r="L15" s="11" t="n">
        <v>3</v>
      </c>
      <c r="M15" s="11" t="n">
        <v>81</v>
      </c>
      <c r="N15" s="11" t="s">
        <v>124</v>
      </c>
      <c r="O15" s="11" t="s">
        <v>184</v>
      </c>
      <c r="P15" s="14" t="s">
        <v>43</v>
      </c>
      <c r="Q15" s="14" t="s">
        <v>182</v>
      </c>
      <c r="R15" s="36" t="n">
        <v>97</v>
      </c>
      <c r="S15" s="36" t="n">
        <v>210</v>
      </c>
      <c r="T15" s="37" t="n">
        <v>0.85</v>
      </c>
      <c r="U15" s="14" t="s">
        <v>152</v>
      </c>
      <c r="V15" s="11" t="n">
        <v>0</v>
      </c>
      <c r="W15" s="11" t="n">
        <v>1</v>
      </c>
      <c r="X15" s="11" t="s">
        <v>127</v>
      </c>
      <c r="Y15" s="11" t="s">
        <v>127</v>
      </c>
      <c r="Z15" s="14" t="s">
        <v>190</v>
      </c>
      <c r="AA15" s="11" t="s">
        <v>191</v>
      </c>
      <c r="AB15" s="11" t="s">
        <v>12</v>
      </c>
      <c r="AC15" s="11" t="n">
        <v>10</v>
      </c>
      <c r="AD15" s="11" t="n">
        <v>7</v>
      </c>
      <c r="AE15" s="11" t="n">
        <v>2</v>
      </c>
      <c r="AF15" s="11" t="n">
        <v>6</v>
      </c>
      <c r="AG15" s="14" t="s">
        <v>192</v>
      </c>
      <c r="AH15" s="14" t="s">
        <v>193</v>
      </c>
    </row>
    <row r="16" customFormat="false" ht="15" hidden="false" customHeight="false" outlineLevel="0" collapsed="false">
      <c r="A16" s="17" t="s">
        <v>194</v>
      </c>
      <c r="B16" s="30" t="n">
        <f aca="false">MIN(10, IF(N16="ativa",5,IF(N16="nova",4,IF(N16="esfriando",2,0)))+IF(L16&gt;=9,3,IF(L16&gt;=3,2,IF(L16&gt;=1,1,0)))+IF(M16&gt;=60,1.5,IF(M16&gt;=30,1,IF(M16&gt;=14,0.5,0)))+IF(V16&gt;=50,1.5,IF(V16&gt;=10,1,IF(V16&gt;=1,0.5,0)))+IF(W16&gt;=4,0.5,0))</f>
        <v>6</v>
      </c>
      <c r="C16" s="18" t="n">
        <f aca="false">ROUND(AC16*0.15+AD16*0.25+AE16*0.4+AF16*0.2,1)</f>
        <v>6.1</v>
      </c>
      <c r="D16" s="30" t="n">
        <f aca="false">ROUND(B16*0.45+C16*0.55,1)</f>
        <v>6.1</v>
      </c>
      <c r="E16" s="16" t="str">
        <f aca="false">IF(D16&gt;=7,"Alta",IF(D16&gt;=5,"Media","Baixa"))</f>
        <v>Media</v>
      </c>
      <c r="F16" s="19" t="s">
        <v>195</v>
      </c>
      <c r="G16" s="16" t="n">
        <v>1</v>
      </c>
      <c r="H16" s="19" t="s">
        <v>133</v>
      </c>
      <c r="I16" s="16" t="n">
        <v>4</v>
      </c>
      <c r="J16" s="31" t="s">
        <v>122</v>
      </c>
      <c r="K16" s="31" t="s">
        <v>134</v>
      </c>
      <c r="L16" s="16" t="n">
        <v>1</v>
      </c>
      <c r="M16" s="16" t="n">
        <v>54</v>
      </c>
      <c r="N16" s="16" t="s">
        <v>124</v>
      </c>
      <c r="O16" s="16" t="s">
        <v>125</v>
      </c>
      <c r="P16" s="19" t="s">
        <v>41</v>
      </c>
      <c r="Q16" s="19" t="s">
        <v>133</v>
      </c>
      <c r="R16" s="32" t="n">
        <v>10</v>
      </c>
      <c r="S16" s="32" t="n">
        <v>10</v>
      </c>
      <c r="T16" s="33" t="n">
        <v>0.9</v>
      </c>
      <c r="U16" s="19" t="s">
        <v>160</v>
      </c>
      <c r="V16" s="16" t="n">
        <v>0</v>
      </c>
      <c r="W16" s="16" t="n">
        <v>1</v>
      </c>
      <c r="X16" s="16" t="s">
        <v>136</v>
      </c>
      <c r="Y16" s="16" t="s">
        <v>136</v>
      </c>
      <c r="Z16" s="19" t="s">
        <v>137</v>
      </c>
      <c r="AA16" s="16" t="s">
        <v>129</v>
      </c>
      <c r="AB16" s="16" t="s">
        <v>12</v>
      </c>
      <c r="AC16" s="16" t="n">
        <v>1</v>
      </c>
      <c r="AD16" s="16" t="n">
        <v>6</v>
      </c>
      <c r="AE16" s="16" t="n">
        <v>10</v>
      </c>
      <c r="AF16" s="16" t="n">
        <v>2</v>
      </c>
      <c r="AG16" s="19"/>
      <c r="AH16" s="19" t="s">
        <v>196</v>
      </c>
    </row>
    <row r="17" customFormat="false" ht="15" hidden="false" customHeight="false" outlineLevel="0" collapsed="false">
      <c r="A17" s="12" t="s">
        <v>197</v>
      </c>
      <c r="B17" s="34" t="n">
        <f aca="false">MIN(10, IF(N17="ativa",5,IF(N17="nova",4,IF(N17="esfriando",2,0)))+IF(L17&gt;=9,3,IF(L17&gt;=3,2,IF(L17&gt;=1,1,0)))+IF(M17&gt;=60,1.5,IF(M17&gt;=30,1,IF(M17&gt;=14,0.5,0)))+IF(V17&gt;=50,1.5,IF(V17&gt;=10,1,IF(V17&gt;=1,0.5,0)))+IF(W17&gt;=4,0.5,0))</f>
        <v>6.5</v>
      </c>
      <c r="C17" s="13" t="n">
        <f aca="false">ROUND(AC17*0.15+AD17*0.25+AE17*0.4+AF17*0.2,1)</f>
        <v>5.7</v>
      </c>
      <c r="D17" s="34" t="n">
        <f aca="false">ROUND(B17*0.45+C17*0.55,1)</f>
        <v>6.1</v>
      </c>
      <c r="E17" s="11" t="str">
        <f aca="false">IF(D17&gt;=7,"Alta",IF(D17&gt;=5,"Media","Baixa"))</f>
        <v>Media</v>
      </c>
      <c r="F17" s="14" t="s">
        <v>198</v>
      </c>
      <c r="G17" s="11" t="n">
        <v>1</v>
      </c>
      <c r="H17" s="14" t="s">
        <v>199</v>
      </c>
      <c r="I17" s="11" t="n">
        <v>1</v>
      </c>
      <c r="J17" s="35" t="s">
        <v>122</v>
      </c>
      <c r="K17" s="35" t="s">
        <v>200</v>
      </c>
      <c r="L17" s="11" t="n">
        <v>1</v>
      </c>
      <c r="M17" s="11" t="n">
        <v>137</v>
      </c>
      <c r="N17" s="11" t="s">
        <v>124</v>
      </c>
      <c r="O17" s="11" t="s">
        <v>125</v>
      </c>
      <c r="P17" s="14" t="s">
        <v>43</v>
      </c>
      <c r="Q17" s="14" t="s">
        <v>199</v>
      </c>
      <c r="R17" s="36" t="n">
        <v>50</v>
      </c>
      <c r="S17" s="36" t="n">
        <v>150</v>
      </c>
      <c r="T17" s="37" t="n">
        <v>0.85</v>
      </c>
      <c r="U17" s="14" t="s">
        <v>126</v>
      </c>
      <c r="V17" s="11" t="n">
        <v>0</v>
      </c>
      <c r="W17" s="11" t="n">
        <v>1</v>
      </c>
      <c r="X17" s="11" t="s">
        <v>127</v>
      </c>
      <c r="Y17" s="11" t="s">
        <v>127</v>
      </c>
      <c r="Z17" s="14" t="s">
        <v>190</v>
      </c>
      <c r="AA17" s="11" t="s">
        <v>191</v>
      </c>
      <c r="AB17" s="11" t="s">
        <v>12</v>
      </c>
      <c r="AC17" s="11" t="n">
        <v>9</v>
      </c>
      <c r="AD17" s="11" t="n">
        <v>7</v>
      </c>
      <c r="AE17" s="11" t="n">
        <v>3</v>
      </c>
      <c r="AF17" s="11" t="n">
        <v>7</v>
      </c>
      <c r="AG17" s="14" t="s">
        <v>201</v>
      </c>
      <c r="AH17" s="14" t="s">
        <v>202</v>
      </c>
    </row>
    <row r="18" customFormat="false" ht="15" hidden="false" customHeight="false" outlineLevel="0" collapsed="false">
      <c r="A18" s="17" t="s">
        <v>203</v>
      </c>
      <c r="B18" s="30" t="n">
        <f aca="false">MIN(10, IF(N18="ativa",5,IF(N18="nova",4,IF(N18="esfriando",2,0)))+IF(L18&gt;=9,3,IF(L18&gt;=3,2,IF(L18&gt;=1,1,0)))+IF(M18&gt;=60,1.5,IF(M18&gt;=30,1,IF(M18&gt;=14,0.5,0)))+IF(V18&gt;=50,1.5,IF(V18&gt;=10,1,IF(V18&gt;=1,0.5,0)))+IF(W18&gt;=4,0.5,0))</f>
        <v>7</v>
      </c>
      <c r="C18" s="18" t="n">
        <f aca="false">ROUND(AC18*0.15+AD18*0.25+AE18*0.4+AF18*0.2,1)</f>
        <v>5.4</v>
      </c>
      <c r="D18" s="30" t="n">
        <f aca="false">ROUND(B18*0.45+C18*0.55,1)</f>
        <v>6.1</v>
      </c>
      <c r="E18" s="16" t="str">
        <f aca="false">IF(D18&gt;=7,"Alta",IF(D18&gt;=5,"Media","Baixa"))</f>
        <v>Media</v>
      </c>
      <c r="F18" s="19" t="s">
        <v>204</v>
      </c>
      <c r="G18" s="16" t="n">
        <v>1</v>
      </c>
      <c r="H18" s="19" t="s">
        <v>205</v>
      </c>
      <c r="I18" s="16" t="n">
        <v>4</v>
      </c>
      <c r="J18" s="31" t="s">
        <v>122</v>
      </c>
      <c r="K18" s="31" t="s">
        <v>134</v>
      </c>
      <c r="L18" s="16" t="n">
        <v>0</v>
      </c>
      <c r="M18" s="16" t="n">
        <v>210</v>
      </c>
      <c r="N18" s="16" t="s">
        <v>124</v>
      </c>
      <c r="O18" s="16" t="s">
        <v>125</v>
      </c>
      <c r="P18" s="19" t="s">
        <v>53</v>
      </c>
      <c r="Q18" s="19" t="s">
        <v>205</v>
      </c>
      <c r="R18" s="32" t="n">
        <v>79.9</v>
      </c>
      <c r="S18" s="32" t="n">
        <v>90</v>
      </c>
      <c r="T18" s="33" t="n">
        <v>0.9</v>
      </c>
      <c r="U18" s="19" t="s">
        <v>160</v>
      </c>
      <c r="V18" s="16" t="n">
        <v>114</v>
      </c>
      <c r="W18" s="16" t="n">
        <v>1</v>
      </c>
      <c r="X18" s="16" t="s">
        <v>142</v>
      </c>
      <c r="Y18" s="16" t="s">
        <v>142</v>
      </c>
      <c r="Z18" s="19" t="s">
        <v>128</v>
      </c>
      <c r="AA18" s="16" t="s">
        <v>129</v>
      </c>
      <c r="AB18" s="16" t="s">
        <v>12</v>
      </c>
      <c r="AC18" s="16" t="n">
        <v>7</v>
      </c>
      <c r="AD18" s="16" t="n">
        <v>7</v>
      </c>
      <c r="AE18" s="16" t="n">
        <v>5</v>
      </c>
      <c r="AF18" s="16" t="n">
        <v>3</v>
      </c>
      <c r="AG18" s="19"/>
      <c r="AH18" s="19" t="s">
        <v>206</v>
      </c>
    </row>
    <row r="19" customFormat="false" ht="15" hidden="false" customHeight="false" outlineLevel="0" collapsed="false">
      <c r="A19" s="12" t="s">
        <v>207</v>
      </c>
      <c r="B19" s="34" t="n">
        <f aca="false">MIN(10, IF(N19="ativa",5,IF(N19="nova",4,IF(N19="esfriando",2,0)))+IF(L19&gt;=9,3,IF(L19&gt;=3,2,IF(L19&gt;=1,1,0)))+IF(M19&gt;=60,1.5,IF(M19&gt;=30,1,IF(M19&gt;=14,0.5,0)))+IF(V19&gt;=50,1.5,IF(V19&gt;=10,1,IF(V19&gt;=1,0.5,0)))+IF(W19&gt;=4,0.5,0))</f>
        <v>7.5</v>
      </c>
      <c r="C19" s="13" t="n">
        <f aca="false">ROUND(AC19*0.15+AD19*0.25+AE19*0.4+AF19*0.2,1)</f>
        <v>4.8</v>
      </c>
      <c r="D19" s="34" t="n">
        <f aca="false">ROUND(B19*0.45+C19*0.55,1)</f>
        <v>6</v>
      </c>
      <c r="E19" s="11" t="str">
        <f aca="false">IF(D19&gt;=7,"Alta",IF(D19&gt;=5,"Media","Baixa"))</f>
        <v>Media</v>
      </c>
      <c r="F19" s="14" t="s">
        <v>208</v>
      </c>
      <c r="G19" s="11" t="n">
        <v>1</v>
      </c>
      <c r="H19" s="14" t="s">
        <v>209</v>
      </c>
      <c r="I19" s="11" t="n">
        <v>3</v>
      </c>
      <c r="J19" s="14" t="s">
        <v>28</v>
      </c>
      <c r="K19" s="35" t="s">
        <v>134</v>
      </c>
      <c r="L19" s="11" t="n">
        <v>0</v>
      </c>
      <c r="M19" s="11" t="n">
        <v>61</v>
      </c>
      <c r="N19" s="11" t="s">
        <v>141</v>
      </c>
      <c r="O19" s="11" t="s">
        <v>125</v>
      </c>
      <c r="P19" s="14" t="s">
        <v>49</v>
      </c>
      <c r="Q19" s="14" t="s">
        <v>209</v>
      </c>
      <c r="R19" s="36" t="n">
        <v>50</v>
      </c>
      <c r="S19" s="36" t="n">
        <v>150</v>
      </c>
      <c r="T19" s="37" t="n">
        <v>0.95</v>
      </c>
      <c r="U19" s="14" t="s">
        <v>210</v>
      </c>
      <c r="V19" s="11" t="n">
        <v>39</v>
      </c>
      <c r="W19" s="11" t="n">
        <v>2</v>
      </c>
      <c r="X19" s="11" t="s">
        <v>211</v>
      </c>
      <c r="Y19" s="11" t="s">
        <v>212</v>
      </c>
      <c r="Z19" s="14" t="s">
        <v>213</v>
      </c>
      <c r="AA19" s="11" t="s">
        <v>129</v>
      </c>
      <c r="AB19" s="11" t="s">
        <v>12</v>
      </c>
      <c r="AC19" s="11" t="n">
        <v>9</v>
      </c>
      <c r="AD19" s="11" t="n">
        <v>8</v>
      </c>
      <c r="AE19" s="11" t="n">
        <v>2</v>
      </c>
      <c r="AF19" s="11" t="n">
        <v>3</v>
      </c>
      <c r="AG19" s="14"/>
      <c r="AH19" s="14" t="s">
        <v>214</v>
      </c>
    </row>
    <row r="20" customFormat="false" ht="15" hidden="false" customHeight="false" outlineLevel="0" collapsed="false">
      <c r="A20" s="17" t="s">
        <v>215</v>
      </c>
      <c r="B20" s="30" t="n">
        <f aca="false">MIN(10, IF(N20="ativa",5,IF(N20="nova",4,IF(N20="esfriando",2,0)))+IF(L20&gt;=9,3,IF(L20&gt;=3,2,IF(L20&gt;=1,1,0)))+IF(M20&gt;=60,1.5,IF(M20&gt;=30,1,IF(M20&gt;=14,0.5,0)))+IF(V20&gt;=50,1.5,IF(V20&gt;=10,1,IF(V20&gt;=1,0.5,0)))+IF(W20&gt;=4,0.5,0))</f>
        <v>6.5</v>
      </c>
      <c r="C20" s="18" t="n">
        <f aca="false">ROUND(AC20*0.15+AD20*0.25+AE20*0.4+AF20*0.2,1)</f>
        <v>5.4</v>
      </c>
      <c r="D20" s="30" t="n">
        <f aca="false">ROUND(B20*0.45+C20*0.55,1)</f>
        <v>5.9</v>
      </c>
      <c r="E20" s="16" t="str">
        <f aca="false">IF(D20&gt;=7,"Alta",IF(D20&gt;=5,"Media","Baixa"))</f>
        <v>Media</v>
      </c>
      <c r="F20" s="19" t="s">
        <v>216</v>
      </c>
      <c r="G20" s="16" t="n">
        <v>1</v>
      </c>
      <c r="H20" s="19" t="s">
        <v>217</v>
      </c>
      <c r="I20" s="16" t="n">
        <v>1</v>
      </c>
      <c r="J20" s="31" t="s">
        <v>122</v>
      </c>
      <c r="K20" s="31" t="s">
        <v>134</v>
      </c>
      <c r="L20" s="16" t="n">
        <v>0</v>
      </c>
      <c r="M20" s="16" t="n">
        <v>0</v>
      </c>
      <c r="N20" s="16" t="s">
        <v>141</v>
      </c>
      <c r="O20" s="16" t="s">
        <v>125</v>
      </c>
      <c r="P20" s="19" t="s">
        <v>45</v>
      </c>
      <c r="Q20" s="19" t="s">
        <v>217</v>
      </c>
      <c r="R20" s="32" t="n">
        <v>0</v>
      </c>
      <c r="S20" s="32" t="n">
        <v>0</v>
      </c>
      <c r="T20" s="33" t="n">
        <v>0.85</v>
      </c>
      <c r="U20" s="19" t="s">
        <v>160</v>
      </c>
      <c r="V20" s="16" t="n">
        <v>177</v>
      </c>
      <c r="W20" s="16" t="n">
        <v>1</v>
      </c>
      <c r="X20" s="16" t="s">
        <v>212</v>
      </c>
      <c r="Y20" s="16" t="s">
        <v>212</v>
      </c>
      <c r="Z20" s="19" t="s">
        <v>218</v>
      </c>
      <c r="AA20" s="16" t="s">
        <v>129</v>
      </c>
      <c r="AB20" s="16" t="s">
        <v>12</v>
      </c>
      <c r="AC20" s="16" t="n">
        <v>0</v>
      </c>
      <c r="AD20" s="16" t="n">
        <v>7</v>
      </c>
      <c r="AE20" s="16" t="n">
        <v>7</v>
      </c>
      <c r="AF20" s="16" t="n">
        <v>4</v>
      </c>
      <c r="AG20" s="19"/>
      <c r="AH20" s="19" t="s">
        <v>219</v>
      </c>
    </row>
    <row r="21" customFormat="false" ht="15" hidden="false" customHeight="false" outlineLevel="0" collapsed="false">
      <c r="A21" s="12" t="s">
        <v>220</v>
      </c>
      <c r="B21" s="34" t="n">
        <f aca="false">MIN(10, IF(N21="ativa",5,IF(N21="nova",4,IF(N21="esfriando",2,0)))+IF(L21&gt;=9,3,IF(L21&gt;=3,2,IF(L21&gt;=1,1,0)))+IF(M21&gt;=60,1.5,IF(M21&gt;=30,1,IF(M21&gt;=14,0.5,0)))+IF(V21&gt;=50,1.5,IF(V21&gt;=10,1,IF(V21&gt;=1,0.5,0)))+IF(W21&gt;=4,0.5,0))</f>
        <v>6</v>
      </c>
      <c r="C21" s="13" t="n">
        <f aca="false">ROUND(AC21*0.15+AD21*0.25+AE21*0.4+AF21*0.2,1)</f>
        <v>5.8</v>
      </c>
      <c r="D21" s="34" t="n">
        <f aca="false">ROUND(B21*0.45+C21*0.55,1)</f>
        <v>5.9</v>
      </c>
      <c r="E21" s="11" t="str">
        <f aca="false">IF(D21&gt;=7,"Alta",IF(D21&gt;=5,"Media","Baixa"))</f>
        <v>Media</v>
      </c>
      <c r="F21" s="14" t="s">
        <v>221</v>
      </c>
      <c r="G21" s="11" t="n">
        <v>1</v>
      </c>
      <c r="H21" s="14" t="s">
        <v>178</v>
      </c>
      <c r="I21" s="11" t="n">
        <v>2</v>
      </c>
      <c r="J21" s="35" t="s">
        <v>122</v>
      </c>
      <c r="K21" s="35" t="s">
        <v>134</v>
      </c>
      <c r="L21" s="11" t="n">
        <v>1</v>
      </c>
      <c r="M21" s="11" t="n">
        <v>50</v>
      </c>
      <c r="N21" s="11" t="s">
        <v>124</v>
      </c>
      <c r="O21" s="11" t="s">
        <v>125</v>
      </c>
      <c r="P21" s="14" t="s">
        <v>45</v>
      </c>
      <c r="Q21" s="14" t="s">
        <v>178</v>
      </c>
      <c r="R21" s="36" t="n">
        <v>9.9</v>
      </c>
      <c r="S21" s="36" t="n">
        <v>25</v>
      </c>
      <c r="T21" s="37" t="n">
        <v>0.9</v>
      </c>
      <c r="U21" s="14" t="s">
        <v>160</v>
      </c>
      <c r="V21" s="11" t="n">
        <v>0</v>
      </c>
      <c r="W21" s="11" t="n">
        <v>1</v>
      </c>
      <c r="X21" s="11" t="s">
        <v>136</v>
      </c>
      <c r="Y21" s="11" t="s">
        <v>136</v>
      </c>
      <c r="Z21" s="14" t="s">
        <v>137</v>
      </c>
      <c r="AA21" s="11" t="s">
        <v>129</v>
      </c>
      <c r="AB21" s="11" t="s">
        <v>12</v>
      </c>
      <c r="AC21" s="11" t="n">
        <v>3</v>
      </c>
      <c r="AD21" s="11" t="n">
        <v>6</v>
      </c>
      <c r="AE21" s="11" t="n">
        <v>7</v>
      </c>
      <c r="AF21" s="11" t="n">
        <v>5</v>
      </c>
      <c r="AG21" s="14"/>
      <c r="AH21" s="14" t="s">
        <v>222</v>
      </c>
    </row>
    <row r="22" customFormat="false" ht="15" hidden="false" customHeight="false" outlineLevel="0" collapsed="false">
      <c r="A22" s="17" t="s">
        <v>223</v>
      </c>
      <c r="B22" s="30" t="n">
        <f aca="false">MIN(10, IF(N22="ativa",5,IF(N22="nova",4,IF(N22="esfriando",2,0)))+IF(L22&gt;=9,3,IF(L22&gt;=3,2,IF(L22&gt;=1,1,0)))+IF(M22&gt;=60,1.5,IF(M22&gt;=30,1,IF(M22&gt;=14,0.5,0)))+IF(V22&gt;=50,1.5,IF(V22&gt;=10,1,IF(V22&gt;=1,0.5,0)))+IF(W22&gt;=4,0.5,0))</f>
        <v>6</v>
      </c>
      <c r="C22" s="18" t="n">
        <f aca="false">ROUND(AC22*0.15+AD22*0.25+AE22*0.4+AF22*0.2,1)</f>
        <v>5.9</v>
      </c>
      <c r="D22" s="30" t="n">
        <f aca="false">ROUND(B22*0.45+C22*0.55,1)</f>
        <v>5.9</v>
      </c>
      <c r="E22" s="16" t="str">
        <f aca="false">IF(D22&gt;=7,"Alta",IF(D22&gt;=5,"Media","Baixa"))</f>
        <v>Media</v>
      </c>
      <c r="F22" s="19" t="s">
        <v>224</v>
      </c>
      <c r="G22" s="16" t="n">
        <v>1</v>
      </c>
      <c r="H22" s="19" t="s">
        <v>146</v>
      </c>
      <c r="I22" s="16" t="n">
        <v>4</v>
      </c>
      <c r="J22" s="31" t="s">
        <v>122</v>
      </c>
      <c r="K22" s="31" t="s">
        <v>134</v>
      </c>
      <c r="L22" s="16" t="n">
        <v>1</v>
      </c>
      <c r="M22" s="16" t="n">
        <v>47</v>
      </c>
      <c r="N22" s="16" t="s">
        <v>124</v>
      </c>
      <c r="O22" s="16" t="s">
        <v>125</v>
      </c>
      <c r="P22" s="19" t="s">
        <v>45</v>
      </c>
      <c r="Q22" s="19" t="s">
        <v>146</v>
      </c>
      <c r="R22" s="32" t="n">
        <v>10</v>
      </c>
      <c r="S22" s="32" t="n">
        <v>10</v>
      </c>
      <c r="T22" s="33" t="n">
        <v>0.9</v>
      </c>
      <c r="U22" s="19" t="s">
        <v>160</v>
      </c>
      <c r="V22" s="16" t="n">
        <v>0</v>
      </c>
      <c r="W22" s="16" t="n">
        <v>1</v>
      </c>
      <c r="X22" s="16" t="s">
        <v>136</v>
      </c>
      <c r="Y22" s="16" t="s">
        <v>136</v>
      </c>
      <c r="Z22" s="19" t="s">
        <v>137</v>
      </c>
      <c r="AA22" s="16" t="s">
        <v>129</v>
      </c>
      <c r="AB22" s="16" t="s">
        <v>12</v>
      </c>
      <c r="AC22" s="16" t="n">
        <v>1</v>
      </c>
      <c r="AD22" s="16" t="n">
        <v>6</v>
      </c>
      <c r="AE22" s="16" t="n">
        <v>9</v>
      </c>
      <c r="AF22" s="16" t="n">
        <v>3</v>
      </c>
      <c r="AG22" s="19"/>
      <c r="AH22" s="19" t="s">
        <v>225</v>
      </c>
    </row>
    <row r="23" customFormat="false" ht="15" hidden="false" customHeight="false" outlineLevel="0" collapsed="false">
      <c r="A23" s="12" t="s">
        <v>226</v>
      </c>
      <c r="B23" s="34" t="n">
        <f aca="false">MIN(10, IF(N23="ativa",5,IF(N23="nova",4,IF(N23="esfriando",2,0)))+IF(L23&gt;=9,3,IF(L23&gt;=3,2,IF(L23&gt;=1,1,0)))+IF(M23&gt;=60,1.5,IF(M23&gt;=30,1,IF(M23&gt;=14,0.5,0)))+IF(V23&gt;=50,1.5,IF(V23&gt;=10,1,IF(V23&gt;=1,0.5,0)))+IF(W23&gt;=4,0.5,0))</f>
        <v>5.5</v>
      </c>
      <c r="C23" s="13" t="n">
        <f aca="false">ROUND(AC23*0.15+AD23*0.25+AE23*0.4+AF23*0.2,1)</f>
        <v>6.2</v>
      </c>
      <c r="D23" s="34" t="n">
        <f aca="false">ROUND(B23*0.45+C23*0.55,1)</f>
        <v>5.9</v>
      </c>
      <c r="E23" s="11" t="str">
        <f aca="false">IF(D23&gt;=7,"Alta",IF(D23&gt;=5,"Media","Baixa"))</f>
        <v>Media</v>
      </c>
      <c r="F23" s="14" t="s">
        <v>227</v>
      </c>
      <c r="G23" s="11" t="n">
        <v>1</v>
      </c>
      <c r="H23" s="14" t="s">
        <v>228</v>
      </c>
      <c r="I23" s="11" t="n">
        <v>1</v>
      </c>
      <c r="J23" s="35" t="s">
        <v>122</v>
      </c>
      <c r="K23" s="35" t="s">
        <v>134</v>
      </c>
      <c r="L23" s="11" t="n">
        <v>2</v>
      </c>
      <c r="M23" s="11" t="n">
        <v>19</v>
      </c>
      <c r="N23" s="11" t="s">
        <v>124</v>
      </c>
      <c r="O23" s="11" t="s">
        <v>125</v>
      </c>
      <c r="P23" s="14" t="s">
        <v>41</v>
      </c>
      <c r="Q23" s="14" t="s">
        <v>228</v>
      </c>
      <c r="R23" s="36" t="n">
        <v>27.9</v>
      </c>
      <c r="S23" s="36" t="n">
        <v>27.9</v>
      </c>
      <c r="T23" s="37" t="n">
        <v>0.9</v>
      </c>
      <c r="U23" s="14" t="s">
        <v>126</v>
      </c>
      <c r="V23" s="11" t="n">
        <v>0</v>
      </c>
      <c r="W23" s="11" t="n">
        <v>1</v>
      </c>
      <c r="X23" s="11" t="s">
        <v>136</v>
      </c>
      <c r="Y23" s="11" t="s">
        <v>136</v>
      </c>
      <c r="Z23" s="14" t="s">
        <v>137</v>
      </c>
      <c r="AA23" s="11" t="s">
        <v>129</v>
      </c>
      <c r="AB23" s="11" t="s">
        <v>12</v>
      </c>
      <c r="AC23" s="11" t="n">
        <v>3</v>
      </c>
      <c r="AD23" s="11" t="n">
        <v>3</v>
      </c>
      <c r="AE23" s="11" t="n">
        <v>9</v>
      </c>
      <c r="AF23" s="11" t="n">
        <v>7</v>
      </c>
      <c r="AG23" s="14"/>
      <c r="AH23" s="14" t="s">
        <v>229</v>
      </c>
    </row>
    <row r="24" customFormat="false" ht="15" hidden="false" customHeight="false" outlineLevel="0" collapsed="false">
      <c r="A24" s="17" t="s">
        <v>230</v>
      </c>
      <c r="B24" s="30" t="n">
        <f aca="false">MIN(10, IF(N24="ativa",5,IF(N24="nova",4,IF(N24="esfriando",2,0)))+IF(L24&gt;=9,3,IF(L24&gt;=3,2,IF(L24&gt;=1,1,0)))+IF(M24&gt;=60,1.5,IF(M24&gt;=30,1,IF(M24&gt;=14,0.5,0)))+IF(V24&gt;=50,1.5,IF(V24&gt;=10,1,IF(V24&gt;=1,0.5,0)))+IF(W24&gt;=4,0.5,0))</f>
        <v>5.5</v>
      </c>
      <c r="C24" s="18" t="n">
        <f aca="false">ROUND(AC24*0.15+AD24*0.25+AE24*0.4+AF24*0.2,1)</f>
        <v>6.1</v>
      </c>
      <c r="D24" s="30" t="n">
        <f aca="false">ROUND(B24*0.45+C24*0.55,1)</f>
        <v>5.8</v>
      </c>
      <c r="E24" s="16" t="str">
        <f aca="false">IF(D24&gt;=7,"Alta",IF(D24&gt;=5,"Media","Baixa"))</f>
        <v>Media</v>
      </c>
      <c r="F24" s="19" t="s">
        <v>231</v>
      </c>
      <c r="G24" s="16" t="n">
        <v>1</v>
      </c>
      <c r="H24" s="19" t="s">
        <v>209</v>
      </c>
      <c r="I24" s="16" t="n">
        <v>3</v>
      </c>
      <c r="J24" s="19" t="s">
        <v>28</v>
      </c>
      <c r="K24" s="31" t="s">
        <v>134</v>
      </c>
      <c r="L24" s="16" t="n">
        <v>0</v>
      </c>
      <c r="M24" s="16" t="n">
        <v>0</v>
      </c>
      <c r="N24" s="16" t="s">
        <v>141</v>
      </c>
      <c r="O24" s="16" t="s">
        <v>125</v>
      </c>
      <c r="P24" s="19" t="s">
        <v>72</v>
      </c>
      <c r="Q24" s="19" t="s">
        <v>209</v>
      </c>
      <c r="R24" s="32" t="n">
        <v>27.9</v>
      </c>
      <c r="S24" s="32" t="n">
        <v>46.7</v>
      </c>
      <c r="T24" s="33" t="n">
        <v>0.9</v>
      </c>
      <c r="U24" s="19" t="s">
        <v>210</v>
      </c>
      <c r="V24" s="16" t="n">
        <v>1</v>
      </c>
      <c r="W24" s="16" t="n">
        <v>3</v>
      </c>
      <c r="X24" s="16" t="s">
        <v>232</v>
      </c>
      <c r="Y24" s="16" t="s">
        <v>212</v>
      </c>
      <c r="Z24" s="19" t="s">
        <v>128</v>
      </c>
      <c r="AA24" s="16" t="s">
        <v>129</v>
      </c>
      <c r="AB24" s="16" t="s">
        <v>12</v>
      </c>
      <c r="AC24" s="16" t="n">
        <v>5</v>
      </c>
      <c r="AD24" s="16" t="n">
        <v>3</v>
      </c>
      <c r="AE24" s="16" t="n">
        <v>8</v>
      </c>
      <c r="AF24" s="16" t="n">
        <v>7</v>
      </c>
      <c r="AG24" s="19"/>
      <c r="AH24" s="19" t="s">
        <v>233</v>
      </c>
    </row>
    <row r="25" customFormat="false" ht="15" hidden="false" customHeight="false" outlineLevel="0" collapsed="false">
      <c r="A25" s="12" t="s">
        <v>234</v>
      </c>
      <c r="B25" s="34" t="n">
        <f aca="false">MIN(10, IF(N25="ativa",5,IF(N25="nova",4,IF(N25="esfriando",2,0)))+IF(L25&gt;=9,3,IF(L25&gt;=3,2,IF(L25&gt;=1,1,0)))+IF(M25&gt;=60,1.5,IF(M25&gt;=30,1,IF(M25&gt;=14,0.5,0)))+IF(V25&gt;=50,1.5,IF(V25&gt;=10,1,IF(V25&gt;=1,0.5,0)))+IF(W25&gt;=4,0.5,0))</f>
        <v>6</v>
      </c>
      <c r="C25" s="13" t="n">
        <f aca="false">ROUND(AC25*0.15+AD25*0.25+AE25*0.4+AF25*0.2,1)</f>
        <v>5.6</v>
      </c>
      <c r="D25" s="34" t="n">
        <f aca="false">ROUND(B25*0.45+C25*0.55,1)</f>
        <v>5.8</v>
      </c>
      <c r="E25" s="11" t="str">
        <f aca="false">IF(D25&gt;=7,"Alta",IF(D25&gt;=5,"Media","Baixa"))</f>
        <v>Media</v>
      </c>
      <c r="F25" s="14" t="s">
        <v>235</v>
      </c>
      <c r="G25" s="11" t="n">
        <v>1</v>
      </c>
      <c r="H25" s="14" t="s">
        <v>236</v>
      </c>
      <c r="I25" s="11" t="n">
        <v>3</v>
      </c>
      <c r="J25" s="35" t="s">
        <v>122</v>
      </c>
      <c r="K25" s="35" t="s">
        <v>189</v>
      </c>
      <c r="L25" s="11" t="n">
        <v>3</v>
      </c>
      <c r="M25" s="11" t="n">
        <v>12</v>
      </c>
      <c r="N25" s="11" t="s">
        <v>124</v>
      </c>
      <c r="O25" s="11" t="s">
        <v>125</v>
      </c>
      <c r="P25" s="14" t="s">
        <v>43</v>
      </c>
      <c r="Q25" s="14" t="s">
        <v>236</v>
      </c>
      <c r="R25" s="36" t="n">
        <v>67</v>
      </c>
      <c r="S25" s="36" t="n">
        <v>67</v>
      </c>
      <c r="T25" s="37" t="n">
        <v>0.88</v>
      </c>
      <c r="U25" s="14" t="s">
        <v>237</v>
      </c>
      <c r="V25" s="11" t="n">
        <v>0</v>
      </c>
      <c r="W25" s="11" t="n">
        <v>1</v>
      </c>
      <c r="X25" s="11" t="s">
        <v>127</v>
      </c>
      <c r="Y25" s="11" t="s">
        <v>127</v>
      </c>
      <c r="Z25" s="14" t="s">
        <v>218</v>
      </c>
      <c r="AA25" s="11" t="s">
        <v>129</v>
      </c>
      <c r="AB25" s="11" t="s">
        <v>12</v>
      </c>
      <c r="AC25" s="11" t="n">
        <v>7</v>
      </c>
      <c r="AD25" s="11" t="n">
        <v>3</v>
      </c>
      <c r="AE25" s="11" t="n">
        <v>7</v>
      </c>
      <c r="AF25" s="11" t="n">
        <v>5</v>
      </c>
      <c r="AG25" s="14" t="s">
        <v>238</v>
      </c>
      <c r="AH25" s="14" t="s">
        <v>239</v>
      </c>
    </row>
    <row r="26" customFormat="false" ht="15" hidden="false" customHeight="false" outlineLevel="0" collapsed="false">
      <c r="A26" s="17" t="s">
        <v>240</v>
      </c>
      <c r="B26" s="30" t="n">
        <f aca="false">MIN(10, IF(N26="ativa",5,IF(N26="nova",4,IF(N26="esfriando",2,0)))+IF(L26&gt;=9,3,IF(L26&gt;=3,2,IF(L26&gt;=1,1,0)))+IF(M26&gt;=60,1.5,IF(M26&gt;=30,1,IF(M26&gt;=14,0.5,0)))+IF(V26&gt;=50,1.5,IF(V26&gt;=10,1,IF(V26&gt;=1,0.5,0)))+IF(W26&gt;=4,0.5,0))</f>
        <v>6</v>
      </c>
      <c r="C26" s="18" t="n">
        <f aca="false">ROUND(AC26*0.15+AD26*0.25+AE26*0.4+AF26*0.2,1)</f>
        <v>5.7</v>
      </c>
      <c r="D26" s="30" t="n">
        <f aca="false">ROUND(B26*0.45+C26*0.55,1)</f>
        <v>5.8</v>
      </c>
      <c r="E26" s="16" t="str">
        <f aca="false">IF(D26&gt;=7,"Alta",IF(D26&gt;=5,"Media","Baixa"))</f>
        <v>Media</v>
      </c>
      <c r="F26" s="19" t="s">
        <v>241</v>
      </c>
      <c r="G26" s="16" t="n">
        <v>1</v>
      </c>
      <c r="H26" s="19" t="s">
        <v>242</v>
      </c>
      <c r="I26" s="16" t="n">
        <v>1</v>
      </c>
      <c r="J26" s="31" t="s">
        <v>122</v>
      </c>
      <c r="K26" s="31" t="s">
        <v>189</v>
      </c>
      <c r="L26" s="16" t="n">
        <v>3</v>
      </c>
      <c r="M26" s="16" t="n">
        <v>10</v>
      </c>
      <c r="N26" s="16" t="s">
        <v>124</v>
      </c>
      <c r="O26" s="16" t="s">
        <v>125</v>
      </c>
      <c r="P26" s="19" t="s">
        <v>43</v>
      </c>
      <c r="Q26" s="19" t="s">
        <v>242</v>
      </c>
      <c r="R26" s="32" t="n">
        <v>67</v>
      </c>
      <c r="S26" s="32" t="n">
        <v>67</v>
      </c>
      <c r="T26" s="33" t="n">
        <v>0.88</v>
      </c>
      <c r="U26" s="19" t="s">
        <v>126</v>
      </c>
      <c r="V26" s="16" t="n">
        <v>0</v>
      </c>
      <c r="W26" s="16" t="n">
        <v>1</v>
      </c>
      <c r="X26" s="16" t="s">
        <v>127</v>
      </c>
      <c r="Y26" s="16" t="s">
        <v>127</v>
      </c>
      <c r="Z26" s="19" t="s">
        <v>243</v>
      </c>
      <c r="AA26" s="16" t="s">
        <v>129</v>
      </c>
      <c r="AB26" s="16" t="s">
        <v>12</v>
      </c>
      <c r="AC26" s="16" t="n">
        <v>7</v>
      </c>
      <c r="AD26" s="16" t="n">
        <v>4</v>
      </c>
      <c r="AE26" s="16" t="n">
        <v>7</v>
      </c>
      <c r="AF26" s="16" t="n">
        <v>4</v>
      </c>
      <c r="AG26" s="19" t="s">
        <v>244</v>
      </c>
      <c r="AH26" s="19" t="s">
        <v>245</v>
      </c>
    </row>
    <row r="27" customFormat="false" ht="15" hidden="false" customHeight="false" outlineLevel="0" collapsed="false">
      <c r="A27" s="12" t="s">
        <v>246</v>
      </c>
      <c r="B27" s="34" t="n">
        <f aca="false">MIN(10, IF(N27="ativa",5,IF(N27="nova",4,IF(N27="esfriando",2,0)))+IF(L27&gt;=9,3,IF(L27&gt;=3,2,IF(L27&gt;=1,1,0)))+IF(M27&gt;=60,1.5,IF(M27&gt;=30,1,IF(M27&gt;=14,0.5,0)))+IF(V27&gt;=50,1.5,IF(V27&gt;=10,1,IF(V27&gt;=1,0.5,0)))+IF(W27&gt;=4,0.5,0))</f>
        <v>5</v>
      </c>
      <c r="C27" s="13" t="n">
        <f aca="false">ROUND(AC27*0.15+AD27*0.25+AE27*0.4+AF27*0.2,1)</f>
        <v>6.5</v>
      </c>
      <c r="D27" s="34" t="n">
        <f aca="false">ROUND(B27*0.45+C27*0.55,1)</f>
        <v>5.8</v>
      </c>
      <c r="E27" s="11" t="str">
        <f aca="false">IF(D27&gt;=7,"Alta",IF(D27&gt;=5,"Media","Baixa"))</f>
        <v>Media</v>
      </c>
      <c r="F27" s="14" t="s">
        <v>247</v>
      </c>
      <c r="G27" s="11" t="n">
        <v>1</v>
      </c>
      <c r="H27" s="14" t="s">
        <v>140</v>
      </c>
      <c r="I27" s="11" t="n">
        <v>3</v>
      </c>
      <c r="J27" s="35" t="s">
        <v>122</v>
      </c>
      <c r="K27" s="35" t="s">
        <v>134</v>
      </c>
      <c r="L27" s="11" t="n">
        <v>0</v>
      </c>
      <c r="M27" s="11" t="n">
        <v>0</v>
      </c>
      <c r="N27" s="11" t="s">
        <v>141</v>
      </c>
      <c r="O27" s="11" t="s">
        <v>125</v>
      </c>
      <c r="P27" s="14" t="s">
        <v>51</v>
      </c>
      <c r="Q27" s="14" t="s">
        <v>140</v>
      </c>
      <c r="R27" s="36" t="n">
        <v>27</v>
      </c>
      <c r="S27" s="36" t="n">
        <v>27</v>
      </c>
      <c r="T27" s="37" t="n">
        <v>0.97</v>
      </c>
      <c r="U27" s="14" t="s">
        <v>248</v>
      </c>
      <c r="V27" s="11" t="n">
        <v>0</v>
      </c>
      <c r="W27" s="11" t="n">
        <v>1</v>
      </c>
      <c r="X27" s="11" t="s">
        <v>142</v>
      </c>
      <c r="Y27" s="11" t="s">
        <v>142</v>
      </c>
      <c r="Z27" s="14" t="s">
        <v>143</v>
      </c>
      <c r="AA27" s="11" t="s">
        <v>129</v>
      </c>
      <c r="AB27" s="11" t="s">
        <v>12</v>
      </c>
      <c r="AC27" s="11" t="n">
        <v>7</v>
      </c>
      <c r="AD27" s="11" t="n">
        <v>4</v>
      </c>
      <c r="AE27" s="11" t="n">
        <v>8</v>
      </c>
      <c r="AF27" s="11" t="n">
        <v>6</v>
      </c>
      <c r="AG27" s="14"/>
      <c r="AH27" s="14" t="s">
        <v>249</v>
      </c>
    </row>
    <row r="28" customFormat="false" ht="15" hidden="false" customHeight="false" outlineLevel="0" collapsed="false">
      <c r="A28" s="17" t="s">
        <v>250</v>
      </c>
      <c r="B28" s="30" t="n">
        <f aca="false">MIN(10, IF(N28="ativa",5,IF(N28="nova",4,IF(N28="esfriando",2,0)))+IF(L28&gt;=9,3,IF(L28&gt;=3,2,IF(L28&gt;=1,1,0)))+IF(M28&gt;=60,1.5,IF(M28&gt;=30,1,IF(M28&gt;=14,0.5,0)))+IF(V28&gt;=50,1.5,IF(V28&gt;=10,1,IF(V28&gt;=1,0.5,0)))+IF(W28&gt;=4,0.5,0))</f>
        <v>7</v>
      </c>
      <c r="C28" s="18" t="n">
        <f aca="false">ROUND(AC28*0.15+AD28*0.25+AE28*0.4+AF28*0.2,1)</f>
        <v>4.7</v>
      </c>
      <c r="D28" s="30" t="n">
        <f aca="false">ROUND(B28*0.45+C28*0.55,1)</f>
        <v>5.7</v>
      </c>
      <c r="E28" s="16" t="str">
        <f aca="false">IF(D28&gt;=7,"Alta",IF(D28&gt;=5,"Media","Baixa"))</f>
        <v>Media</v>
      </c>
      <c r="F28" s="19" t="s">
        <v>251</v>
      </c>
      <c r="G28" s="16" t="n">
        <v>1</v>
      </c>
      <c r="H28" s="19" t="s">
        <v>252</v>
      </c>
      <c r="I28" s="16" t="n">
        <v>2</v>
      </c>
      <c r="J28" s="19" t="s">
        <v>28</v>
      </c>
      <c r="K28" s="31" t="s">
        <v>134</v>
      </c>
      <c r="L28" s="16" t="n">
        <v>0</v>
      </c>
      <c r="M28" s="16" t="n">
        <v>210</v>
      </c>
      <c r="N28" s="16" t="s">
        <v>124</v>
      </c>
      <c r="O28" s="16" t="s">
        <v>125</v>
      </c>
      <c r="P28" s="19" t="s">
        <v>63</v>
      </c>
      <c r="Q28" s="19" t="s">
        <v>252</v>
      </c>
      <c r="R28" s="32" t="n">
        <v>0</v>
      </c>
      <c r="S28" s="32" t="n">
        <v>0</v>
      </c>
      <c r="T28" s="33" t="n">
        <v>0.95</v>
      </c>
      <c r="U28" s="19" t="s">
        <v>160</v>
      </c>
      <c r="V28" s="16" t="n">
        <v>889</v>
      </c>
      <c r="W28" s="16" t="n">
        <v>1</v>
      </c>
      <c r="X28" s="16" t="s">
        <v>142</v>
      </c>
      <c r="Y28" s="16" t="s">
        <v>142</v>
      </c>
      <c r="Z28" s="19" t="s">
        <v>137</v>
      </c>
      <c r="AA28" s="16" t="s">
        <v>129</v>
      </c>
      <c r="AB28" s="16" t="s">
        <v>12</v>
      </c>
      <c r="AC28" s="16" t="n">
        <v>0</v>
      </c>
      <c r="AD28" s="16" t="n">
        <v>10</v>
      </c>
      <c r="AE28" s="16" t="n">
        <v>4</v>
      </c>
      <c r="AF28" s="16" t="n">
        <v>3</v>
      </c>
      <c r="AG28" s="19"/>
      <c r="AH28" s="19" t="s">
        <v>253</v>
      </c>
    </row>
    <row r="29" customFormat="false" ht="15" hidden="false" customHeight="false" outlineLevel="0" collapsed="false">
      <c r="A29" s="12" t="s">
        <v>254</v>
      </c>
      <c r="B29" s="34" t="n">
        <f aca="false">MIN(10, IF(N29="ativa",5,IF(N29="nova",4,IF(N29="esfriando",2,0)))+IF(L29&gt;=9,3,IF(L29&gt;=3,2,IF(L29&gt;=1,1,0)))+IF(M29&gt;=60,1.5,IF(M29&gt;=30,1,IF(M29&gt;=14,0.5,0)))+IF(V29&gt;=50,1.5,IF(V29&gt;=10,1,IF(V29&gt;=1,0.5,0)))+IF(W29&gt;=4,0.5,0))</f>
        <v>6.5</v>
      </c>
      <c r="C29" s="13" t="n">
        <f aca="false">ROUND(AC29*0.15+AD29*0.25+AE29*0.4+AF29*0.2,1)</f>
        <v>5.2</v>
      </c>
      <c r="D29" s="34" t="n">
        <f aca="false">ROUND(B29*0.45+C29*0.55,1)</f>
        <v>5.8</v>
      </c>
      <c r="E29" s="11" t="str">
        <f aca="false">IF(D29&gt;=7,"Alta",IF(D29&gt;=5,"Media","Baixa"))</f>
        <v>Media</v>
      </c>
      <c r="F29" s="14" t="s">
        <v>255</v>
      </c>
      <c r="G29" s="11" t="n">
        <v>1</v>
      </c>
      <c r="H29" s="14" t="s">
        <v>205</v>
      </c>
      <c r="I29" s="11" t="n">
        <v>4</v>
      </c>
      <c r="J29" s="35" t="s">
        <v>122</v>
      </c>
      <c r="K29" s="35" t="s">
        <v>134</v>
      </c>
      <c r="L29" s="11" t="n">
        <v>0</v>
      </c>
      <c r="M29" s="11" t="n">
        <v>0</v>
      </c>
      <c r="N29" s="11" t="s">
        <v>141</v>
      </c>
      <c r="O29" s="11" t="s">
        <v>125</v>
      </c>
      <c r="P29" s="14" t="s">
        <v>53</v>
      </c>
      <c r="Q29" s="14" t="s">
        <v>205</v>
      </c>
      <c r="R29" s="36" t="n">
        <v>139.9</v>
      </c>
      <c r="S29" s="36" t="n">
        <v>139.9</v>
      </c>
      <c r="T29" s="37" t="n">
        <v>0.95</v>
      </c>
      <c r="U29" s="14" t="s">
        <v>160</v>
      </c>
      <c r="V29" s="11" t="n">
        <v>58</v>
      </c>
      <c r="W29" s="11" t="n">
        <v>1</v>
      </c>
      <c r="X29" s="11" t="s">
        <v>212</v>
      </c>
      <c r="Y29" s="11" t="s">
        <v>212</v>
      </c>
      <c r="Z29" s="14" t="s">
        <v>128</v>
      </c>
      <c r="AA29" s="11" t="s">
        <v>129</v>
      </c>
      <c r="AB29" s="11" t="s">
        <v>12</v>
      </c>
      <c r="AC29" s="11" t="n">
        <v>9</v>
      </c>
      <c r="AD29" s="11" t="n">
        <v>4</v>
      </c>
      <c r="AE29" s="11" t="n">
        <v>5</v>
      </c>
      <c r="AF29" s="11" t="n">
        <v>4</v>
      </c>
      <c r="AG29" s="14"/>
      <c r="AH29" s="14" t="s">
        <v>256</v>
      </c>
    </row>
    <row r="30" customFormat="false" ht="15" hidden="false" customHeight="false" outlineLevel="0" collapsed="false">
      <c r="A30" s="17" t="s">
        <v>257</v>
      </c>
      <c r="B30" s="30" t="n">
        <f aca="false">MIN(10, IF(N30="ativa",5,IF(N30="nova",4,IF(N30="esfriando",2,0)))+IF(L30&gt;=9,3,IF(L30&gt;=3,2,IF(L30&gt;=1,1,0)))+IF(M30&gt;=60,1.5,IF(M30&gt;=30,1,IF(M30&gt;=14,0.5,0)))+IF(V30&gt;=50,1.5,IF(V30&gt;=10,1,IF(V30&gt;=1,0.5,0)))+IF(W30&gt;=4,0.5,0))</f>
        <v>6</v>
      </c>
      <c r="C30" s="18" t="n">
        <f aca="false">ROUND(AC30*0.15+AD30*0.25+AE30*0.4+AF30*0.2,1)</f>
        <v>5.2</v>
      </c>
      <c r="D30" s="30" t="n">
        <f aca="false">ROUND(B30*0.45+C30*0.55,1)</f>
        <v>5.6</v>
      </c>
      <c r="E30" s="16" t="str">
        <f aca="false">IF(D30&gt;=7,"Alta",IF(D30&gt;=5,"Media","Baixa"))</f>
        <v>Media</v>
      </c>
      <c r="F30" s="19" t="s">
        <v>258</v>
      </c>
      <c r="G30" s="16" t="n">
        <v>1</v>
      </c>
      <c r="H30" s="19" t="s">
        <v>146</v>
      </c>
      <c r="I30" s="16" t="n">
        <v>4</v>
      </c>
      <c r="J30" s="19" t="s">
        <v>28</v>
      </c>
      <c r="K30" s="31" t="s">
        <v>134</v>
      </c>
      <c r="L30" s="16" t="n">
        <v>1</v>
      </c>
      <c r="M30" s="16" t="n">
        <v>32</v>
      </c>
      <c r="N30" s="16" t="s">
        <v>124</v>
      </c>
      <c r="O30" s="16" t="s">
        <v>125</v>
      </c>
      <c r="P30" s="19" t="s">
        <v>45</v>
      </c>
      <c r="Q30" s="19" t="s">
        <v>146</v>
      </c>
      <c r="R30" s="32" t="n">
        <v>0</v>
      </c>
      <c r="S30" s="32" t="n">
        <v>0</v>
      </c>
      <c r="T30" s="33" t="n">
        <v>0.9</v>
      </c>
      <c r="U30" s="19" t="s">
        <v>160</v>
      </c>
      <c r="V30" s="16" t="n">
        <v>0</v>
      </c>
      <c r="W30" s="16" t="n">
        <v>1</v>
      </c>
      <c r="X30" s="16" t="s">
        <v>136</v>
      </c>
      <c r="Y30" s="16" t="s">
        <v>136</v>
      </c>
      <c r="Z30" s="19" t="s">
        <v>137</v>
      </c>
      <c r="AA30" s="16" t="s">
        <v>129</v>
      </c>
      <c r="AB30" s="16" t="s">
        <v>12</v>
      </c>
      <c r="AC30" s="16" t="n">
        <v>0</v>
      </c>
      <c r="AD30" s="16" t="n">
        <v>4</v>
      </c>
      <c r="AE30" s="16" t="n">
        <v>9</v>
      </c>
      <c r="AF30" s="16" t="n">
        <v>3</v>
      </c>
      <c r="AG30" s="19"/>
      <c r="AH30" s="19" t="s">
        <v>259</v>
      </c>
    </row>
    <row r="31" customFormat="false" ht="15" hidden="false" customHeight="false" outlineLevel="0" collapsed="false">
      <c r="A31" s="12" t="s">
        <v>260</v>
      </c>
      <c r="B31" s="34" t="n">
        <f aca="false">MIN(10, IF(N31="ativa",5,IF(N31="nova",4,IF(N31="esfriando",2,0)))+IF(L31&gt;=9,3,IF(L31&gt;=3,2,IF(L31&gt;=1,1,0)))+IF(M31&gt;=60,1.5,IF(M31&gt;=30,1,IF(M31&gt;=14,0.5,0)))+IF(V31&gt;=50,1.5,IF(V31&gt;=10,1,IF(V31&gt;=1,0.5,0)))+IF(W31&gt;=4,0.5,0))</f>
        <v>5</v>
      </c>
      <c r="C31" s="13" t="n">
        <f aca="false">ROUND(AC31*0.15+AD31*0.25+AE31*0.4+AF31*0.2,1)</f>
        <v>5.9</v>
      </c>
      <c r="D31" s="34" t="n">
        <f aca="false">ROUND(B31*0.45+C31*0.55,1)</f>
        <v>5.5</v>
      </c>
      <c r="E31" s="11" t="str">
        <f aca="false">IF(D31&gt;=7,"Alta",IF(D31&gt;=5,"Media","Baixa"))</f>
        <v>Media</v>
      </c>
      <c r="F31" s="14" t="s">
        <v>261</v>
      </c>
      <c r="G31" s="11" t="n">
        <v>1</v>
      </c>
      <c r="H31" s="14" t="s">
        <v>163</v>
      </c>
      <c r="I31" s="11" t="n">
        <v>2</v>
      </c>
      <c r="J31" s="35" t="s">
        <v>122</v>
      </c>
      <c r="K31" s="35" t="s">
        <v>183</v>
      </c>
      <c r="L31" s="11" t="n">
        <v>2</v>
      </c>
      <c r="M31" s="11" t="n">
        <v>9</v>
      </c>
      <c r="N31" s="11" t="s">
        <v>124</v>
      </c>
      <c r="O31" s="11" t="s">
        <v>125</v>
      </c>
      <c r="P31" s="14" t="s">
        <v>43</v>
      </c>
      <c r="Q31" s="14" t="s">
        <v>163</v>
      </c>
      <c r="R31" s="36" t="n">
        <v>10</v>
      </c>
      <c r="S31" s="36" t="n">
        <v>15</v>
      </c>
      <c r="T31" s="37" t="n">
        <v>0.93</v>
      </c>
      <c r="U31" s="14" t="s">
        <v>262</v>
      </c>
      <c r="V31" s="11" t="n">
        <v>0</v>
      </c>
      <c r="W31" s="11" t="n">
        <v>1</v>
      </c>
      <c r="X31" s="11" t="s">
        <v>127</v>
      </c>
      <c r="Y31" s="11" t="s">
        <v>127</v>
      </c>
      <c r="Z31" s="14" t="s">
        <v>137</v>
      </c>
      <c r="AA31" s="11" t="s">
        <v>129</v>
      </c>
      <c r="AB31" s="11" t="s">
        <v>12</v>
      </c>
      <c r="AC31" s="11" t="n">
        <v>2</v>
      </c>
      <c r="AD31" s="11" t="n">
        <v>3</v>
      </c>
      <c r="AE31" s="11" t="n">
        <v>9</v>
      </c>
      <c r="AF31" s="11" t="n">
        <v>6</v>
      </c>
      <c r="AG31" s="14" t="s">
        <v>263</v>
      </c>
      <c r="AH31" s="14" t="s">
        <v>264</v>
      </c>
    </row>
    <row r="32" customFormat="false" ht="15" hidden="false" customHeight="false" outlineLevel="0" collapsed="false">
      <c r="A32" s="17" t="s">
        <v>265</v>
      </c>
      <c r="B32" s="30" t="n">
        <f aca="false">MIN(10, IF(N32="ativa",5,IF(N32="nova",4,IF(N32="esfriando",2,0)))+IF(L32&gt;=9,3,IF(L32&gt;=3,2,IF(L32&gt;=1,1,0)))+IF(M32&gt;=60,1.5,IF(M32&gt;=30,1,IF(M32&gt;=14,0.5,0)))+IF(V32&gt;=50,1.5,IF(V32&gt;=10,1,IF(V32&gt;=1,0.5,0)))+IF(W32&gt;=4,0.5,0))</f>
        <v>4</v>
      </c>
      <c r="C32" s="18" t="n">
        <f aca="false">ROUND(AC32*0.15+AD32*0.25+AE32*0.4+AF32*0.2,1)</f>
        <v>6.7</v>
      </c>
      <c r="D32" s="30" t="n">
        <f aca="false">ROUND(B32*0.45+C32*0.55,1)</f>
        <v>5.5</v>
      </c>
      <c r="E32" s="16" t="str">
        <f aca="false">IF(D32&gt;=7,"Alta",IF(D32&gt;=5,"Media","Baixa"))</f>
        <v>Media</v>
      </c>
      <c r="F32" s="19" t="s">
        <v>266</v>
      </c>
      <c r="G32" s="16" t="n">
        <v>1</v>
      </c>
      <c r="H32" s="19" t="s">
        <v>140</v>
      </c>
      <c r="I32" s="16" t="n">
        <v>3</v>
      </c>
      <c r="J32" s="31" t="s">
        <v>122</v>
      </c>
      <c r="K32" s="31" t="s">
        <v>134</v>
      </c>
      <c r="L32" s="16" t="n">
        <v>0</v>
      </c>
      <c r="M32" s="16" t="n">
        <v>0</v>
      </c>
      <c r="N32" s="16" t="s">
        <v>124</v>
      </c>
      <c r="O32" s="16" t="s">
        <v>125</v>
      </c>
      <c r="P32" s="19" t="s">
        <v>51</v>
      </c>
      <c r="Q32" s="19" t="s">
        <v>140</v>
      </c>
      <c r="R32" s="32" t="n">
        <v>0</v>
      </c>
      <c r="S32" s="32" t="n">
        <v>0</v>
      </c>
      <c r="T32" s="33" t="n">
        <v>0.97</v>
      </c>
      <c r="U32" s="19" t="s">
        <v>160</v>
      </c>
      <c r="V32" s="16" t="n">
        <v>0</v>
      </c>
      <c r="W32" s="16" t="n">
        <v>1</v>
      </c>
      <c r="X32" s="16" t="s">
        <v>142</v>
      </c>
      <c r="Y32" s="16" t="s">
        <v>142</v>
      </c>
      <c r="Z32" s="19" t="s">
        <v>143</v>
      </c>
      <c r="AA32" s="16" t="s">
        <v>129</v>
      </c>
      <c r="AB32" s="16" t="s">
        <v>170</v>
      </c>
      <c r="AC32" s="16" t="n">
        <v>0</v>
      </c>
      <c r="AD32" s="16" t="n">
        <v>9</v>
      </c>
      <c r="AE32" s="16" t="n">
        <v>9</v>
      </c>
      <c r="AF32" s="16" t="n">
        <v>4</v>
      </c>
      <c r="AG32" s="19"/>
      <c r="AH32" s="19" t="s">
        <v>267</v>
      </c>
    </row>
    <row r="33" customFormat="false" ht="15" hidden="false" customHeight="false" outlineLevel="0" collapsed="false">
      <c r="A33" s="12" t="s">
        <v>268</v>
      </c>
      <c r="B33" s="34" t="n">
        <f aca="false">MIN(10, IF(N33="ativa",5,IF(N33="nova",4,IF(N33="esfriando",2,0)))+IF(L33&gt;=9,3,IF(L33&gt;=3,2,IF(L33&gt;=1,1,0)))+IF(M33&gt;=60,1.5,IF(M33&gt;=30,1,IF(M33&gt;=14,0.5,0)))+IF(V33&gt;=50,1.5,IF(V33&gt;=10,1,IF(V33&gt;=1,0.5,0)))+IF(W33&gt;=4,0.5,0))</f>
        <v>6</v>
      </c>
      <c r="C33" s="13" t="n">
        <f aca="false">ROUND(AC33*0.15+AD33*0.25+AE33*0.4+AF33*0.2,1)</f>
        <v>4.7</v>
      </c>
      <c r="D33" s="34" t="n">
        <f aca="false">ROUND(B33*0.45+C33*0.55,1)</f>
        <v>5.3</v>
      </c>
      <c r="E33" s="11" t="str">
        <f aca="false">IF(D33&gt;=7,"Alta",IF(D33&gt;=5,"Media","Baixa"))</f>
        <v>Media</v>
      </c>
      <c r="F33" s="14" t="s">
        <v>269</v>
      </c>
      <c r="G33" s="11" t="n">
        <v>1</v>
      </c>
      <c r="H33" s="14" t="s">
        <v>236</v>
      </c>
      <c r="I33" s="11" t="n">
        <v>3</v>
      </c>
      <c r="J33" s="35" t="s">
        <v>122</v>
      </c>
      <c r="K33" s="35" t="s">
        <v>200</v>
      </c>
      <c r="L33" s="11" t="n">
        <v>1</v>
      </c>
      <c r="M33" s="11" t="n">
        <v>30</v>
      </c>
      <c r="N33" s="11" t="s">
        <v>124</v>
      </c>
      <c r="O33" s="11" t="s">
        <v>125</v>
      </c>
      <c r="P33" s="14" t="s">
        <v>43</v>
      </c>
      <c r="Q33" s="14" t="s">
        <v>236</v>
      </c>
      <c r="R33" s="36" t="n">
        <v>40</v>
      </c>
      <c r="S33" s="36" t="n">
        <v>120</v>
      </c>
      <c r="T33" s="37" t="n">
        <v>0.85</v>
      </c>
      <c r="U33" s="14" t="s">
        <v>126</v>
      </c>
      <c r="V33" s="11" t="n">
        <v>0</v>
      </c>
      <c r="W33" s="11" t="n">
        <v>1</v>
      </c>
      <c r="X33" s="11" t="s">
        <v>127</v>
      </c>
      <c r="Y33" s="11" t="s">
        <v>127</v>
      </c>
      <c r="Z33" s="14" t="s">
        <v>128</v>
      </c>
      <c r="AA33" s="11" t="s">
        <v>191</v>
      </c>
      <c r="AB33" s="11" t="s">
        <v>12</v>
      </c>
      <c r="AC33" s="11" t="n">
        <v>8</v>
      </c>
      <c r="AD33" s="11" t="n">
        <v>5</v>
      </c>
      <c r="AE33" s="11" t="n">
        <v>3</v>
      </c>
      <c r="AF33" s="11" t="n">
        <v>5</v>
      </c>
      <c r="AG33" s="14" t="s">
        <v>270</v>
      </c>
      <c r="AH33" s="14" t="s">
        <v>271</v>
      </c>
    </row>
    <row r="34" customFormat="false" ht="15" hidden="false" customHeight="false" outlineLevel="0" collapsed="false">
      <c r="A34" s="17" t="s">
        <v>272</v>
      </c>
      <c r="B34" s="30" t="n">
        <f aca="false">MIN(10, IF(N34="ativa",5,IF(N34="nova",4,IF(N34="esfriando",2,0)))+IF(L34&gt;=9,3,IF(L34&gt;=3,2,IF(L34&gt;=1,1,0)))+IF(M34&gt;=60,1.5,IF(M34&gt;=30,1,IF(M34&gt;=14,0.5,0)))+IF(V34&gt;=50,1.5,IF(V34&gt;=10,1,IF(V34&gt;=1,0.5,0)))+IF(W34&gt;=4,0.5,0))</f>
        <v>3</v>
      </c>
      <c r="C34" s="18" t="n">
        <f aca="false">ROUND(AC34*0.15+AD34*0.25+AE34*0.4+AF34*0.2,1)</f>
        <v>7.2</v>
      </c>
      <c r="D34" s="30" t="n">
        <f aca="false">ROUND(B34*0.45+C34*0.55,1)</f>
        <v>5.3</v>
      </c>
      <c r="E34" s="16" t="str">
        <f aca="false">IF(D34&gt;=7,"Alta",IF(D34&gt;=5,"Media","Baixa"))</f>
        <v>Media</v>
      </c>
      <c r="F34" s="19" t="s">
        <v>273</v>
      </c>
      <c r="G34" s="16" t="n">
        <v>1</v>
      </c>
      <c r="H34" s="19" t="s">
        <v>274</v>
      </c>
      <c r="I34" s="16" t="n">
        <v>1</v>
      </c>
      <c r="J34" s="19" t="s">
        <v>28</v>
      </c>
      <c r="K34" s="31" t="s">
        <v>134</v>
      </c>
      <c r="L34" s="16" t="n">
        <v>0</v>
      </c>
      <c r="M34" s="16" t="n">
        <v>0</v>
      </c>
      <c r="N34" s="16" t="s">
        <v>275</v>
      </c>
      <c r="O34" s="16" t="s">
        <v>147</v>
      </c>
      <c r="P34" s="19" t="s">
        <v>64</v>
      </c>
      <c r="Q34" s="19" t="s">
        <v>274</v>
      </c>
      <c r="R34" s="32" t="n">
        <v>30</v>
      </c>
      <c r="S34" s="32" t="n">
        <v>30</v>
      </c>
      <c r="T34" s="33" t="n">
        <v>0.85</v>
      </c>
      <c r="U34" s="19" t="s">
        <v>276</v>
      </c>
      <c r="V34" s="16" t="n">
        <v>4</v>
      </c>
      <c r="W34" s="16" t="n">
        <v>5</v>
      </c>
      <c r="X34" s="16" t="s">
        <v>277</v>
      </c>
      <c r="Y34" s="16" t="s">
        <v>232</v>
      </c>
      <c r="Z34" s="19" t="s">
        <v>137</v>
      </c>
      <c r="AA34" s="16" t="s">
        <v>129</v>
      </c>
      <c r="AB34" s="16" t="s">
        <v>170</v>
      </c>
      <c r="AC34" s="16" t="n">
        <v>4</v>
      </c>
      <c r="AD34" s="16" t="n">
        <v>7</v>
      </c>
      <c r="AE34" s="16" t="n">
        <v>8</v>
      </c>
      <c r="AF34" s="16" t="n">
        <v>8</v>
      </c>
      <c r="AG34" s="19"/>
      <c r="AH34" s="19" t="s">
        <v>278</v>
      </c>
    </row>
    <row r="35" customFormat="false" ht="15" hidden="false" customHeight="false" outlineLevel="0" collapsed="false">
      <c r="A35" s="12" t="s">
        <v>279</v>
      </c>
      <c r="B35" s="34" t="n">
        <f aca="false">MIN(10, IF(N35="ativa",5,IF(N35="nova",4,IF(N35="esfriando",2,0)))+IF(L35&gt;=9,3,IF(L35&gt;=3,2,IF(L35&gt;=1,1,0)))+IF(M35&gt;=60,1.5,IF(M35&gt;=30,1,IF(M35&gt;=14,0.5,0)))+IF(V35&gt;=50,1.5,IF(V35&gt;=10,1,IF(V35&gt;=1,0.5,0)))+IF(W35&gt;=4,0.5,0))</f>
        <v>4</v>
      </c>
      <c r="C35" s="13" t="n">
        <f aca="false">ROUND(AC35*0.15+AD35*0.25+AE35*0.4+AF35*0.2,1)</f>
        <v>6.4</v>
      </c>
      <c r="D35" s="34" t="n">
        <f aca="false">ROUND(B35*0.45+C35*0.55,1)</f>
        <v>5.3</v>
      </c>
      <c r="E35" s="11" t="str">
        <f aca="false">IF(D35&gt;=7,"Alta",IF(D35&gt;=5,"Media","Baixa"))</f>
        <v>Media</v>
      </c>
      <c r="F35" s="14" t="s">
        <v>280</v>
      </c>
      <c r="G35" s="11" t="n">
        <v>1</v>
      </c>
      <c r="H35" s="14" t="s">
        <v>133</v>
      </c>
      <c r="I35" s="11" t="n">
        <v>4</v>
      </c>
      <c r="J35" s="14" t="s">
        <v>28</v>
      </c>
      <c r="K35" s="35" t="s">
        <v>134</v>
      </c>
      <c r="L35" s="11" t="n">
        <v>0</v>
      </c>
      <c r="M35" s="11" t="n">
        <v>0</v>
      </c>
      <c r="N35" s="11" t="s">
        <v>124</v>
      </c>
      <c r="O35" s="11" t="s">
        <v>125</v>
      </c>
      <c r="P35" s="14" t="s">
        <v>41</v>
      </c>
      <c r="Q35" s="14" t="s">
        <v>133</v>
      </c>
      <c r="R35" s="36" t="n">
        <v>0</v>
      </c>
      <c r="S35" s="36" t="n">
        <v>0</v>
      </c>
      <c r="T35" s="37" t="n">
        <v>0.9</v>
      </c>
      <c r="U35" s="14" t="s">
        <v>160</v>
      </c>
      <c r="V35" s="11" t="n">
        <v>0</v>
      </c>
      <c r="W35" s="11" t="n">
        <v>1</v>
      </c>
      <c r="X35" s="11" t="s">
        <v>136</v>
      </c>
      <c r="Y35" s="11" t="s">
        <v>136</v>
      </c>
      <c r="Z35" s="14" t="s">
        <v>137</v>
      </c>
      <c r="AA35" s="11" t="s">
        <v>129</v>
      </c>
      <c r="AB35" s="11" t="s">
        <v>170</v>
      </c>
      <c r="AC35" s="11" t="n">
        <v>0</v>
      </c>
      <c r="AD35" s="11" t="n">
        <v>8</v>
      </c>
      <c r="AE35" s="11" t="n">
        <v>10</v>
      </c>
      <c r="AF35" s="11" t="n">
        <v>2</v>
      </c>
      <c r="AG35" s="14"/>
      <c r="AH35" s="14" t="s">
        <v>281</v>
      </c>
    </row>
    <row r="36" customFormat="false" ht="15" hidden="false" customHeight="false" outlineLevel="0" collapsed="false">
      <c r="A36" s="17" t="s">
        <v>282</v>
      </c>
      <c r="B36" s="30" t="n">
        <f aca="false">MIN(10, IF(N36="ativa",5,IF(N36="nova",4,IF(N36="esfriando",2,0)))+IF(L36&gt;=9,3,IF(L36&gt;=3,2,IF(L36&gt;=1,1,0)))+IF(M36&gt;=60,1.5,IF(M36&gt;=30,1,IF(M36&gt;=14,0.5,0)))+IF(V36&gt;=50,1.5,IF(V36&gt;=10,1,IF(V36&gt;=1,0.5,0)))+IF(W36&gt;=4,0.5,0))</f>
        <v>4</v>
      </c>
      <c r="C36" s="18" t="n">
        <f aca="false">ROUND(AC36*0.15+AD36*0.25+AE36*0.4+AF36*0.2,1)</f>
        <v>6.5</v>
      </c>
      <c r="D36" s="30" t="n">
        <f aca="false">ROUND(B36*0.45+C36*0.55,1)</f>
        <v>5.4</v>
      </c>
      <c r="E36" s="16" t="str">
        <f aca="false">IF(D36&gt;=7,"Alta",IF(D36&gt;=5,"Media","Baixa"))</f>
        <v>Media</v>
      </c>
      <c r="F36" s="19" t="s">
        <v>283</v>
      </c>
      <c r="G36" s="16" t="n">
        <v>1</v>
      </c>
      <c r="H36" s="19" t="s">
        <v>146</v>
      </c>
      <c r="I36" s="16" t="n">
        <v>4</v>
      </c>
      <c r="J36" s="19" t="s">
        <v>28</v>
      </c>
      <c r="K36" s="31" t="s">
        <v>134</v>
      </c>
      <c r="L36" s="16" t="n">
        <v>0</v>
      </c>
      <c r="M36" s="16" t="n">
        <v>0</v>
      </c>
      <c r="N36" s="16" t="s">
        <v>124</v>
      </c>
      <c r="O36" s="16" t="s">
        <v>125</v>
      </c>
      <c r="P36" s="19" t="s">
        <v>45</v>
      </c>
      <c r="Q36" s="19" t="s">
        <v>146</v>
      </c>
      <c r="R36" s="32" t="n">
        <v>0</v>
      </c>
      <c r="S36" s="32" t="n">
        <v>0</v>
      </c>
      <c r="T36" s="33" t="n">
        <v>0.9</v>
      </c>
      <c r="U36" s="19" t="s">
        <v>160</v>
      </c>
      <c r="V36" s="16" t="n">
        <v>0</v>
      </c>
      <c r="W36" s="16" t="n">
        <v>1</v>
      </c>
      <c r="X36" s="16" t="s">
        <v>136</v>
      </c>
      <c r="Y36" s="16" t="s">
        <v>136</v>
      </c>
      <c r="Z36" s="19" t="s">
        <v>137</v>
      </c>
      <c r="AA36" s="16" t="s">
        <v>129</v>
      </c>
      <c r="AB36" s="16" t="s">
        <v>170</v>
      </c>
      <c r="AC36" s="16" t="n">
        <v>0</v>
      </c>
      <c r="AD36" s="16" t="n">
        <v>9</v>
      </c>
      <c r="AE36" s="16" t="n">
        <v>9</v>
      </c>
      <c r="AF36" s="16" t="n">
        <v>3</v>
      </c>
      <c r="AG36" s="19"/>
      <c r="AH36" s="19" t="s">
        <v>284</v>
      </c>
    </row>
    <row r="37" customFormat="false" ht="15" hidden="false" customHeight="false" outlineLevel="0" collapsed="false">
      <c r="A37" s="12" t="s">
        <v>285</v>
      </c>
      <c r="B37" s="34" t="n">
        <f aca="false">MIN(10, IF(N37="ativa",5,IF(N37="nova",4,IF(N37="esfriando",2,0)))+IF(L37&gt;=9,3,IF(L37&gt;=3,2,IF(L37&gt;=1,1,0)))+IF(M37&gt;=60,1.5,IF(M37&gt;=30,1,IF(M37&gt;=14,0.5,0)))+IF(V37&gt;=50,1.5,IF(V37&gt;=10,1,IF(V37&gt;=1,0.5,0)))+IF(W37&gt;=4,0.5,0))</f>
        <v>6</v>
      </c>
      <c r="C37" s="13" t="n">
        <f aca="false">ROUND(AC37*0.15+AD37*0.25+AE37*0.4+AF37*0.2,1)</f>
        <v>4.8</v>
      </c>
      <c r="D37" s="34" t="n">
        <f aca="false">ROUND(B37*0.45+C37*0.55,1)</f>
        <v>5.3</v>
      </c>
      <c r="E37" s="11" t="str">
        <f aca="false">IF(D37&gt;=7,"Alta",IF(D37&gt;=5,"Media","Baixa"))</f>
        <v>Media</v>
      </c>
      <c r="F37" s="14" t="s">
        <v>286</v>
      </c>
      <c r="G37" s="11" t="n">
        <v>1</v>
      </c>
      <c r="H37" s="14" t="s">
        <v>205</v>
      </c>
      <c r="I37" s="11" t="n">
        <v>4</v>
      </c>
      <c r="J37" s="14" t="s">
        <v>28</v>
      </c>
      <c r="K37" s="35" t="s">
        <v>134</v>
      </c>
      <c r="L37" s="11" t="n">
        <v>0</v>
      </c>
      <c r="M37" s="11" t="n">
        <v>0</v>
      </c>
      <c r="N37" s="11" t="s">
        <v>141</v>
      </c>
      <c r="O37" s="11" t="s">
        <v>125</v>
      </c>
      <c r="P37" s="14" t="s">
        <v>53</v>
      </c>
      <c r="Q37" s="14" t="s">
        <v>205</v>
      </c>
      <c r="R37" s="36" t="n">
        <v>0</v>
      </c>
      <c r="S37" s="36" t="n">
        <v>0</v>
      </c>
      <c r="T37" s="37" t="n">
        <v>0.95</v>
      </c>
      <c r="U37" s="14" t="s">
        <v>160</v>
      </c>
      <c r="V37" s="11" t="n">
        <v>13</v>
      </c>
      <c r="W37" s="11" t="n">
        <v>2</v>
      </c>
      <c r="X37" s="11" t="s">
        <v>212</v>
      </c>
      <c r="Y37" s="11" t="s">
        <v>142</v>
      </c>
      <c r="Z37" s="14" t="s">
        <v>137</v>
      </c>
      <c r="AA37" s="11" t="s">
        <v>129</v>
      </c>
      <c r="AB37" s="11" t="s">
        <v>12</v>
      </c>
      <c r="AC37" s="11" t="n">
        <v>0</v>
      </c>
      <c r="AD37" s="11" t="n">
        <v>8</v>
      </c>
      <c r="AE37" s="11" t="n">
        <v>5</v>
      </c>
      <c r="AF37" s="11" t="n">
        <v>4</v>
      </c>
      <c r="AG37" s="14"/>
      <c r="AH37" s="14" t="s">
        <v>287</v>
      </c>
    </row>
    <row r="38" customFormat="false" ht="15" hidden="false" customHeight="false" outlineLevel="0" collapsed="false">
      <c r="A38" s="17" t="s">
        <v>288</v>
      </c>
      <c r="B38" s="30" t="n">
        <f aca="false">MIN(10, IF(N38="ativa",5,IF(N38="nova",4,IF(N38="esfriando",2,0)))+IF(L38&gt;=9,3,IF(L38&gt;=3,2,IF(L38&gt;=1,1,0)))+IF(M38&gt;=60,1.5,IF(M38&gt;=30,1,IF(M38&gt;=14,0.5,0)))+IF(V38&gt;=50,1.5,IF(V38&gt;=10,1,IF(V38&gt;=1,0.5,0)))+IF(W38&gt;=4,0.5,0))</f>
        <v>5</v>
      </c>
      <c r="C38" s="18" t="n">
        <f aca="false">ROUND(AC38*0.15+AD38*0.25+AE38*0.4+AF38*0.2,1)</f>
        <v>5.6</v>
      </c>
      <c r="D38" s="30" t="n">
        <f aca="false">ROUND(B38*0.45+C38*0.55,1)</f>
        <v>5.3</v>
      </c>
      <c r="E38" s="16" t="str">
        <f aca="false">IF(D38&gt;=7,"Alta",IF(D38&gt;=5,"Media","Baixa"))</f>
        <v>Media</v>
      </c>
      <c r="F38" s="19" t="s">
        <v>289</v>
      </c>
      <c r="G38" s="16" t="n">
        <v>1</v>
      </c>
      <c r="H38" s="19" t="s">
        <v>236</v>
      </c>
      <c r="I38" s="16" t="n">
        <v>3</v>
      </c>
      <c r="J38" s="31" t="s">
        <v>122</v>
      </c>
      <c r="K38" s="31" t="s">
        <v>183</v>
      </c>
      <c r="L38" s="16" t="n">
        <v>2</v>
      </c>
      <c r="M38" s="16" t="n">
        <v>4</v>
      </c>
      <c r="N38" s="16" t="s">
        <v>124</v>
      </c>
      <c r="O38" s="16" t="s">
        <v>125</v>
      </c>
      <c r="P38" s="19" t="s">
        <v>43</v>
      </c>
      <c r="Q38" s="19" t="s">
        <v>236</v>
      </c>
      <c r="R38" s="32" t="n">
        <v>19.9</v>
      </c>
      <c r="S38" s="32" t="n">
        <v>25</v>
      </c>
      <c r="T38" s="33" t="n">
        <v>0.92</v>
      </c>
      <c r="U38" s="19" t="s">
        <v>152</v>
      </c>
      <c r="V38" s="16" t="n">
        <v>0</v>
      </c>
      <c r="W38" s="16" t="n">
        <v>1</v>
      </c>
      <c r="X38" s="16" t="s">
        <v>127</v>
      </c>
      <c r="Y38" s="16" t="s">
        <v>127</v>
      </c>
      <c r="Z38" s="19" t="s">
        <v>137</v>
      </c>
      <c r="AA38" s="16" t="s">
        <v>129</v>
      </c>
      <c r="AB38" s="16" t="s">
        <v>12</v>
      </c>
      <c r="AC38" s="16" t="n">
        <v>3</v>
      </c>
      <c r="AD38" s="16" t="n">
        <v>2</v>
      </c>
      <c r="AE38" s="16" t="n">
        <v>9</v>
      </c>
      <c r="AF38" s="16" t="n">
        <v>5</v>
      </c>
      <c r="AG38" s="19" t="s">
        <v>290</v>
      </c>
      <c r="AH38" s="19" t="s">
        <v>291</v>
      </c>
    </row>
    <row r="39" customFormat="false" ht="15" hidden="false" customHeight="false" outlineLevel="0" collapsed="false">
      <c r="A39" s="12" t="s">
        <v>292</v>
      </c>
      <c r="B39" s="34" t="n">
        <f aca="false">MIN(10, IF(N39="ativa",5,IF(N39="nova",4,IF(N39="esfriando",2,0)))+IF(L39&gt;=9,3,IF(L39&gt;=3,2,IF(L39&gt;=1,1,0)))+IF(M39&gt;=60,1.5,IF(M39&gt;=30,1,IF(M39&gt;=14,0.5,0)))+IF(V39&gt;=50,1.5,IF(V39&gt;=10,1,IF(V39&gt;=1,0.5,0)))+IF(W39&gt;=4,0.5,0))</f>
        <v>5</v>
      </c>
      <c r="C39" s="13" t="n">
        <f aca="false">ROUND(AC39*0.15+AD39*0.25+AE39*0.4+AF39*0.2,1)</f>
        <v>5.5</v>
      </c>
      <c r="D39" s="34" t="n">
        <f aca="false">ROUND(B39*0.45+C39*0.55,1)</f>
        <v>5.3</v>
      </c>
      <c r="E39" s="11" t="str">
        <f aca="false">IF(D39&gt;=7,"Alta",IF(D39&gt;=5,"Media","Baixa"))</f>
        <v>Media</v>
      </c>
      <c r="F39" s="14" t="s">
        <v>293</v>
      </c>
      <c r="G39" s="11" t="n">
        <v>1</v>
      </c>
      <c r="H39" s="14" t="s">
        <v>205</v>
      </c>
      <c r="I39" s="11" t="n">
        <v>4</v>
      </c>
      <c r="J39" s="14" t="s">
        <v>28</v>
      </c>
      <c r="K39" s="35" t="s">
        <v>134</v>
      </c>
      <c r="L39" s="11" t="n">
        <v>0</v>
      </c>
      <c r="M39" s="11" t="n">
        <v>0</v>
      </c>
      <c r="N39" s="11" t="s">
        <v>141</v>
      </c>
      <c r="O39" s="11" t="s">
        <v>125</v>
      </c>
      <c r="P39" s="14" t="s">
        <v>53</v>
      </c>
      <c r="Q39" s="14" t="s">
        <v>205</v>
      </c>
      <c r="R39" s="36" t="n">
        <v>139.9</v>
      </c>
      <c r="S39" s="36" t="n">
        <v>139.9</v>
      </c>
      <c r="T39" s="37" t="n">
        <v>0.95</v>
      </c>
      <c r="U39" s="14" t="s">
        <v>160</v>
      </c>
      <c r="V39" s="11" t="n">
        <v>0</v>
      </c>
      <c r="W39" s="11" t="n">
        <v>2</v>
      </c>
      <c r="X39" s="11" t="s">
        <v>212</v>
      </c>
      <c r="Y39" s="11" t="s">
        <v>142</v>
      </c>
      <c r="Z39" s="14" t="s">
        <v>243</v>
      </c>
      <c r="AA39" s="11" t="s">
        <v>129</v>
      </c>
      <c r="AB39" s="11" t="s">
        <v>170</v>
      </c>
      <c r="AC39" s="11" t="n">
        <v>9</v>
      </c>
      <c r="AD39" s="11" t="n">
        <v>6</v>
      </c>
      <c r="AE39" s="11" t="n">
        <v>5</v>
      </c>
      <c r="AF39" s="11" t="n">
        <v>3</v>
      </c>
      <c r="AG39" s="14"/>
      <c r="AH39" s="14" t="s">
        <v>294</v>
      </c>
    </row>
    <row r="40" customFormat="false" ht="15" hidden="false" customHeight="false" outlineLevel="0" collapsed="false">
      <c r="A40" s="17" t="s">
        <v>295</v>
      </c>
      <c r="B40" s="30" t="n">
        <f aca="false">MIN(10, IF(N40="ativa",5,IF(N40="nova",4,IF(N40="esfriando",2,0)))+IF(L40&gt;=9,3,IF(L40&gt;=3,2,IF(L40&gt;=1,1,0)))+IF(M40&gt;=60,1.5,IF(M40&gt;=30,1,IF(M40&gt;=14,0.5,0)))+IF(V40&gt;=50,1.5,IF(V40&gt;=10,1,IF(V40&gt;=1,0.5,0)))+IF(W40&gt;=4,0.5,0))</f>
        <v>2.5</v>
      </c>
      <c r="C40" s="18" t="n">
        <f aca="false">ROUND(AC40*0.15+AD40*0.25+AE40*0.4+AF40*0.2,1)</f>
        <v>7.3</v>
      </c>
      <c r="D40" s="30" t="n">
        <f aca="false">ROUND(B40*0.45+C40*0.55,1)</f>
        <v>5.1</v>
      </c>
      <c r="E40" s="16" t="str">
        <f aca="false">IF(D40&gt;=7,"Alta",IF(D40&gt;=5,"Media","Baixa"))</f>
        <v>Media</v>
      </c>
      <c r="F40" s="19" t="s">
        <v>296</v>
      </c>
      <c r="G40" s="16" t="n">
        <v>1</v>
      </c>
      <c r="H40" s="19" t="s">
        <v>297</v>
      </c>
      <c r="I40" s="16" t="n">
        <v>1</v>
      </c>
      <c r="J40" s="19" t="s">
        <v>28</v>
      </c>
      <c r="K40" s="31" t="s">
        <v>134</v>
      </c>
      <c r="L40" s="16" t="n">
        <v>0</v>
      </c>
      <c r="M40" s="16" t="n">
        <v>0</v>
      </c>
      <c r="N40" s="16" t="s">
        <v>275</v>
      </c>
      <c r="O40" s="16" t="s">
        <v>125</v>
      </c>
      <c r="P40" s="19" t="s">
        <v>47</v>
      </c>
      <c r="Q40" s="19" t="s">
        <v>297</v>
      </c>
      <c r="R40" s="32" t="n">
        <v>0</v>
      </c>
      <c r="S40" s="32" t="n">
        <v>27</v>
      </c>
      <c r="T40" s="33" t="n">
        <v>0.85</v>
      </c>
      <c r="U40" s="19" t="s">
        <v>298</v>
      </c>
      <c r="V40" s="16" t="n">
        <v>2</v>
      </c>
      <c r="W40" s="16" t="n">
        <v>2</v>
      </c>
      <c r="X40" s="16" t="s">
        <v>277</v>
      </c>
      <c r="Y40" s="16" t="s">
        <v>299</v>
      </c>
      <c r="Z40" s="19"/>
      <c r="AA40" s="16" t="s">
        <v>129</v>
      </c>
      <c r="AB40" s="16" t="s">
        <v>12</v>
      </c>
      <c r="AC40" s="16" t="n">
        <v>4</v>
      </c>
      <c r="AD40" s="16" t="n">
        <v>6</v>
      </c>
      <c r="AE40" s="16" t="n">
        <v>9</v>
      </c>
      <c r="AF40" s="16" t="n">
        <v>8</v>
      </c>
      <c r="AG40" s="19"/>
      <c r="AH40" s="19" t="s">
        <v>300</v>
      </c>
    </row>
    <row r="41" customFormat="false" ht="15" hidden="false" customHeight="false" outlineLevel="0" collapsed="false">
      <c r="A41" s="12" t="s">
        <v>301</v>
      </c>
      <c r="B41" s="34" t="n">
        <f aca="false">MIN(10, IF(N41="ativa",5,IF(N41="nova",4,IF(N41="esfriando",2,0)))+IF(L41&gt;=9,3,IF(L41&gt;=3,2,IF(L41&gt;=1,1,0)))+IF(M41&gt;=60,1.5,IF(M41&gt;=30,1,IF(M41&gt;=14,0.5,0)))+IF(V41&gt;=50,1.5,IF(V41&gt;=10,1,IF(V41&gt;=1,0.5,0)))+IF(W41&gt;=4,0.5,0))</f>
        <v>5.5</v>
      </c>
      <c r="C41" s="13" t="n">
        <f aca="false">ROUND(AC41*0.15+AD41*0.25+AE41*0.4+AF41*0.2,1)</f>
        <v>4.7</v>
      </c>
      <c r="D41" s="34" t="n">
        <f aca="false">ROUND(B41*0.45+C41*0.55,1)</f>
        <v>5.1</v>
      </c>
      <c r="E41" s="11" t="str">
        <f aca="false">IF(D41&gt;=7,"Alta",IF(D41&gt;=5,"Media","Baixa"))</f>
        <v>Media</v>
      </c>
      <c r="F41" s="14" t="s">
        <v>302</v>
      </c>
      <c r="G41" s="11" t="n">
        <v>1</v>
      </c>
      <c r="H41" s="14" t="s">
        <v>252</v>
      </c>
      <c r="I41" s="11" t="n">
        <v>2</v>
      </c>
      <c r="J41" s="14" t="s">
        <v>28</v>
      </c>
      <c r="K41" s="35" t="s">
        <v>134</v>
      </c>
      <c r="L41" s="11" t="n">
        <v>0</v>
      </c>
      <c r="M41" s="11" t="n">
        <v>210</v>
      </c>
      <c r="N41" s="11" t="s">
        <v>124</v>
      </c>
      <c r="O41" s="11" t="s">
        <v>125</v>
      </c>
      <c r="P41" s="14" t="s">
        <v>63</v>
      </c>
      <c r="Q41" s="14" t="s">
        <v>252</v>
      </c>
      <c r="R41" s="36" t="n">
        <v>0</v>
      </c>
      <c r="S41" s="36" t="n">
        <v>0</v>
      </c>
      <c r="T41" s="37" t="n">
        <v>0.95</v>
      </c>
      <c r="U41" s="14" t="s">
        <v>160</v>
      </c>
      <c r="V41" s="11" t="n">
        <v>0</v>
      </c>
      <c r="W41" s="11" t="n">
        <v>1</v>
      </c>
      <c r="X41" s="11" t="s">
        <v>142</v>
      </c>
      <c r="Y41" s="11" t="s">
        <v>142</v>
      </c>
      <c r="Z41" s="14" t="s">
        <v>137</v>
      </c>
      <c r="AA41" s="11" t="s">
        <v>129</v>
      </c>
      <c r="AB41" s="11" t="s">
        <v>170</v>
      </c>
      <c r="AC41" s="11" t="n">
        <v>0</v>
      </c>
      <c r="AD41" s="11" t="n">
        <v>9</v>
      </c>
      <c r="AE41" s="11" t="n">
        <v>4</v>
      </c>
      <c r="AF41" s="11" t="n">
        <v>4</v>
      </c>
      <c r="AG41" s="14"/>
      <c r="AH41" s="14" t="s">
        <v>303</v>
      </c>
    </row>
    <row r="42" customFormat="false" ht="15" hidden="false" customHeight="false" outlineLevel="0" collapsed="false">
      <c r="A42" s="17" t="s">
        <v>304</v>
      </c>
      <c r="B42" s="30" t="n">
        <f aca="false">MIN(10, IF(N42="ativa",5,IF(N42="nova",4,IF(N42="esfriando",2,0)))+IF(L42&gt;=9,3,IF(L42&gt;=3,2,IF(L42&gt;=1,1,0)))+IF(M42&gt;=60,1.5,IF(M42&gt;=30,1,IF(M42&gt;=14,0.5,0)))+IF(V42&gt;=50,1.5,IF(V42&gt;=10,1,IF(V42&gt;=1,0.5,0)))+IF(W42&gt;=4,0.5,0))</f>
        <v>3</v>
      </c>
      <c r="C42" s="18" t="n">
        <f aca="false">ROUND(AC42*0.15+AD42*0.25+AE42*0.4+AF42*0.2,1)</f>
        <v>6.4</v>
      </c>
      <c r="D42" s="30" t="n">
        <f aca="false">ROUND(B42*0.45+C42*0.55,1)</f>
        <v>4.9</v>
      </c>
      <c r="E42" s="16" t="str">
        <f aca="false">IF(D42&gt;=7,"Alta",IF(D42&gt;=5,"Media","Baixa"))</f>
        <v>Baixa</v>
      </c>
      <c r="F42" s="19" t="s">
        <v>305</v>
      </c>
      <c r="G42" s="16" t="n">
        <v>1</v>
      </c>
      <c r="H42" s="19" t="s">
        <v>306</v>
      </c>
      <c r="I42" s="16" t="n">
        <v>1</v>
      </c>
      <c r="J42" s="19" t="s">
        <v>28</v>
      </c>
      <c r="K42" s="31" t="s">
        <v>134</v>
      </c>
      <c r="L42" s="16" t="n">
        <v>0</v>
      </c>
      <c r="M42" s="16" t="n">
        <v>0</v>
      </c>
      <c r="N42" s="16" t="s">
        <v>275</v>
      </c>
      <c r="O42" s="16" t="s">
        <v>125</v>
      </c>
      <c r="P42" s="19" t="s">
        <v>73</v>
      </c>
      <c r="Q42" s="19" t="s">
        <v>306</v>
      </c>
      <c r="R42" s="32" t="n">
        <v>0</v>
      </c>
      <c r="S42" s="32" t="n">
        <v>40</v>
      </c>
      <c r="T42" s="33" t="n">
        <v>0.95</v>
      </c>
      <c r="U42" s="19" t="s">
        <v>276</v>
      </c>
      <c r="V42" s="16" t="n">
        <v>2</v>
      </c>
      <c r="W42" s="16" t="n">
        <v>4</v>
      </c>
      <c r="X42" s="16" t="s">
        <v>299</v>
      </c>
      <c r="Y42" s="16" t="s">
        <v>232</v>
      </c>
      <c r="Z42" s="19" t="s">
        <v>307</v>
      </c>
      <c r="AA42" s="16" t="s">
        <v>129</v>
      </c>
      <c r="AB42" s="16" t="s">
        <v>12</v>
      </c>
      <c r="AC42" s="16" t="n">
        <v>5</v>
      </c>
      <c r="AD42" s="16" t="n">
        <v>4</v>
      </c>
      <c r="AE42" s="16" t="n">
        <v>8</v>
      </c>
      <c r="AF42" s="16" t="n">
        <v>7</v>
      </c>
      <c r="AG42" s="19"/>
      <c r="AH42" s="19" t="s">
        <v>308</v>
      </c>
    </row>
    <row r="43" customFormat="false" ht="15" hidden="false" customHeight="false" outlineLevel="0" collapsed="false">
      <c r="A43" s="12" t="s">
        <v>309</v>
      </c>
      <c r="B43" s="34" t="n">
        <f aca="false">MIN(10, IF(N43="ativa",5,IF(N43="nova",4,IF(N43="esfriando",2,0)))+IF(L43&gt;=9,3,IF(L43&gt;=3,2,IF(L43&gt;=1,1,0)))+IF(M43&gt;=60,1.5,IF(M43&gt;=30,1,IF(M43&gt;=14,0.5,0)))+IF(V43&gt;=50,1.5,IF(V43&gt;=10,1,IF(V43&gt;=1,0.5,0)))+IF(W43&gt;=4,0.5,0))</f>
        <v>3</v>
      </c>
      <c r="C43" s="13" t="n">
        <f aca="false">ROUND(AC43*0.15+AD43*0.25+AE43*0.4+AF43*0.2,1)</f>
        <v>6.5</v>
      </c>
      <c r="D43" s="34" t="n">
        <f aca="false">ROUND(B43*0.45+C43*0.55,1)</f>
        <v>4.9</v>
      </c>
      <c r="E43" s="11" t="str">
        <f aca="false">IF(D43&gt;=7,"Alta",IF(D43&gt;=5,"Media","Baixa"))</f>
        <v>Baixa</v>
      </c>
      <c r="F43" s="14" t="s">
        <v>310</v>
      </c>
      <c r="G43" s="11" t="n">
        <v>1</v>
      </c>
      <c r="H43" s="14" t="s">
        <v>311</v>
      </c>
      <c r="I43" s="11" t="n">
        <v>1</v>
      </c>
      <c r="J43" s="35" t="s">
        <v>122</v>
      </c>
      <c r="K43" s="35" t="s">
        <v>134</v>
      </c>
      <c r="L43" s="11" t="n">
        <v>0</v>
      </c>
      <c r="M43" s="11" t="n">
        <v>0</v>
      </c>
      <c r="N43" s="11" t="s">
        <v>275</v>
      </c>
      <c r="O43" s="11" t="s">
        <v>125</v>
      </c>
      <c r="P43" s="14" t="s">
        <v>56</v>
      </c>
      <c r="Q43" s="14" t="s">
        <v>311</v>
      </c>
      <c r="R43" s="36" t="n">
        <v>37</v>
      </c>
      <c r="S43" s="36" t="n">
        <v>74</v>
      </c>
      <c r="T43" s="37" t="n">
        <v>0.85</v>
      </c>
      <c r="U43" s="14" t="s">
        <v>126</v>
      </c>
      <c r="V43" s="11" t="n">
        <v>10</v>
      </c>
      <c r="W43" s="11" t="n">
        <v>3</v>
      </c>
      <c r="X43" s="11" t="s">
        <v>277</v>
      </c>
      <c r="Y43" s="11" t="s">
        <v>299</v>
      </c>
      <c r="Z43" s="14" t="s">
        <v>190</v>
      </c>
      <c r="AA43" s="11" t="s">
        <v>191</v>
      </c>
      <c r="AB43" s="11" t="s">
        <v>12</v>
      </c>
      <c r="AC43" s="11" t="n">
        <v>7</v>
      </c>
      <c r="AD43" s="11" t="n">
        <v>9</v>
      </c>
      <c r="AE43" s="11" t="n">
        <v>6</v>
      </c>
      <c r="AF43" s="11" t="n">
        <v>4</v>
      </c>
      <c r="AG43" s="14"/>
      <c r="AH43" s="14" t="s">
        <v>312</v>
      </c>
    </row>
    <row r="44" customFormat="false" ht="15" hidden="false" customHeight="false" outlineLevel="0" collapsed="false">
      <c r="A44" s="17" t="s">
        <v>313</v>
      </c>
      <c r="B44" s="30" t="n">
        <f aca="false">MIN(10, IF(N44="ativa",5,IF(N44="nova",4,IF(N44="esfriando",2,0)))+IF(L44&gt;=9,3,IF(L44&gt;=3,2,IF(L44&gt;=1,1,0)))+IF(M44&gt;=60,1.5,IF(M44&gt;=30,1,IF(M44&gt;=14,0.5,0)))+IF(V44&gt;=50,1.5,IF(V44&gt;=10,1,IF(V44&gt;=1,0.5,0)))+IF(W44&gt;=4,0.5,0))</f>
        <v>3</v>
      </c>
      <c r="C44" s="18" t="n">
        <f aca="false">ROUND(AC44*0.15+AD44*0.25+AE44*0.4+AF44*0.2,1)</f>
        <v>6.3</v>
      </c>
      <c r="D44" s="30" t="n">
        <f aca="false">ROUND(B44*0.45+C44*0.55,1)</f>
        <v>4.8</v>
      </c>
      <c r="E44" s="16" t="str">
        <f aca="false">IF(D44&gt;=7,"Alta",IF(D44&gt;=5,"Media","Baixa"))</f>
        <v>Baixa</v>
      </c>
      <c r="F44" s="19" t="s">
        <v>314</v>
      </c>
      <c r="G44" s="16" t="n">
        <v>1</v>
      </c>
      <c r="H44" s="19" t="s">
        <v>315</v>
      </c>
      <c r="I44" s="16" t="n">
        <v>1</v>
      </c>
      <c r="J44" s="19" t="s">
        <v>28</v>
      </c>
      <c r="K44" s="31" t="s">
        <v>134</v>
      </c>
      <c r="L44" s="16" t="n">
        <v>0</v>
      </c>
      <c r="M44" s="16" t="n">
        <v>0</v>
      </c>
      <c r="N44" s="16" t="s">
        <v>275</v>
      </c>
      <c r="O44" s="16" t="s">
        <v>125</v>
      </c>
      <c r="P44" s="19" t="s">
        <v>74</v>
      </c>
      <c r="Q44" s="19" t="s">
        <v>315</v>
      </c>
      <c r="R44" s="32" t="n">
        <v>24.9</v>
      </c>
      <c r="S44" s="32" t="n">
        <v>25</v>
      </c>
      <c r="T44" s="33" t="n">
        <v>0.95</v>
      </c>
      <c r="U44" s="19" t="s">
        <v>316</v>
      </c>
      <c r="V44" s="16" t="n">
        <v>2</v>
      </c>
      <c r="W44" s="16" t="n">
        <v>5</v>
      </c>
      <c r="X44" s="16" t="s">
        <v>317</v>
      </c>
      <c r="Y44" s="16" t="s">
        <v>232</v>
      </c>
      <c r="Z44" s="19" t="s">
        <v>318</v>
      </c>
      <c r="AA44" s="16" t="s">
        <v>129</v>
      </c>
      <c r="AB44" s="16" t="s">
        <v>12</v>
      </c>
      <c r="AC44" s="16" t="n">
        <v>3</v>
      </c>
      <c r="AD44" s="16" t="n">
        <v>4</v>
      </c>
      <c r="AE44" s="16" t="n">
        <v>9</v>
      </c>
      <c r="AF44" s="16" t="n">
        <v>6</v>
      </c>
      <c r="AG44" s="19"/>
      <c r="AH44" s="19" t="s">
        <v>319</v>
      </c>
    </row>
    <row r="45" customFormat="false" ht="15" hidden="false" customHeight="false" outlineLevel="0" collapsed="false">
      <c r="A45" s="12" t="s">
        <v>320</v>
      </c>
      <c r="B45" s="34" t="n">
        <f aca="false">MIN(10, IF(N45="ativa",5,IF(N45="nova",4,IF(N45="esfriando",2,0)))+IF(L45&gt;=9,3,IF(L45&gt;=3,2,IF(L45&gt;=1,1,0)))+IF(M45&gt;=60,1.5,IF(M45&gt;=30,1,IF(M45&gt;=14,0.5,0)))+IF(V45&gt;=50,1.5,IF(V45&gt;=10,1,IF(V45&gt;=1,0.5,0)))+IF(W45&gt;=4,0.5,0))</f>
        <v>4</v>
      </c>
      <c r="C45" s="13" t="n">
        <f aca="false">ROUND(AC45*0.15+AD45*0.25+AE45*0.4+AF45*0.2,1)</f>
        <v>5.6</v>
      </c>
      <c r="D45" s="34" t="n">
        <f aca="false">ROUND(B45*0.45+C45*0.55,1)</f>
        <v>4.9</v>
      </c>
      <c r="E45" s="11" t="str">
        <f aca="false">IF(D45&gt;=7,"Alta",IF(D45&gt;=5,"Media","Baixa"))</f>
        <v>Baixa</v>
      </c>
      <c r="F45" s="14" t="s">
        <v>321</v>
      </c>
      <c r="G45" s="11" t="n">
        <v>1</v>
      </c>
      <c r="H45" s="14" t="s">
        <v>322</v>
      </c>
      <c r="I45" s="11" t="n">
        <v>1</v>
      </c>
      <c r="J45" s="14" t="s">
        <v>28</v>
      </c>
      <c r="K45" s="35" t="s">
        <v>134</v>
      </c>
      <c r="L45" s="11" t="n">
        <v>0</v>
      </c>
      <c r="M45" s="11" t="n">
        <v>149</v>
      </c>
      <c r="N45" s="11" t="s">
        <v>275</v>
      </c>
      <c r="O45" s="11" t="s">
        <v>125</v>
      </c>
      <c r="P45" s="14" t="s">
        <v>58</v>
      </c>
      <c r="Q45" s="14" t="s">
        <v>322</v>
      </c>
      <c r="R45" s="36" t="n">
        <v>57</v>
      </c>
      <c r="S45" s="36" t="n">
        <v>114</v>
      </c>
      <c r="T45" s="37" t="n">
        <v>0.8</v>
      </c>
      <c r="U45" s="14" t="s">
        <v>135</v>
      </c>
      <c r="V45" s="11" t="n">
        <v>2</v>
      </c>
      <c r="W45" s="11" t="n">
        <v>3</v>
      </c>
      <c r="X45" s="11" t="s">
        <v>317</v>
      </c>
      <c r="Y45" s="11" t="s">
        <v>323</v>
      </c>
      <c r="Z45" s="14" t="s">
        <v>213</v>
      </c>
      <c r="AA45" s="11" t="s">
        <v>191</v>
      </c>
      <c r="AB45" s="11" t="s">
        <v>12</v>
      </c>
      <c r="AC45" s="11" t="n">
        <v>9</v>
      </c>
      <c r="AD45" s="11" t="n">
        <v>8</v>
      </c>
      <c r="AE45" s="11" t="n">
        <v>3</v>
      </c>
      <c r="AF45" s="11" t="n">
        <v>5</v>
      </c>
      <c r="AG45" s="14"/>
      <c r="AH45" s="14" t="s">
        <v>324</v>
      </c>
    </row>
    <row r="46" customFormat="false" ht="15" hidden="false" customHeight="false" outlineLevel="0" collapsed="false">
      <c r="A46" s="17" t="s">
        <v>325</v>
      </c>
      <c r="B46" s="30" t="n">
        <f aca="false">MIN(10, IF(N46="ativa",5,IF(N46="nova",4,IF(N46="esfriando",2,0)))+IF(L46&gt;=9,3,IF(L46&gt;=3,2,IF(L46&gt;=1,1,0)))+IF(M46&gt;=60,1.5,IF(M46&gt;=30,1,IF(M46&gt;=14,0.5,0)))+IF(V46&gt;=50,1.5,IF(V46&gt;=10,1,IF(V46&gt;=1,0.5,0)))+IF(W46&gt;=4,0.5,0))</f>
        <v>3</v>
      </c>
      <c r="C46" s="18" t="n">
        <f aca="false">ROUND(AC46*0.15+AD46*0.25+AE46*0.4+AF46*0.2,1)</f>
        <v>6</v>
      </c>
      <c r="D46" s="30" t="n">
        <f aca="false">ROUND(B46*0.45+C46*0.55,1)</f>
        <v>4.7</v>
      </c>
      <c r="E46" s="16" t="str">
        <f aca="false">IF(D46&gt;=7,"Alta",IF(D46&gt;=5,"Media","Baixa"))</f>
        <v>Baixa</v>
      </c>
      <c r="F46" s="19" t="s">
        <v>326</v>
      </c>
      <c r="G46" s="16" t="n">
        <v>1</v>
      </c>
      <c r="H46" s="19" t="s">
        <v>327</v>
      </c>
      <c r="I46" s="16" t="n">
        <v>1</v>
      </c>
      <c r="J46" s="19" t="s">
        <v>28</v>
      </c>
      <c r="K46" s="31" t="s">
        <v>134</v>
      </c>
      <c r="L46" s="16" t="n">
        <v>0</v>
      </c>
      <c r="M46" s="16" t="n">
        <v>11</v>
      </c>
      <c r="N46" s="16" t="s">
        <v>275</v>
      </c>
      <c r="O46" s="16" t="s">
        <v>125</v>
      </c>
      <c r="P46" s="19" t="s">
        <v>75</v>
      </c>
      <c r="Q46" s="19" t="s">
        <v>327</v>
      </c>
      <c r="R46" s="32" t="n">
        <v>50</v>
      </c>
      <c r="S46" s="32" t="n">
        <v>50</v>
      </c>
      <c r="T46" s="33" t="n">
        <v>0.9</v>
      </c>
      <c r="U46" s="19" t="s">
        <v>276</v>
      </c>
      <c r="V46" s="16" t="n">
        <v>2</v>
      </c>
      <c r="W46" s="16" t="n">
        <v>4</v>
      </c>
      <c r="X46" s="16" t="s">
        <v>299</v>
      </c>
      <c r="Y46" s="16" t="s">
        <v>232</v>
      </c>
      <c r="Z46" s="19" t="s">
        <v>128</v>
      </c>
      <c r="AA46" s="16" t="s">
        <v>129</v>
      </c>
      <c r="AB46" s="16" t="s">
        <v>12</v>
      </c>
      <c r="AC46" s="16" t="n">
        <v>5</v>
      </c>
      <c r="AD46" s="16" t="n">
        <v>4</v>
      </c>
      <c r="AE46" s="16" t="n">
        <v>7</v>
      </c>
      <c r="AF46" s="16" t="n">
        <v>7</v>
      </c>
      <c r="AG46" s="19"/>
      <c r="AH46" s="19" t="s">
        <v>328</v>
      </c>
    </row>
    <row r="47" customFormat="false" ht="15" hidden="false" customHeight="false" outlineLevel="0" collapsed="false">
      <c r="A47" s="12" t="s">
        <v>329</v>
      </c>
      <c r="B47" s="34" t="n">
        <f aca="false">MIN(10, IF(N47="ativa",5,IF(N47="nova",4,IF(N47="esfriando",2,0)))+IF(L47&gt;=9,3,IF(L47&gt;=3,2,IF(L47&gt;=1,1,0)))+IF(M47&gt;=60,1.5,IF(M47&gt;=30,1,IF(M47&gt;=14,0.5,0)))+IF(V47&gt;=50,1.5,IF(V47&gt;=10,1,IF(V47&gt;=1,0.5,0)))+IF(W47&gt;=4,0.5,0))</f>
        <v>2.5</v>
      </c>
      <c r="C47" s="13" t="n">
        <f aca="false">ROUND(AC47*0.15+AD47*0.25+AE47*0.4+AF47*0.2,1)</f>
        <v>6.2</v>
      </c>
      <c r="D47" s="34" t="n">
        <f aca="false">ROUND(B47*0.45+C47*0.55,1)</f>
        <v>4.5</v>
      </c>
      <c r="E47" s="11" t="str">
        <f aca="false">IF(D47&gt;=7,"Alta",IF(D47&gt;=5,"Media","Baixa"))</f>
        <v>Baixa</v>
      </c>
      <c r="F47" s="14" t="s">
        <v>330</v>
      </c>
      <c r="G47" s="11" t="n">
        <v>1</v>
      </c>
      <c r="H47" s="14" t="s">
        <v>331</v>
      </c>
      <c r="I47" s="11" t="n">
        <v>1</v>
      </c>
      <c r="J47" s="14" t="s">
        <v>28</v>
      </c>
      <c r="K47" s="35" t="s">
        <v>134</v>
      </c>
      <c r="L47" s="11" t="n">
        <v>0</v>
      </c>
      <c r="M47" s="11" t="n">
        <v>0</v>
      </c>
      <c r="N47" s="11" t="s">
        <v>275</v>
      </c>
      <c r="O47" s="11" t="s">
        <v>125</v>
      </c>
      <c r="P47" s="14" t="s">
        <v>76</v>
      </c>
      <c r="Q47" s="14" t="s">
        <v>331</v>
      </c>
      <c r="R47" s="36" t="n">
        <v>0</v>
      </c>
      <c r="S47" s="36" t="n">
        <v>47</v>
      </c>
      <c r="T47" s="37" t="n">
        <v>0.85</v>
      </c>
      <c r="U47" s="14" t="s">
        <v>298</v>
      </c>
      <c r="V47" s="11" t="n">
        <v>2</v>
      </c>
      <c r="W47" s="11" t="n">
        <v>2</v>
      </c>
      <c r="X47" s="11" t="s">
        <v>277</v>
      </c>
      <c r="Y47" s="11" t="s">
        <v>299</v>
      </c>
      <c r="Z47" s="14"/>
      <c r="AA47" s="11" t="s">
        <v>129</v>
      </c>
      <c r="AB47" s="11" t="s">
        <v>12</v>
      </c>
      <c r="AC47" s="11" t="n">
        <v>5</v>
      </c>
      <c r="AD47" s="11" t="n">
        <v>8</v>
      </c>
      <c r="AE47" s="11" t="n">
        <v>6</v>
      </c>
      <c r="AF47" s="11" t="n">
        <v>5</v>
      </c>
      <c r="AG47" s="14"/>
      <c r="AH47" s="14" t="s">
        <v>332</v>
      </c>
    </row>
    <row r="48" customFormat="false" ht="15" hidden="false" customHeight="false" outlineLevel="0" collapsed="false">
      <c r="A48" s="17" t="s">
        <v>333</v>
      </c>
      <c r="B48" s="30" t="n">
        <f aca="false">MIN(10, IF(N48="ativa",5,IF(N48="nova",4,IF(N48="esfriando",2,0)))+IF(L48&gt;=9,3,IF(L48&gt;=3,2,IF(L48&gt;=1,1,0)))+IF(M48&gt;=60,1.5,IF(M48&gt;=30,1,IF(M48&gt;=14,0.5,0)))+IF(V48&gt;=50,1.5,IF(V48&gt;=10,1,IF(V48&gt;=1,0.5,0)))+IF(W48&gt;=4,0.5,0))</f>
        <v>5</v>
      </c>
      <c r="C48" s="18" t="n">
        <f aca="false">ROUND(AC48*0.15+AD48*0.25+AE48*0.4+AF48*0.2,1)</f>
        <v>4.1</v>
      </c>
      <c r="D48" s="30" t="n">
        <f aca="false">ROUND(B48*0.45+C48*0.55,1)</f>
        <v>4.5</v>
      </c>
      <c r="E48" s="16" t="str">
        <f aca="false">IF(D48&gt;=7,"Alta",IF(D48&gt;=5,"Media","Baixa"))</f>
        <v>Baixa</v>
      </c>
      <c r="F48" s="19" t="s">
        <v>334</v>
      </c>
      <c r="G48" s="16" t="n">
        <v>1</v>
      </c>
      <c r="H48" s="19" t="s">
        <v>335</v>
      </c>
      <c r="I48" s="16" t="n">
        <v>2</v>
      </c>
      <c r="J48" s="31" t="s">
        <v>122</v>
      </c>
      <c r="K48" s="31" t="s">
        <v>183</v>
      </c>
      <c r="L48" s="16" t="n">
        <v>2</v>
      </c>
      <c r="M48" s="16" t="n">
        <v>8</v>
      </c>
      <c r="N48" s="16" t="s">
        <v>124</v>
      </c>
      <c r="O48" s="16" t="s">
        <v>125</v>
      </c>
      <c r="P48" s="19" t="s">
        <v>43</v>
      </c>
      <c r="Q48" s="19" t="s">
        <v>335</v>
      </c>
      <c r="R48" s="32" t="n">
        <v>0</v>
      </c>
      <c r="S48" s="32" t="n">
        <v>0</v>
      </c>
      <c r="T48" s="33" t="n">
        <v>0.85</v>
      </c>
      <c r="U48" s="19" t="s">
        <v>160</v>
      </c>
      <c r="V48" s="16" t="n">
        <v>0</v>
      </c>
      <c r="W48" s="16" t="n">
        <v>1</v>
      </c>
      <c r="X48" s="16" t="s">
        <v>127</v>
      </c>
      <c r="Y48" s="16" t="s">
        <v>127</v>
      </c>
      <c r="Z48" s="19" t="s">
        <v>128</v>
      </c>
      <c r="AA48" s="16" t="s">
        <v>129</v>
      </c>
      <c r="AB48" s="16" t="s">
        <v>12</v>
      </c>
      <c r="AC48" s="16" t="n">
        <v>0</v>
      </c>
      <c r="AD48" s="16" t="n">
        <v>2</v>
      </c>
      <c r="AE48" s="16" t="n">
        <v>6</v>
      </c>
      <c r="AF48" s="16" t="n">
        <v>6</v>
      </c>
      <c r="AG48" s="19" t="s">
        <v>336</v>
      </c>
      <c r="AH48" s="19" t="s">
        <v>337</v>
      </c>
    </row>
    <row r="49" customFormat="false" ht="15" hidden="false" customHeight="false" outlineLevel="0" collapsed="false">
      <c r="A49" s="12" t="s">
        <v>338</v>
      </c>
      <c r="B49" s="34" t="n">
        <f aca="false">MIN(10, IF(N49="ativa",5,IF(N49="nova",4,IF(N49="esfriando",2,0)))+IF(L49&gt;=9,3,IF(L49&gt;=3,2,IF(L49&gt;=1,1,0)))+IF(M49&gt;=60,1.5,IF(M49&gt;=30,1,IF(M49&gt;=14,0.5,0)))+IF(V49&gt;=50,1.5,IF(V49&gt;=10,1,IF(V49&gt;=1,0.5,0)))+IF(W49&gt;=4,0.5,0))</f>
        <v>3</v>
      </c>
      <c r="C49" s="13" t="n">
        <f aca="false">ROUND(AC49*0.15+AD49*0.25+AE49*0.4+AF49*0.2,1)</f>
        <v>5.6</v>
      </c>
      <c r="D49" s="34" t="n">
        <f aca="false">ROUND(B49*0.45+C49*0.55,1)</f>
        <v>4.4</v>
      </c>
      <c r="E49" s="11" t="str">
        <f aca="false">IF(D49&gt;=7,"Alta",IF(D49&gt;=5,"Media","Baixa"))</f>
        <v>Baixa</v>
      </c>
      <c r="F49" s="14" t="s">
        <v>339</v>
      </c>
      <c r="G49" s="11" t="n">
        <v>1</v>
      </c>
      <c r="H49" s="14" t="s">
        <v>340</v>
      </c>
      <c r="I49" s="11" t="n">
        <v>1</v>
      </c>
      <c r="J49" s="14" t="s">
        <v>28</v>
      </c>
      <c r="K49" s="35" t="s">
        <v>134</v>
      </c>
      <c r="L49" s="11" t="n">
        <v>0</v>
      </c>
      <c r="M49" s="11" t="n">
        <v>0</v>
      </c>
      <c r="N49" s="11" t="s">
        <v>275</v>
      </c>
      <c r="O49" s="11" t="s">
        <v>125</v>
      </c>
      <c r="P49" s="14" t="s">
        <v>49</v>
      </c>
      <c r="Q49" s="14" t="s">
        <v>340</v>
      </c>
      <c r="R49" s="36" t="n">
        <v>0</v>
      </c>
      <c r="S49" s="36" t="n">
        <v>97</v>
      </c>
      <c r="T49" s="37" t="n">
        <v>0.85</v>
      </c>
      <c r="U49" s="14" t="s">
        <v>148</v>
      </c>
      <c r="V49" s="11" t="n">
        <v>3</v>
      </c>
      <c r="W49" s="11" t="n">
        <v>5</v>
      </c>
      <c r="X49" s="11" t="s">
        <v>277</v>
      </c>
      <c r="Y49" s="11" t="s">
        <v>232</v>
      </c>
      <c r="Z49" s="14"/>
      <c r="AA49" s="11" t="s">
        <v>129</v>
      </c>
      <c r="AB49" s="11" t="s">
        <v>12</v>
      </c>
      <c r="AC49" s="11" t="n">
        <v>8</v>
      </c>
      <c r="AD49" s="11" t="n">
        <v>7</v>
      </c>
      <c r="AE49" s="11" t="n">
        <v>5</v>
      </c>
      <c r="AF49" s="11" t="n">
        <v>3</v>
      </c>
      <c r="AG49" s="14"/>
      <c r="AH49" s="14" t="s">
        <v>341</v>
      </c>
    </row>
    <row r="50" customFormat="false" ht="15" hidden="false" customHeight="false" outlineLevel="0" collapsed="false">
      <c r="A50" s="17" t="s">
        <v>342</v>
      </c>
      <c r="B50" s="30" t="n">
        <f aca="false">MIN(10, IF(N50="ativa",5,IF(N50="nova",4,IF(N50="esfriando",2,0)))+IF(L50&gt;=9,3,IF(L50&gt;=3,2,IF(L50&gt;=1,1,0)))+IF(M50&gt;=60,1.5,IF(M50&gt;=30,1,IF(M50&gt;=14,0.5,0)))+IF(V50&gt;=50,1.5,IF(V50&gt;=10,1,IF(V50&gt;=1,0.5,0)))+IF(W50&gt;=4,0.5,0))</f>
        <v>2</v>
      </c>
      <c r="C50" s="18" t="n">
        <f aca="false">ROUND(AC50*0.15+AD50*0.25+AE50*0.4+AF50*0.2,1)</f>
        <v>6.4</v>
      </c>
      <c r="D50" s="30" t="n">
        <f aca="false">ROUND(B50*0.45+C50*0.55,1)</f>
        <v>4.4</v>
      </c>
      <c r="E50" s="16" t="str">
        <f aca="false">IF(D50&gt;=7,"Alta",IF(D50&gt;=5,"Media","Baixa"))</f>
        <v>Baixa</v>
      </c>
      <c r="F50" s="19" t="s">
        <v>343</v>
      </c>
      <c r="G50" s="16" t="n">
        <v>1</v>
      </c>
      <c r="H50" s="19" t="s">
        <v>344</v>
      </c>
      <c r="I50" s="16" t="n">
        <v>1</v>
      </c>
      <c r="J50" s="31" t="s">
        <v>122</v>
      </c>
      <c r="K50" s="31" t="s">
        <v>134</v>
      </c>
      <c r="L50" s="16" t="n">
        <v>0</v>
      </c>
      <c r="M50" s="16" t="n">
        <v>0</v>
      </c>
      <c r="N50" s="16" t="s">
        <v>275</v>
      </c>
      <c r="O50" s="16" t="s">
        <v>125</v>
      </c>
      <c r="P50" s="19" t="s">
        <v>77</v>
      </c>
      <c r="Q50" s="19" t="s">
        <v>344</v>
      </c>
      <c r="R50" s="32" t="n">
        <v>12.9</v>
      </c>
      <c r="S50" s="32" t="n">
        <v>21</v>
      </c>
      <c r="T50" s="33" t="n">
        <v>0.95</v>
      </c>
      <c r="U50" s="19" t="s">
        <v>316</v>
      </c>
      <c r="V50" s="16" t="n">
        <v>0</v>
      </c>
      <c r="W50" s="16" t="n">
        <v>2</v>
      </c>
      <c r="X50" s="16" t="s">
        <v>345</v>
      </c>
      <c r="Y50" s="16" t="s">
        <v>136</v>
      </c>
      <c r="Z50" s="19" t="s">
        <v>307</v>
      </c>
      <c r="AA50" s="16" t="s">
        <v>129</v>
      </c>
      <c r="AB50" s="16" t="s">
        <v>12</v>
      </c>
      <c r="AC50" s="16" t="n">
        <v>3</v>
      </c>
      <c r="AD50" s="16" t="n">
        <v>6</v>
      </c>
      <c r="AE50" s="16" t="n">
        <v>10</v>
      </c>
      <c r="AF50" s="16" t="n">
        <v>2</v>
      </c>
      <c r="AG50" s="19"/>
      <c r="AH50" s="19" t="s">
        <v>346</v>
      </c>
    </row>
    <row r="51" customFormat="false" ht="15" hidden="false" customHeight="false" outlineLevel="0" collapsed="false">
      <c r="A51" s="12" t="s">
        <v>347</v>
      </c>
      <c r="B51" s="34" t="n">
        <f aca="false">MIN(10, IF(N51="ativa",5,IF(N51="nova",4,IF(N51="esfriando",2,0)))+IF(L51&gt;=9,3,IF(L51&gt;=3,2,IF(L51&gt;=1,1,0)))+IF(M51&gt;=60,1.5,IF(M51&gt;=30,1,IF(M51&gt;=14,0.5,0)))+IF(V51&gt;=50,1.5,IF(V51&gt;=10,1,IF(V51&gt;=1,0.5,0)))+IF(W51&gt;=4,0.5,0))</f>
        <v>4</v>
      </c>
      <c r="C51" s="13" t="n">
        <f aca="false">ROUND(AC51*0.15+AD51*0.25+AE51*0.4+AF51*0.2,1)</f>
        <v>4.7</v>
      </c>
      <c r="D51" s="34" t="n">
        <f aca="false">ROUND(B51*0.45+C51*0.55,1)</f>
        <v>4.4</v>
      </c>
      <c r="E51" s="11" t="str">
        <f aca="false">IF(D51&gt;=7,"Alta",IF(D51&gt;=5,"Media","Baixa"))</f>
        <v>Baixa</v>
      </c>
      <c r="F51" s="14" t="s">
        <v>348</v>
      </c>
      <c r="G51" s="11" t="n">
        <v>1</v>
      </c>
      <c r="H51" s="14" t="s">
        <v>335</v>
      </c>
      <c r="I51" s="11" t="n">
        <v>2</v>
      </c>
      <c r="J51" s="35" t="s">
        <v>122</v>
      </c>
      <c r="K51" s="35" t="s">
        <v>134</v>
      </c>
      <c r="L51" s="11" t="n">
        <v>0</v>
      </c>
      <c r="M51" s="11" t="n">
        <v>0</v>
      </c>
      <c r="N51" s="11" t="s">
        <v>124</v>
      </c>
      <c r="O51" s="11" t="s">
        <v>125</v>
      </c>
      <c r="P51" s="14" t="s">
        <v>43</v>
      </c>
      <c r="Q51" s="14" t="s">
        <v>335</v>
      </c>
      <c r="R51" s="36" t="n">
        <v>297</v>
      </c>
      <c r="S51" s="36" t="n">
        <v>297</v>
      </c>
      <c r="T51" s="37" t="n">
        <v>0.85</v>
      </c>
      <c r="U51" s="14" t="s">
        <v>126</v>
      </c>
      <c r="V51" s="11" t="n">
        <v>0</v>
      </c>
      <c r="W51" s="11" t="n">
        <v>1</v>
      </c>
      <c r="X51" s="11" t="s">
        <v>127</v>
      </c>
      <c r="Y51" s="11" t="s">
        <v>127</v>
      </c>
      <c r="Z51" s="14" t="s">
        <v>128</v>
      </c>
      <c r="AA51" s="11" t="s">
        <v>129</v>
      </c>
      <c r="AB51" s="11" t="s">
        <v>12</v>
      </c>
      <c r="AC51" s="11" t="n">
        <v>10</v>
      </c>
      <c r="AD51" s="11" t="n">
        <v>3</v>
      </c>
      <c r="AE51" s="11" t="n">
        <v>3</v>
      </c>
      <c r="AF51" s="11" t="n">
        <v>6</v>
      </c>
      <c r="AG51" s="14" t="s">
        <v>349</v>
      </c>
      <c r="AH51" s="14" t="s">
        <v>350</v>
      </c>
    </row>
    <row r="52" customFormat="false" ht="15" hidden="false" customHeight="false" outlineLevel="0" collapsed="false">
      <c r="A52" s="17" t="s">
        <v>351</v>
      </c>
      <c r="B52" s="30" t="n">
        <f aca="false">MIN(10, IF(N52="ativa",5,IF(N52="nova",4,IF(N52="esfriando",2,0)))+IF(L52&gt;=9,3,IF(L52&gt;=3,2,IF(L52&gt;=1,1,0)))+IF(M52&gt;=60,1.5,IF(M52&gt;=30,1,IF(M52&gt;=14,0.5,0)))+IF(V52&gt;=50,1.5,IF(V52&gt;=10,1,IF(V52&gt;=1,0.5,0)))+IF(W52&gt;=4,0.5,0))</f>
        <v>0</v>
      </c>
      <c r="C52" s="18" t="n">
        <f aca="false">ROUND(AC52*0.15+AD52*0.25+AE52*0.4+AF52*0.2,1)</f>
        <v>7.8</v>
      </c>
      <c r="D52" s="30" t="n">
        <f aca="false">ROUND(B52*0.45+C52*0.55,1)</f>
        <v>4.3</v>
      </c>
      <c r="E52" s="16" t="str">
        <f aca="false">IF(D52&gt;=7,"Alta",IF(D52&gt;=5,"Media","Baixa"))</f>
        <v>Baixa</v>
      </c>
      <c r="F52" s="19" t="s">
        <v>352</v>
      </c>
      <c r="G52" s="16" t="n">
        <v>1</v>
      </c>
      <c r="H52" s="19" t="s">
        <v>353</v>
      </c>
      <c r="I52" s="16" t="n">
        <v>2</v>
      </c>
      <c r="J52" s="19" t="s">
        <v>28</v>
      </c>
      <c r="K52" s="31" t="s">
        <v>134</v>
      </c>
      <c r="L52" s="16" t="n">
        <v>0</v>
      </c>
      <c r="M52" s="16" t="n">
        <v>0</v>
      </c>
      <c r="N52" s="16" t="s">
        <v>354</v>
      </c>
      <c r="O52" s="16" t="s">
        <v>147</v>
      </c>
      <c r="P52" s="19" t="s">
        <v>41</v>
      </c>
      <c r="Q52" s="19" t="s">
        <v>353</v>
      </c>
      <c r="R52" s="32" t="n">
        <v>27</v>
      </c>
      <c r="S52" s="32" t="n">
        <v>50</v>
      </c>
      <c r="T52" s="33" t="n">
        <v>0.93</v>
      </c>
      <c r="U52" s="19" t="s">
        <v>152</v>
      </c>
      <c r="V52" s="16" t="n">
        <v>0</v>
      </c>
      <c r="W52" s="16" t="n">
        <v>1</v>
      </c>
      <c r="X52" s="16" t="s">
        <v>317</v>
      </c>
      <c r="Y52" s="16" t="s">
        <v>317</v>
      </c>
      <c r="Z52" s="19" t="s">
        <v>355</v>
      </c>
      <c r="AA52" s="16" t="s">
        <v>129</v>
      </c>
      <c r="AB52" s="16" t="s">
        <v>170</v>
      </c>
      <c r="AC52" s="16" t="n">
        <v>6</v>
      </c>
      <c r="AD52" s="16" t="n">
        <v>6</v>
      </c>
      <c r="AE52" s="16" t="n">
        <v>9</v>
      </c>
      <c r="AF52" s="16" t="n">
        <v>9</v>
      </c>
      <c r="AG52" s="19"/>
      <c r="AH52" s="19" t="s">
        <v>356</v>
      </c>
    </row>
    <row r="53" customFormat="false" ht="15" hidden="false" customHeight="false" outlineLevel="0" collapsed="false">
      <c r="A53" s="12" t="s">
        <v>357</v>
      </c>
      <c r="B53" s="34" t="n">
        <f aca="false">MIN(10, IF(N53="ativa",5,IF(N53="nova",4,IF(N53="esfriando",2,0)))+IF(L53&gt;=9,3,IF(L53&gt;=3,2,IF(L53&gt;=1,1,0)))+IF(M53&gt;=60,1.5,IF(M53&gt;=30,1,IF(M53&gt;=14,0.5,0)))+IF(V53&gt;=50,1.5,IF(V53&gt;=10,1,IF(V53&gt;=1,0.5,0)))+IF(W53&gt;=4,0.5,0))</f>
        <v>0.5</v>
      </c>
      <c r="C53" s="13" t="n">
        <f aca="false">ROUND(AC53*0.15+AD53*0.25+AE53*0.4+AF53*0.2,1)</f>
        <v>7.5</v>
      </c>
      <c r="D53" s="34" t="n">
        <f aca="false">ROUND(B53*0.45+C53*0.55,1)</f>
        <v>4.4</v>
      </c>
      <c r="E53" s="11" t="str">
        <f aca="false">IF(D53&gt;=7,"Alta",IF(D53&gt;=5,"Media","Baixa"))</f>
        <v>Baixa</v>
      </c>
      <c r="F53" s="14" t="s">
        <v>358</v>
      </c>
      <c r="G53" s="11" t="n">
        <v>1</v>
      </c>
      <c r="H53" s="14" t="s">
        <v>359</v>
      </c>
      <c r="I53" s="11" t="n">
        <v>1</v>
      </c>
      <c r="J53" s="14" t="s">
        <v>28</v>
      </c>
      <c r="K53" s="35" t="s">
        <v>134</v>
      </c>
      <c r="L53" s="11" t="n">
        <v>0</v>
      </c>
      <c r="M53" s="11" t="n">
        <v>0</v>
      </c>
      <c r="N53" s="11" t="s">
        <v>354</v>
      </c>
      <c r="O53" s="11" t="s">
        <v>147</v>
      </c>
      <c r="P53" s="14" t="s">
        <v>78</v>
      </c>
      <c r="Q53" s="14" t="s">
        <v>359</v>
      </c>
      <c r="R53" s="36" t="n">
        <v>27</v>
      </c>
      <c r="S53" s="36" t="n">
        <v>60</v>
      </c>
      <c r="T53" s="37" t="n">
        <v>0.85</v>
      </c>
      <c r="U53" s="14" t="s">
        <v>276</v>
      </c>
      <c r="V53" s="11" t="n">
        <v>1</v>
      </c>
      <c r="W53" s="11" t="n">
        <v>1</v>
      </c>
      <c r="X53" s="11" t="s">
        <v>277</v>
      </c>
      <c r="Y53" s="11" t="s">
        <v>277</v>
      </c>
      <c r="Z53" s="14" t="s">
        <v>360</v>
      </c>
      <c r="AA53" s="11" t="s">
        <v>129</v>
      </c>
      <c r="AB53" s="11" t="s">
        <v>170</v>
      </c>
      <c r="AC53" s="11" t="n">
        <v>7</v>
      </c>
      <c r="AD53" s="11" t="n">
        <v>5</v>
      </c>
      <c r="AE53" s="11" t="n">
        <v>9</v>
      </c>
      <c r="AF53" s="11" t="n">
        <v>8</v>
      </c>
      <c r="AG53" s="14"/>
      <c r="AH53" s="14" t="s">
        <v>361</v>
      </c>
    </row>
    <row r="54" customFormat="false" ht="15" hidden="false" customHeight="false" outlineLevel="0" collapsed="false">
      <c r="A54" s="17" t="s">
        <v>362</v>
      </c>
      <c r="B54" s="30" t="n">
        <f aca="false">MIN(10, IF(N54="ativa",5,IF(N54="nova",4,IF(N54="esfriando",2,0)))+IF(L54&gt;=9,3,IF(L54&gt;=3,2,IF(L54&gt;=1,1,0)))+IF(M54&gt;=60,1.5,IF(M54&gt;=30,1,IF(M54&gt;=14,0.5,0)))+IF(V54&gt;=50,1.5,IF(V54&gt;=10,1,IF(V54&gt;=1,0.5,0)))+IF(W54&gt;=4,0.5,0))</f>
        <v>0.5</v>
      </c>
      <c r="C54" s="18" t="n">
        <f aca="false">ROUND(AC54*0.15+AD54*0.25+AE54*0.4+AF54*0.2,1)</f>
        <v>7.3</v>
      </c>
      <c r="D54" s="30" t="n">
        <f aca="false">ROUND(B54*0.45+C54*0.55,1)</f>
        <v>4.2</v>
      </c>
      <c r="E54" s="16" t="str">
        <f aca="false">IF(D54&gt;=7,"Alta",IF(D54&gt;=5,"Media","Baixa"))</f>
        <v>Baixa</v>
      </c>
      <c r="F54" s="19" t="s">
        <v>363</v>
      </c>
      <c r="G54" s="16" t="n">
        <v>1</v>
      </c>
      <c r="H54" s="19" t="s">
        <v>364</v>
      </c>
      <c r="I54" s="16" t="n">
        <v>1</v>
      </c>
      <c r="J54" s="19" t="s">
        <v>28</v>
      </c>
      <c r="K54" s="31" t="s">
        <v>134</v>
      </c>
      <c r="L54" s="16" t="n">
        <v>0</v>
      </c>
      <c r="M54" s="16" t="n">
        <v>0</v>
      </c>
      <c r="N54" s="16" t="s">
        <v>354</v>
      </c>
      <c r="O54" s="16" t="s">
        <v>125</v>
      </c>
      <c r="P54" s="19" t="s">
        <v>64</v>
      </c>
      <c r="Q54" s="19" t="s">
        <v>364</v>
      </c>
      <c r="R54" s="32" t="n">
        <v>25</v>
      </c>
      <c r="S54" s="32" t="n">
        <v>25</v>
      </c>
      <c r="T54" s="33" t="n">
        <v>0.85</v>
      </c>
      <c r="U54" s="19" t="s">
        <v>276</v>
      </c>
      <c r="V54" s="16" t="n">
        <v>6</v>
      </c>
      <c r="W54" s="16" t="n">
        <v>1</v>
      </c>
      <c r="X54" s="16" t="s">
        <v>277</v>
      </c>
      <c r="Y54" s="16" t="s">
        <v>277</v>
      </c>
      <c r="Z54" s="19" t="s">
        <v>137</v>
      </c>
      <c r="AA54" s="16" t="s">
        <v>129</v>
      </c>
      <c r="AB54" s="16" t="s">
        <v>170</v>
      </c>
      <c r="AC54" s="16" t="n">
        <v>3</v>
      </c>
      <c r="AD54" s="16" t="n">
        <v>8</v>
      </c>
      <c r="AE54" s="16" t="n">
        <v>10</v>
      </c>
      <c r="AF54" s="16" t="n">
        <v>4</v>
      </c>
      <c r="AG54" s="19"/>
      <c r="AH54" s="19" t="s">
        <v>365</v>
      </c>
    </row>
    <row r="55" customFormat="false" ht="15" hidden="false" customHeight="false" outlineLevel="0" collapsed="false">
      <c r="A55" s="12" t="s">
        <v>366</v>
      </c>
      <c r="B55" s="34" t="n">
        <f aca="false">MIN(10, IF(N55="ativa",5,IF(N55="nova",4,IF(N55="esfriando",2,0)))+IF(L55&gt;=9,3,IF(L55&gt;=3,2,IF(L55&gt;=1,1,0)))+IF(M55&gt;=60,1.5,IF(M55&gt;=30,1,IF(M55&gt;=14,0.5,0)))+IF(V55&gt;=50,1.5,IF(V55&gt;=10,1,IF(V55&gt;=1,0.5,0)))+IF(W55&gt;=4,0.5,0))</f>
        <v>0.5</v>
      </c>
      <c r="C55" s="13" t="n">
        <f aca="false">ROUND(AC55*0.15+AD55*0.25+AE55*0.4+AF55*0.2,1)</f>
        <v>7.2</v>
      </c>
      <c r="D55" s="34" t="n">
        <f aca="false">ROUND(B55*0.45+C55*0.55,1)</f>
        <v>4.2</v>
      </c>
      <c r="E55" s="11" t="str">
        <f aca="false">IF(D55&gt;=7,"Alta",IF(D55&gt;=5,"Media","Baixa"))</f>
        <v>Baixa</v>
      </c>
      <c r="F55" s="14" t="s">
        <v>367</v>
      </c>
      <c r="G55" s="11" t="n">
        <v>1</v>
      </c>
      <c r="H55" s="14" t="s">
        <v>368</v>
      </c>
      <c r="I55" s="11" t="n">
        <v>1</v>
      </c>
      <c r="J55" s="14" t="s">
        <v>28</v>
      </c>
      <c r="K55" s="35" t="s">
        <v>134</v>
      </c>
      <c r="L55" s="11" t="n">
        <v>0</v>
      </c>
      <c r="M55" s="11" t="n">
        <v>0</v>
      </c>
      <c r="N55" s="11" t="s">
        <v>354</v>
      </c>
      <c r="O55" s="11" t="s">
        <v>125</v>
      </c>
      <c r="P55" s="14" t="s">
        <v>45</v>
      </c>
      <c r="Q55" s="14" t="s">
        <v>368</v>
      </c>
      <c r="R55" s="36" t="n">
        <v>27</v>
      </c>
      <c r="S55" s="36" t="n">
        <v>30</v>
      </c>
      <c r="T55" s="37" t="n">
        <v>0.85</v>
      </c>
      <c r="U55" s="14" t="s">
        <v>276</v>
      </c>
      <c r="V55" s="11" t="n">
        <v>5</v>
      </c>
      <c r="W55" s="11" t="n">
        <v>1</v>
      </c>
      <c r="X55" s="11" t="s">
        <v>277</v>
      </c>
      <c r="Y55" s="11" t="s">
        <v>277</v>
      </c>
      <c r="Z55" s="14" t="s">
        <v>137</v>
      </c>
      <c r="AA55" s="11" t="s">
        <v>129</v>
      </c>
      <c r="AB55" s="11" t="s">
        <v>170</v>
      </c>
      <c r="AC55" s="11" t="n">
        <v>4</v>
      </c>
      <c r="AD55" s="11" t="n">
        <v>8</v>
      </c>
      <c r="AE55" s="11" t="n">
        <v>9</v>
      </c>
      <c r="AF55" s="11" t="n">
        <v>5</v>
      </c>
      <c r="AG55" s="14"/>
      <c r="AH55" s="14" t="s">
        <v>369</v>
      </c>
    </row>
    <row r="56" customFormat="false" ht="15" hidden="false" customHeight="false" outlineLevel="0" collapsed="false">
      <c r="A56" s="17" t="s">
        <v>370</v>
      </c>
      <c r="B56" s="30" t="n">
        <f aca="false">MIN(10, IF(N56="ativa",5,IF(N56="nova",4,IF(N56="esfriando",2,0)))+IF(L56&gt;=9,3,IF(L56&gt;=3,2,IF(L56&gt;=1,1,0)))+IF(M56&gt;=60,1.5,IF(M56&gt;=30,1,IF(M56&gt;=14,0.5,0)))+IF(V56&gt;=50,1.5,IF(V56&gt;=10,1,IF(V56&gt;=1,0.5,0)))+IF(W56&gt;=4,0.5,0))</f>
        <v>0</v>
      </c>
      <c r="C56" s="18" t="n">
        <f aca="false">ROUND(AC56*0.15+AD56*0.25+AE56*0.4+AF56*0.2,1)</f>
        <v>7.7</v>
      </c>
      <c r="D56" s="30" t="n">
        <f aca="false">ROUND(B56*0.45+C56*0.55,1)</f>
        <v>4.2</v>
      </c>
      <c r="E56" s="16" t="str">
        <f aca="false">IF(D56&gt;=7,"Alta",IF(D56&gt;=5,"Media","Baixa"))</f>
        <v>Baixa</v>
      </c>
      <c r="F56" s="19" t="s">
        <v>371</v>
      </c>
      <c r="G56" s="16" t="n">
        <v>1</v>
      </c>
      <c r="H56" s="19" t="s">
        <v>372</v>
      </c>
      <c r="I56" s="16" t="n">
        <v>2</v>
      </c>
      <c r="J56" s="19" t="s">
        <v>28</v>
      </c>
      <c r="K56" s="31" t="s">
        <v>134</v>
      </c>
      <c r="L56" s="16" t="n">
        <v>0</v>
      </c>
      <c r="M56" s="16" t="n">
        <v>0</v>
      </c>
      <c r="N56" s="16" t="s">
        <v>354</v>
      </c>
      <c r="O56" s="16" t="s">
        <v>147</v>
      </c>
      <c r="P56" s="19" t="s">
        <v>41</v>
      </c>
      <c r="Q56" s="19" t="s">
        <v>372</v>
      </c>
      <c r="R56" s="32" t="n">
        <v>19</v>
      </c>
      <c r="S56" s="32" t="n">
        <v>45</v>
      </c>
      <c r="T56" s="33" t="n">
        <v>0.93</v>
      </c>
      <c r="U56" s="19" t="s">
        <v>126</v>
      </c>
      <c r="V56" s="16" t="n">
        <v>0</v>
      </c>
      <c r="W56" s="16" t="n">
        <v>1</v>
      </c>
      <c r="X56" s="16" t="s">
        <v>317</v>
      </c>
      <c r="Y56" s="16" t="s">
        <v>317</v>
      </c>
      <c r="Z56" s="19" t="s">
        <v>355</v>
      </c>
      <c r="AA56" s="16" t="s">
        <v>129</v>
      </c>
      <c r="AB56" s="16" t="s">
        <v>170</v>
      </c>
      <c r="AC56" s="16" t="n">
        <v>5</v>
      </c>
      <c r="AD56" s="16" t="n">
        <v>7</v>
      </c>
      <c r="AE56" s="16" t="n">
        <v>9</v>
      </c>
      <c r="AF56" s="16" t="n">
        <v>8</v>
      </c>
      <c r="AG56" s="19"/>
      <c r="AH56" s="19" t="s">
        <v>373</v>
      </c>
    </row>
    <row r="57" customFormat="false" ht="15" hidden="false" customHeight="false" outlineLevel="0" collapsed="false">
      <c r="A57" s="12" t="s">
        <v>374</v>
      </c>
      <c r="B57" s="34" t="n">
        <f aca="false">MIN(10, IF(N57="ativa",5,IF(N57="nova",4,IF(N57="esfriando",2,0)))+IF(L57&gt;=9,3,IF(L57&gt;=3,2,IF(L57&gt;=1,1,0)))+IF(M57&gt;=60,1.5,IF(M57&gt;=30,1,IF(M57&gt;=14,0.5,0)))+IF(V57&gt;=50,1.5,IF(V57&gt;=10,1,IF(V57&gt;=1,0.5,0)))+IF(W57&gt;=4,0.5,0))</f>
        <v>2.5</v>
      </c>
      <c r="C57" s="13" t="n">
        <f aca="false">ROUND(AC57*0.15+AD57*0.25+AE57*0.4+AF57*0.2,1)</f>
        <v>5.6</v>
      </c>
      <c r="D57" s="34" t="n">
        <f aca="false">ROUND(B57*0.45+C57*0.55,1)</f>
        <v>4.2</v>
      </c>
      <c r="E57" s="11" t="str">
        <f aca="false">IF(D57&gt;=7,"Alta",IF(D57&gt;=5,"Media","Baixa"))</f>
        <v>Baixa</v>
      </c>
      <c r="F57" s="14" t="s">
        <v>375</v>
      </c>
      <c r="G57" s="11" t="n">
        <v>1</v>
      </c>
      <c r="H57" s="14" t="s">
        <v>376</v>
      </c>
      <c r="I57" s="11" t="n">
        <v>1</v>
      </c>
      <c r="J57" s="14" t="s">
        <v>28</v>
      </c>
      <c r="K57" s="35" t="s">
        <v>134</v>
      </c>
      <c r="L57" s="11" t="n">
        <v>0</v>
      </c>
      <c r="M57" s="11" t="n">
        <v>0</v>
      </c>
      <c r="N57" s="11" t="s">
        <v>275</v>
      </c>
      <c r="O57" s="11" t="s">
        <v>125</v>
      </c>
      <c r="P57" s="14" t="s">
        <v>79</v>
      </c>
      <c r="Q57" s="14" t="s">
        <v>376</v>
      </c>
      <c r="R57" s="36" t="n">
        <v>0</v>
      </c>
      <c r="S57" s="36" t="n">
        <v>0</v>
      </c>
      <c r="T57" s="37" t="n">
        <v>0.95</v>
      </c>
      <c r="U57" s="14" t="s">
        <v>152</v>
      </c>
      <c r="V57" s="11" t="n">
        <v>1</v>
      </c>
      <c r="W57" s="11" t="n">
        <v>1</v>
      </c>
      <c r="X57" s="11" t="s">
        <v>377</v>
      </c>
      <c r="Y57" s="11" t="s">
        <v>377</v>
      </c>
      <c r="Z57" s="14" t="s">
        <v>213</v>
      </c>
      <c r="AA57" s="11" t="s">
        <v>129</v>
      </c>
      <c r="AB57" s="11" t="s">
        <v>12</v>
      </c>
      <c r="AC57" s="11" t="n">
        <v>0</v>
      </c>
      <c r="AD57" s="11" t="n">
        <v>3</v>
      </c>
      <c r="AE57" s="11" t="n">
        <v>9</v>
      </c>
      <c r="AF57" s="11" t="n">
        <v>6</v>
      </c>
      <c r="AG57" s="14"/>
      <c r="AH57" s="14" t="s">
        <v>378</v>
      </c>
    </row>
    <row r="58" customFormat="false" ht="15" hidden="false" customHeight="false" outlineLevel="0" collapsed="false">
      <c r="A58" s="17" t="s">
        <v>379</v>
      </c>
      <c r="B58" s="30" t="n">
        <f aca="false">MIN(10, IF(N58="ativa",5,IF(N58="nova",4,IF(N58="esfriando",2,0)))+IF(L58&gt;=9,3,IF(L58&gt;=3,2,IF(L58&gt;=1,1,0)))+IF(M58&gt;=60,1.5,IF(M58&gt;=30,1,IF(M58&gt;=14,0.5,0)))+IF(V58&gt;=50,1.5,IF(V58&gt;=10,1,IF(V58&gt;=1,0.5,0)))+IF(W58&gt;=4,0.5,0))</f>
        <v>3</v>
      </c>
      <c r="C58" s="18" t="n">
        <f aca="false">ROUND(AC58*0.15+AD58*0.25+AE58*0.4+AF58*0.2,1)</f>
        <v>5.3</v>
      </c>
      <c r="D58" s="30" t="n">
        <f aca="false">ROUND(B58*0.45+C58*0.55,1)</f>
        <v>4.3</v>
      </c>
      <c r="E58" s="16" t="str">
        <f aca="false">IF(D58&gt;=7,"Alta",IF(D58&gt;=5,"Media","Baixa"))</f>
        <v>Baixa</v>
      </c>
      <c r="F58" s="19" t="s">
        <v>380</v>
      </c>
      <c r="G58" s="16" t="n">
        <v>1</v>
      </c>
      <c r="H58" s="19" t="s">
        <v>381</v>
      </c>
      <c r="I58" s="16" t="n">
        <v>1</v>
      </c>
      <c r="J58" s="31" t="s">
        <v>122</v>
      </c>
      <c r="K58" s="31" t="s">
        <v>134</v>
      </c>
      <c r="L58" s="16" t="n">
        <v>0</v>
      </c>
      <c r="M58" s="16" t="n">
        <v>0</v>
      </c>
      <c r="N58" s="16" t="s">
        <v>275</v>
      </c>
      <c r="O58" s="16" t="s">
        <v>125</v>
      </c>
      <c r="P58" s="19" t="s">
        <v>66</v>
      </c>
      <c r="Q58" s="19" t="s">
        <v>381</v>
      </c>
      <c r="R58" s="32" t="n">
        <v>37</v>
      </c>
      <c r="S58" s="32" t="n">
        <v>75</v>
      </c>
      <c r="T58" s="33" t="n">
        <v>0.85</v>
      </c>
      <c r="U58" s="19" t="s">
        <v>210</v>
      </c>
      <c r="V58" s="16" t="n">
        <v>7</v>
      </c>
      <c r="W58" s="16" t="n">
        <v>5</v>
      </c>
      <c r="X58" s="16" t="s">
        <v>277</v>
      </c>
      <c r="Y58" s="16" t="s">
        <v>377</v>
      </c>
      <c r="Z58" s="19" t="s">
        <v>213</v>
      </c>
      <c r="AA58" s="16" t="s">
        <v>129</v>
      </c>
      <c r="AB58" s="16" t="s">
        <v>12</v>
      </c>
      <c r="AC58" s="16" t="n">
        <v>7</v>
      </c>
      <c r="AD58" s="16" t="n">
        <v>8</v>
      </c>
      <c r="AE58" s="16" t="n">
        <v>4</v>
      </c>
      <c r="AF58" s="16" t="n">
        <v>3</v>
      </c>
      <c r="AG58" s="19"/>
      <c r="AH58" s="19" t="s">
        <v>382</v>
      </c>
    </row>
    <row r="59" customFormat="false" ht="15" hidden="false" customHeight="false" outlineLevel="0" collapsed="false">
      <c r="A59" s="12" t="s">
        <v>383</v>
      </c>
      <c r="B59" s="34" t="n">
        <f aca="false">MIN(10, IF(N59="ativa",5,IF(N59="nova",4,IF(N59="esfriando",2,0)))+IF(L59&gt;=9,3,IF(L59&gt;=3,2,IF(L59&gt;=1,1,0)))+IF(M59&gt;=60,1.5,IF(M59&gt;=30,1,IF(M59&gt;=14,0.5,0)))+IF(V59&gt;=50,1.5,IF(V59&gt;=10,1,IF(V59&gt;=1,0.5,0)))+IF(W59&gt;=4,0.5,0))</f>
        <v>5.5</v>
      </c>
      <c r="C59" s="13" t="n">
        <f aca="false">ROUND(AC59*0.15+AD59*0.25+AE59*0.4+AF59*0.2,1)</f>
        <v>3</v>
      </c>
      <c r="D59" s="34" t="n">
        <f aca="false">ROUND(B59*0.45+C59*0.55,1)</f>
        <v>4.1</v>
      </c>
      <c r="E59" s="11" t="str">
        <f aca="false">IF(D59&gt;=7,"Alta",IF(D59&gt;=5,"Media","Baixa"))</f>
        <v>Baixa</v>
      </c>
      <c r="F59" s="14" t="s">
        <v>384</v>
      </c>
      <c r="G59" s="11" t="n">
        <v>1</v>
      </c>
      <c r="H59" s="14" t="s">
        <v>385</v>
      </c>
      <c r="I59" s="11" t="n">
        <v>1</v>
      </c>
      <c r="J59" s="14" t="s">
        <v>28</v>
      </c>
      <c r="K59" s="35" t="s">
        <v>134</v>
      </c>
      <c r="L59" s="11" t="n">
        <v>0</v>
      </c>
      <c r="M59" s="11" t="n">
        <v>0</v>
      </c>
      <c r="N59" s="11" t="s">
        <v>141</v>
      </c>
      <c r="O59" s="11" t="s">
        <v>125</v>
      </c>
      <c r="P59" s="14" t="s">
        <v>80</v>
      </c>
      <c r="Q59" s="14" t="s">
        <v>385</v>
      </c>
      <c r="R59" s="36" t="n">
        <v>0</v>
      </c>
      <c r="S59" s="36" t="n">
        <v>0</v>
      </c>
      <c r="T59" s="37" t="n">
        <v>0.85</v>
      </c>
      <c r="U59" s="14" t="s">
        <v>210</v>
      </c>
      <c r="V59" s="11" t="n">
        <v>1</v>
      </c>
      <c r="W59" s="11" t="n">
        <v>3</v>
      </c>
      <c r="X59" s="11" t="s">
        <v>232</v>
      </c>
      <c r="Y59" s="11" t="s">
        <v>212</v>
      </c>
      <c r="Z59" s="14" t="s">
        <v>213</v>
      </c>
      <c r="AA59" s="11" t="s">
        <v>129</v>
      </c>
      <c r="AB59" s="11" t="s">
        <v>12</v>
      </c>
      <c r="AC59" s="11" t="n">
        <v>0</v>
      </c>
      <c r="AD59" s="11" t="n">
        <v>3</v>
      </c>
      <c r="AE59" s="11" t="n">
        <v>4</v>
      </c>
      <c r="AF59" s="11" t="n">
        <v>3</v>
      </c>
      <c r="AG59" s="14"/>
      <c r="AH59" s="14" t="s">
        <v>386</v>
      </c>
    </row>
    <row r="60" customFormat="false" ht="15" hidden="false" customHeight="false" outlineLevel="0" collapsed="false">
      <c r="A60" s="17" t="s">
        <v>387</v>
      </c>
      <c r="B60" s="30" t="n">
        <f aca="false">MIN(10, IF(N60="ativa",5,IF(N60="nova",4,IF(N60="esfriando",2,0)))+IF(L60&gt;=9,3,IF(L60&gt;=3,2,IF(L60&gt;=1,1,0)))+IF(M60&gt;=60,1.5,IF(M60&gt;=30,1,IF(M60&gt;=14,0.5,0)))+IF(V60&gt;=50,1.5,IF(V60&gt;=10,1,IF(V60&gt;=1,0.5,0)))+IF(W60&gt;=4,0.5,0))</f>
        <v>2.5</v>
      </c>
      <c r="C60" s="18" t="n">
        <f aca="false">ROUND(AC60*0.15+AD60*0.25+AE60*0.4+AF60*0.2,1)</f>
        <v>5.4</v>
      </c>
      <c r="D60" s="30" t="n">
        <f aca="false">ROUND(B60*0.45+C60*0.55,1)</f>
        <v>4.1</v>
      </c>
      <c r="E60" s="16" t="str">
        <f aca="false">IF(D60&gt;=7,"Alta",IF(D60&gt;=5,"Media","Baixa"))</f>
        <v>Baixa</v>
      </c>
      <c r="F60" s="19" t="s">
        <v>388</v>
      </c>
      <c r="G60" s="16" t="n">
        <v>1</v>
      </c>
      <c r="H60" s="19" t="s">
        <v>389</v>
      </c>
      <c r="I60" s="16" t="n">
        <v>1</v>
      </c>
      <c r="J60" s="19" t="s">
        <v>28</v>
      </c>
      <c r="K60" s="31" t="s">
        <v>134</v>
      </c>
      <c r="L60" s="16" t="n">
        <v>0</v>
      </c>
      <c r="M60" s="16" t="n">
        <v>0</v>
      </c>
      <c r="N60" s="16" t="s">
        <v>275</v>
      </c>
      <c r="O60" s="16" t="s">
        <v>125</v>
      </c>
      <c r="P60" s="19" t="s">
        <v>81</v>
      </c>
      <c r="Q60" s="19" t="s">
        <v>389</v>
      </c>
      <c r="R60" s="32" t="n">
        <v>0</v>
      </c>
      <c r="S60" s="32" t="n">
        <v>0</v>
      </c>
      <c r="T60" s="33" t="n">
        <v>0.85</v>
      </c>
      <c r="U60" s="19" t="s">
        <v>135</v>
      </c>
      <c r="V60" s="16" t="n">
        <v>1</v>
      </c>
      <c r="W60" s="16" t="n">
        <v>2</v>
      </c>
      <c r="X60" s="16" t="s">
        <v>377</v>
      </c>
      <c r="Y60" s="16" t="s">
        <v>232</v>
      </c>
      <c r="Z60" s="19" t="s">
        <v>128</v>
      </c>
      <c r="AA60" s="16" t="s">
        <v>129</v>
      </c>
      <c r="AB60" s="16" t="s">
        <v>12</v>
      </c>
      <c r="AC60" s="16" t="n">
        <v>0</v>
      </c>
      <c r="AD60" s="16" t="n">
        <v>4</v>
      </c>
      <c r="AE60" s="16" t="n">
        <v>7</v>
      </c>
      <c r="AF60" s="16" t="n">
        <v>8</v>
      </c>
      <c r="AG60" s="19"/>
      <c r="AH60" s="19" t="s">
        <v>390</v>
      </c>
    </row>
    <row r="61" customFormat="false" ht="15" hidden="false" customHeight="false" outlineLevel="0" collapsed="false">
      <c r="A61" s="12" t="s">
        <v>391</v>
      </c>
      <c r="B61" s="34" t="n">
        <f aca="false">MIN(10, IF(N61="ativa",5,IF(N61="nova",4,IF(N61="esfriando",2,0)))+IF(L61&gt;=9,3,IF(L61&gt;=3,2,IF(L61&gt;=1,1,0)))+IF(M61&gt;=60,1.5,IF(M61&gt;=30,1,IF(M61&gt;=14,0.5,0)))+IF(V61&gt;=50,1.5,IF(V61&gt;=10,1,IF(V61&gt;=1,0.5,0)))+IF(W61&gt;=4,0.5,0))</f>
        <v>0.5</v>
      </c>
      <c r="C61" s="13" t="n">
        <f aca="false">ROUND(AC61*0.15+AD61*0.25+AE61*0.4+AF61*0.2,1)</f>
        <v>7.1</v>
      </c>
      <c r="D61" s="34" t="n">
        <f aca="false">ROUND(B61*0.45+C61*0.55,1)</f>
        <v>4.1</v>
      </c>
      <c r="E61" s="11" t="str">
        <f aca="false">IF(D61&gt;=7,"Alta",IF(D61&gt;=5,"Media","Baixa"))</f>
        <v>Baixa</v>
      </c>
      <c r="F61" s="14" t="s">
        <v>392</v>
      </c>
      <c r="G61" s="11" t="n">
        <v>1</v>
      </c>
      <c r="H61" s="14" t="s">
        <v>393</v>
      </c>
      <c r="I61" s="11" t="n">
        <v>1</v>
      </c>
      <c r="J61" s="14" t="s">
        <v>28</v>
      </c>
      <c r="K61" s="35" t="s">
        <v>134</v>
      </c>
      <c r="L61" s="11" t="n">
        <v>0</v>
      </c>
      <c r="M61" s="11" t="n">
        <v>0</v>
      </c>
      <c r="N61" s="11" t="s">
        <v>354</v>
      </c>
      <c r="O61" s="11" t="s">
        <v>125</v>
      </c>
      <c r="P61" s="14" t="s">
        <v>82</v>
      </c>
      <c r="Q61" s="14" t="s">
        <v>393</v>
      </c>
      <c r="R61" s="36" t="n">
        <v>0</v>
      </c>
      <c r="S61" s="36" t="n">
        <v>30</v>
      </c>
      <c r="T61" s="37" t="n">
        <v>0.85</v>
      </c>
      <c r="U61" s="14" t="s">
        <v>276</v>
      </c>
      <c r="V61" s="11" t="n">
        <v>2</v>
      </c>
      <c r="W61" s="11" t="n">
        <v>2</v>
      </c>
      <c r="X61" s="11" t="s">
        <v>277</v>
      </c>
      <c r="Y61" s="11" t="s">
        <v>345</v>
      </c>
      <c r="Z61" s="14"/>
      <c r="AA61" s="11" t="s">
        <v>129</v>
      </c>
      <c r="AB61" s="11" t="s">
        <v>12</v>
      </c>
      <c r="AC61" s="11" t="n">
        <v>4</v>
      </c>
      <c r="AD61" s="11" t="n">
        <v>6</v>
      </c>
      <c r="AE61" s="11" t="n">
        <v>9</v>
      </c>
      <c r="AF61" s="11" t="n">
        <v>7</v>
      </c>
      <c r="AG61" s="14"/>
      <c r="AH61" s="14" t="s">
        <v>394</v>
      </c>
    </row>
    <row r="62" customFormat="false" ht="15" hidden="false" customHeight="false" outlineLevel="0" collapsed="false">
      <c r="A62" s="17" t="s">
        <v>395</v>
      </c>
      <c r="B62" s="30" t="n">
        <f aca="false">MIN(10, IF(N62="ativa",5,IF(N62="nova",4,IF(N62="esfriando",2,0)))+IF(L62&gt;=9,3,IF(L62&gt;=3,2,IF(L62&gt;=1,1,0)))+IF(M62&gt;=60,1.5,IF(M62&gt;=30,1,IF(M62&gt;=14,0.5,0)))+IF(V62&gt;=50,1.5,IF(V62&gt;=10,1,IF(V62&gt;=1,0.5,0)))+IF(W62&gt;=4,0.5,0))</f>
        <v>2.5</v>
      </c>
      <c r="C62" s="18" t="n">
        <f aca="false">ROUND(AC62*0.15+AD62*0.25+AE62*0.4+AF62*0.2,1)</f>
        <v>5.4</v>
      </c>
      <c r="D62" s="30" t="n">
        <f aca="false">ROUND(B62*0.45+C62*0.55,1)</f>
        <v>4.1</v>
      </c>
      <c r="E62" s="16" t="str">
        <f aca="false">IF(D62&gt;=7,"Alta",IF(D62&gt;=5,"Media","Baixa"))</f>
        <v>Baixa</v>
      </c>
      <c r="F62" s="19" t="s">
        <v>396</v>
      </c>
      <c r="G62" s="16" t="n">
        <v>1</v>
      </c>
      <c r="H62" s="19" t="s">
        <v>397</v>
      </c>
      <c r="I62" s="16" t="n">
        <v>1</v>
      </c>
      <c r="J62" s="19" t="s">
        <v>28</v>
      </c>
      <c r="K62" s="31" t="s">
        <v>134</v>
      </c>
      <c r="L62" s="16" t="n">
        <v>0</v>
      </c>
      <c r="M62" s="16" t="n">
        <v>0</v>
      </c>
      <c r="N62" s="16" t="s">
        <v>275</v>
      </c>
      <c r="O62" s="16" t="s">
        <v>125</v>
      </c>
      <c r="P62" s="19" t="s">
        <v>51</v>
      </c>
      <c r="Q62" s="19" t="s">
        <v>397</v>
      </c>
      <c r="R62" s="32" t="n">
        <v>0</v>
      </c>
      <c r="S62" s="32" t="n">
        <v>0</v>
      </c>
      <c r="T62" s="33" t="n">
        <v>0.95</v>
      </c>
      <c r="U62" s="19" t="s">
        <v>152</v>
      </c>
      <c r="V62" s="16" t="n">
        <v>1</v>
      </c>
      <c r="W62" s="16" t="n">
        <v>2</v>
      </c>
      <c r="X62" s="16" t="s">
        <v>323</v>
      </c>
      <c r="Y62" s="16" t="s">
        <v>377</v>
      </c>
      <c r="Z62" s="19" t="s">
        <v>128</v>
      </c>
      <c r="AA62" s="16" t="s">
        <v>129</v>
      </c>
      <c r="AB62" s="16" t="s">
        <v>12</v>
      </c>
      <c r="AC62" s="16" t="n">
        <v>0</v>
      </c>
      <c r="AD62" s="16" t="n">
        <v>3</v>
      </c>
      <c r="AE62" s="16" t="n">
        <v>8</v>
      </c>
      <c r="AF62" s="16" t="n">
        <v>7</v>
      </c>
      <c r="AG62" s="19"/>
      <c r="AH62" s="19" t="s">
        <v>398</v>
      </c>
    </row>
    <row r="63" customFormat="false" ht="15" hidden="false" customHeight="false" outlineLevel="0" collapsed="false">
      <c r="A63" s="12" t="s">
        <v>399</v>
      </c>
      <c r="B63" s="34" t="n">
        <f aca="false">MIN(10, IF(N63="ativa",5,IF(N63="nova",4,IF(N63="esfriando",2,0)))+IF(L63&gt;=9,3,IF(L63&gt;=3,2,IF(L63&gt;=1,1,0)))+IF(M63&gt;=60,1.5,IF(M63&gt;=30,1,IF(M63&gt;=14,0.5,0)))+IF(V63&gt;=50,1.5,IF(V63&gt;=10,1,IF(V63&gt;=1,0.5,0)))+IF(W63&gt;=4,0.5,0))</f>
        <v>0.5</v>
      </c>
      <c r="C63" s="13" t="n">
        <f aca="false">ROUND(AC63*0.15+AD63*0.25+AE63*0.4+AF63*0.2,1)</f>
        <v>7.2</v>
      </c>
      <c r="D63" s="34" t="n">
        <f aca="false">ROUND(B63*0.45+C63*0.55,1)</f>
        <v>4.2</v>
      </c>
      <c r="E63" s="11" t="str">
        <f aca="false">IF(D63&gt;=7,"Alta",IF(D63&gt;=5,"Media","Baixa"))</f>
        <v>Baixa</v>
      </c>
      <c r="F63" s="14" t="s">
        <v>400</v>
      </c>
      <c r="G63" s="11" t="n">
        <v>1</v>
      </c>
      <c r="H63" s="14" t="s">
        <v>401</v>
      </c>
      <c r="I63" s="11" t="n">
        <v>1</v>
      </c>
      <c r="J63" s="35" t="s">
        <v>122</v>
      </c>
      <c r="K63" s="35" t="s">
        <v>134</v>
      </c>
      <c r="L63" s="11" t="n">
        <v>0</v>
      </c>
      <c r="M63" s="11" t="n">
        <v>0</v>
      </c>
      <c r="N63" s="11" t="s">
        <v>354</v>
      </c>
      <c r="O63" s="11" t="s">
        <v>147</v>
      </c>
      <c r="P63" s="14" t="s">
        <v>41</v>
      </c>
      <c r="Q63" s="14" t="s">
        <v>401</v>
      </c>
      <c r="R63" s="36" t="n">
        <v>37</v>
      </c>
      <c r="S63" s="36" t="n">
        <v>37</v>
      </c>
      <c r="T63" s="37" t="n">
        <v>0.95</v>
      </c>
      <c r="U63" s="14" t="s">
        <v>152</v>
      </c>
      <c r="V63" s="11" t="n">
        <v>1</v>
      </c>
      <c r="W63" s="11" t="n">
        <v>1</v>
      </c>
      <c r="X63" s="11" t="s">
        <v>317</v>
      </c>
      <c r="Y63" s="11" t="s">
        <v>317</v>
      </c>
      <c r="Z63" s="14" t="s">
        <v>307</v>
      </c>
      <c r="AA63" s="11" t="s">
        <v>129</v>
      </c>
      <c r="AB63" s="11" t="s">
        <v>12</v>
      </c>
      <c r="AC63" s="11" t="n">
        <v>4</v>
      </c>
      <c r="AD63" s="11" t="n">
        <v>7</v>
      </c>
      <c r="AE63" s="11" t="n">
        <v>9</v>
      </c>
      <c r="AF63" s="11" t="n">
        <v>6</v>
      </c>
      <c r="AG63" s="14"/>
      <c r="AH63" s="14" t="s">
        <v>402</v>
      </c>
    </row>
    <row r="64" customFormat="false" ht="15" hidden="false" customHeight="false" outlineLevel="0" collapsed="false">
      <c r="A64" s="17" t="s">
        <v>403</v>
      </c>
      <c r="B64" s="30" t="n">
        <f aca="false">MIN(10, IF(N64="ativa",5,IF(N64="nova",4,IF(N64="esfriando",2,0)))+IF(L64&gt;=9,3,IF(L64&gt;=3,2,IF(L64&gt;=1,1,0)))+IF(M64&gt;=60,1.5,IF(M64&gt;=30,1,IF(M64&gt;=14,0.5,0)))+IF(V64&gt;=50,1.5,IF(V64&gt;=10,1,IF(V64&gt;=1,0.5,0)))+IF(W64&gt;=4,0.5,0))</f>
        <v>3</v>
      </c>
      <c r="C64" s="18" t="n">
        <f aca="false">ROUND(AC64*0.15+AD64*0.25+AE64*0.4+AF64*0.2,1)</f>
        <v>4.9</v>
      </c>
      <c r="D64" s="30" t="n">
        <f aca="false">ROUND(B64*0.45+C64*0.55,1)</f>
        <v>4</v>
      </c>
      <c r="E64" s="16" t="str">
        <f aca="false">IF(D64&gt;=7,"Alta",IF(D64&gt;=5,"Media","Baixa"))</f>
        <v>Baixa</v>
      </c>
      <c r="F64" s="19" t="s">
        <v>404</v>
      </c>
      <c r="G64" s="16" t="n">
        <v>1</v>
      </c>
      <c r="H64" s="19" t="s">
        <v>405</v>
      </c>
      <c r="I64" s="16" t="n">
        <v>1</v>
      </c>
      <c r="J64" s="19" t="s">
        <v>28</v>
      </c>
      <c r="K64" s="31" t="s">
        <v>134</v>
      </c>
      <c r="L64" s="16" t="n">
        <v>0</v>
      </c>
      <c r="M64" s="16" t="n">
        <v>0</v>
      </c>
      <c r="N64" s="16" t="s">
        <v>275</v>
      </c>
      <c r="O64" s="16" t="s">
        <v>184</v>
      </c>
      <c r="P64" s="19" t="s">
        <v>67</v>
      </c>
      <c r="Q64" s="19" t="s">
        <v>405</v>
      </c>
      <c r="R64" s="32" t="n">
        <v>10</v>
      </c>
      <c r="S64" s="32" t="n">
        <v>20</v>
      </c>
      <c r="T64" s="33" t="n">
        <v>0.85</v>
      </c>
      <c r="U64" s="19" t="s">
        <v>316</v>
      </c>
      <c r="V64" s="16" t="n">
        <v>9</v>
      </c>
      <c r="W64" s="16" t="n">
        <v>5</v>
      </c>
      <c r="X64" s="16" t="s">
        <v>277</v>
      </c>
      <c r="Y64" s="16" t="s">
        <v>232</v>
      </c>
      <c r="Z64" s="19" t="s">
        <v>213</v>
      </c>
      <c r="AA64" s="16" t="s">
        <v>191</v>
      </c>
      <c r="AB64" s="16" t="s">
        <v>170</v>
      </c>
      <c r="AC64" s="16" t="n">
        <v>3</v>
      </c>
      <c r="AD64" s="16" t="n">
        <v>8</v>
      </c>
      <c r="AE64" s="16" t="n">
        <v>3</v>
      </c>
      <c r="AF64" s="16" t="n">
        <v>6</v>
      </c>
      <c r="AG64" s="19"/>
      <c r="AH64" s="19" t="s">
        <v>406</v>
      </c>
    </row>
    <row r="65" customFormat="false" ht="15" hidden="false" customHeight="false" outlineLevel="0" collapsed="false">
      <c r="A65" s="12" t="s">
        <v>407</v>
      </c>
      <c r="B65" s="34" t="n">
        <f aca="false">MIN(10, IF(N65="ativa",5,IF(N65="nova",4,IF(N65="esfriando",2,0)))+IF(L65&gt;=9,3,IF(L65&gt;=3,2,IF(L65&gt;=1,1,0)))+IF(M65&gt;=60,1.5,IF(M65&gt;=30,1,IF(M65&gt;=14,0.5,0)))+IF(V65&gt;=50,1.5,IF(V65&gt;=10,1,IF(V65&gt;=1,0.5,0)))+IF(W65&gt;=4,0.5,0))</f>
        <v>0</v>
      </c>
      <c r="C65" s="13" t="n">
        <f aca="false">ROUND(AC65*0.15+AD65*0.25+AE65*0.4+AF65*0.2,1)</f>
        <v>7</v>
      </c>
      <c r="D65" s="34" t="n">
        <f aca="false">ROUND(B65*0.45+C65*0.55,1)</f>
        <v>3.9</v>
      </c>
      <c r="E65" s="11" t="str">
        <f aca="false">IF(D65&gt;=7,"Alta",IF(D65&gt;=5,"Media","Baixa"))</f>
        <v>Baixa</v>
      </c>
      <c r="F65" s="14" t="s">
        <v>408</v>
      </c>
      <c r="G65" s="11" t="n">
        <v>1</v>
      </c>
      <c r="H65" s="14" t="s">
        <v>409</v>
      </c>
      <c r="I65" s="11" t="n">
        <v>1</v>
      </c>
      <c r="J65" s="35" t="s">
        <v>122</v>
      </c>
      <c r="K65" s="35" t="s">
        <v>134</v>
      </c>
      <c r="L65" s="11" t="n">
        <v>0</v>
      </c>
      <c r="M65" s="11" t="n">
        <v>0</v>
      </c>
      <c r="N65" s="11" t="s">
        <v>354</v>
      </c>
      <c r="O65" s="11" t="s">
        <v>147</v>
      </c>
      <c r="P65" s="14" t="s">
        <v>59</v>
      </c>
      <c r="Q65" s="14" t="s">
        <v>409</v>
      </c>
      <c r="R65" s="36" t="n">
        <v>10</v>
      </c>
      <c r="S65" s="36" t="n">
        <v>38</v>
      </c>
      <c r="T65" s="37" t="n">
        <v>0.92</v>
      </c>
      <c r="U65" s="14" t="s">
        <v>165</v>
      </c>
      <c r="V65" s="11" t="n">
        <v>0</v>
      </c>
      <c r="W65" s="11" t="n">
        <v>1</v>
      </c>
      <c r="X65" s="11" t="s">
        <v>277</v>
      </c>
      <c r="Y65" s="11" t="s">
        <v>277</v>
      </c>
      <c r="Z65" s="14" t="s">
        <v>307</v>
      </c>
      <c r="AA65" s="11" t="s">
        <v>129</v>
      </c>
      <c r="AB65" s="11" t="s">
        <v>12</v>
      </c>
      <c r="AC65" s="11" t="n">
        <v>4</v>
      </c>
      <c r="AD65" s="11" t="n">
        <v>7</v>
      </c>
      <c r="AE65" s="11" t="n">
        <v>8</v>
      </c>
      <c r="AF65" s="11" t="n">
        <v>7</v>
      </c>
      <c r="AG65" s="14"/>
      <c r="AH65" s="14" t="s">
        <v>410</v>
      </c>
    </row>
    <row r="66" customFormat="false" ht="15" hidden="false" customHeight="false" outlineLevel="0" collapsed="false">
      <c r="A66" s="17" t="s">
        <v>411</v>
      </c>
      <c r="B66" s="30" t="n">
        <f aca="false">MIN(10, IF(N66="ativa",5,IF(N66="nova",4,IF(N66="esfriando",2,0)))+IF(L66&gt;=9,3,IF(L66&gt;=3,2,IF(L66&gt;=1,1,0)))+IF(M66&gt;=60,1.5,IF(M66&gt;=30,1,IF(M66&gt;=14,0.5,0)))+IF(V66&gt;=50,1.5,IF(V66&gt;=10,1,IF(V66&gt;=1,0.5,0)))+IF(W66&gt;=4,0.5,0))</f>
        <v>2.5</v>
      </c>
      <c r="C66" s="18" t="n">
        <f aca="false">ROUND(AC66*0.15+AD66*0.25+AE66*0.4+AF66*0.2,1)</f>
        <v>5.2</v>
      </c>
      <c r="D66" s="30" t="n">
        <f aca="false">ROUND(B66*0.45+C66*0.55,1)</f>
        <v>4</v>
      </c>
      <c r="E66" s="16" t="str">
        <f aca="false">IF(D66&gt;=7,"Alta",IF(D66&gt;=5,"Media","Baixa"))</f>
        <v>Baixa</v>
      </c>
      <c r="F66" s="19" t="s">
        <v>412</v>
      </c>
      <c r="G66" s="16" t="n">
        <v>1</v>
      </c>
      <c r="H66" s="19" t="s">
        <v>413</v>
      </c>
      <c r="I66" s="16" t="n">
        <v>1</v>
      </c>
      <c r="J66" s="19" t="s">
        <v>28</v>
      </c>
      <c r="K66" s="31" t="s">
        <v>134</v>
      </c>
      <c r="L66" s="16" t="n">
        <v>0</v>
      </c>
      <c r="M66" s="16" t="n">
        <v>0</v>
      </c>
      <c r="N66" s="16" t="s">
        <v>275</v>
      </c>
      <c r="O66" s="16" t="s">
        <v>125</v>
      </c>
      <c r="P66" s="19" t="s">
        <v>83</v>
      </c>
      <c r="Q66" s="19" t="s">
        <v>413</v>
      </c>
      <c r="R66" s="32" t="n">
        <v>0</v>
      </c>
      <c r="S66" s="32" t="n">
        <v>0</v>
      </c>
      <c r="T66" s="33" t="n">
        <v>0.9</v>
      </c>
      <c r="U66" s="19" t="s">
        <v>152</v>
      </c>
      <c r="V66" s="16" t="n">
        <v>1</v>
      </c>
      <c r="W66" s="16" t="n">
        <v>2</v>
      </c>
      <c r="X66" s="16" t="s">
        <v>232</v>
      </c>
      <c r="Y66" s="16" t="s">
        <v>211</v>
      </c>
      <c r="Z66" s="19" t="s">
        <v>414</v>
      </c>
      <c r="AA66" s="16" t="s">
        <v>129</v>
      </c>
      <c r="AB66" s="16" t="s">
        <v>12</v>
      </c>
      <c r="AC66" s="16" t="n">
        <v>0</v>
      </c>
      <c r="AD66" s="16" t="n">
        <v>3</v>
      </c>
      <c r="AE66" s="16" t="n">
        <v>9</v>
      </c>
      <c r="AF66" s="16" t="n">
        <v>4</v>
      </c>
      <c r="AG66" s="19"/>
      <c r="AH66" s="19" t="s">
        <v>415</v>
      </c>
    </row>
    <row r="67" customFormat="false" ht="15" hidden="false" customHeight="false" outlineLevel="0" collapsed="false">
      <c r="A67" s="12" t="s">
        <v>416</v>
      </c>
      <c r="B67" s="34" t="n">
        <f aca="false">MIN(10, IF(N67="ativa",5,IF(N67="nova",4,IF(N67="esfriando",2,0)))+IF(L67&gt;=9,3,IF(L67&gt;=3,2,IF(L67&gt;=1,1,0)))+IF(M67&gt;=60,1.5,IF(M67&gt;=30,1,IF(M67&gt;=14,0.5,0)))+IF(V67&gt;=50,1.5,IF(V67&gt;=10,1,IF(V67&gt;=1,0.5,0)))+IF(W67&gt;=4,0.5,0))</f>
        <v>0.5</v>
      </c>
      <c r="C67" s="13" t="n">
        <f aca="false">ROUND(AC67*0.15+AD67*0.25+AE67*0.4+AF67*0.2,1)</f>
        <v>6.6</v>
      </c>
      <c r="D67" s="34" t="n">
        <f aca="false">ROUND(B67*0.45+C67*0.55,1)</f>
        <v>3.9</v>
      </c>
      <c r="E67" s="11" t="str">
        <f aca="false">IF(D67&gt;=7,"Alta",IF(D67&gt;=5,"Media","Baixa"))</f>
        <v>Baixa</v>
      </c>
      <c r="F67" s="14" t="s">
        <v>417</v>
      </c>
      <c r="G67" s="11" t="n">
        <v>1</v>
      </c>
      <c r="H67" s="14" t="s">
        <v>70</v>
      </c>
      <c r="I67" s="11" t="n">
        <v>1</v>
      </c>
      <c r="J67" s="14" t="s">
        <v>28</v>
      </c>
      <c r="K67" s="35" t="s">
        <v>134</v>
      </c>
      <c r="L67" s="11" t="n">
        <v>0</v>
      </c>
      <c r="M67" s="11" t="n">
        <v>0</v>
      </c>
      <c r="N67" s="11" t="s">
        <v>354</v>
      </c>
      <c r="O67" s="11" t="s">
        <v>125</v>
      </c>
      <c r="P67" s="14" t="s">
        <v>68</v>
      </c>
      <c r="Q67" s="14" t="s">
        <v>70</v>
      </c>
      <c r="R67" s="36" t="n">
        <v>0</v>
      </c>
      <c r="S67" s="36" t="n">
        <v>60</v>
      </c>
      <c r="T67" s="37" t="n">
        <v>0.85</v>
      </c>
      <c r="U67" s="14" t="s">
        <v>135</v>
      </c>
      <c r="V67" s="11" t="n">
        <v>4</v>
      </c>
      <c r="W67" s="11" t="n">
        <v>1</v>
      </c>
      <c r="X67" s="11" t="s">
        <v>277</v>
      </c>
      <c r="Y67" s="11" t="s">
        <v>277</v>
      </c>
      <c r="Z67" s="14"/>
      <c r="AA67" s="11" t="s">
        <v>129</v>
      </c>
      <c r="AB67" s="11" t="s">
        <v>12</v>
      </c>
      <c r="AC67" s="11" t="n">
        <v>7</v>
      </c>
      <c r="AD67" s="11" t="n">
        <v>7</v>
      </c>
      <c r="AE67" s="11" t="n">
        <v>8</v>
      </c>
      <c r="AF67" s="11" t="n">
        <v>3</v>
      </c>
      <c r="AG67" s="14"/>
      <c r="AH67" s="14" t="s">
        <v>418</v>
      </c>
    </row>
    <row r="68" customFormat="false" ht="15" hidden="false" customHeight="false" outlineLevel="0" collapsed="false">
      <c r="A68" s="17" t="s">
        <v>419</v>
      </c>
      <c r="B68" s="30" t="n">
        <f aca="false">MIN(10, IF(N68="ativa",5,IF(N68="nova",4,IF(N68="esfriando",2,0)))+IF(L68&gt;=9,3,IF(L68&gt;=3,2,IF(L68&gt;=1,1,0)))+IF(M68&gt;=60,1.5,IF(M68&gt;=30,1,IF(M68&gt;=14,0.5,0)))+IF(V68&gt;=50,1.5,IF(V68&gt;=10,1,IF(V68&gt;=1,0.5,0)))+IF(W68&gt;=4,0.5,0))</f>
        <v>0</v>
      </c>
      <c r="C68" s="18" t="n">
        <f aca="false">ROUND(AC68*0.15+AD68*0.25+AE68*0.4+AF68*0.2,1)</f>
        <v>7.2</v>
      </c>
      <c r="D68" s="30" t="n">
        <f aca="false">ROUND(B68*0.45+C68*0.55,1)</f>
        <v>4</v>
      </c>
      <c r="E68" s="16" t="str">
        <f aca="false">IF(D68&gt;=7,"Alta",IF(D68&gt;=5,"Media","Baixa"))</f>
        <v>Baixa</v>
      </c>
      <c r="F68" s="19" t="s">
        <v>420</v>
      </c>
      <c r="G68" s="16" t="n">
        <v>1</v>
      </c>
      <c r="H68" s="19" t="s">
        <v>421</v>
      </c>
      <c r="I68" s="16" t="n">
        <v>3</v>
      </c>
      <c r="J68" s="19" t="s">
        <v>28</v>
      </c>
      <c r="K68" s="31" t="s">
        <v>134</v>
      </c>
      <c r="L68" s="16" t="n">
        <v>0</v>
      </c>
      <c r="M68" s="16" t="n">
        <v>0</v>
      </c>
      <c r="N68" s="16" t="s">
        <v>354</v>
      </c>
      <c r="O68" s="16" t="s">
        <v>147</v>
      </c>
      <c r="P68" s="19" t="s">
        <v>41</v>
      </c>
      <c r="Q68" s="19" t="s">
        <v>421</v>
      </c>
      <c r="R68" s="32" t="n">
        <v>37</v>
      </c>
      <c r="S68" s="32" t="n">
        <v>40</v>
      </c>
      <c r="T68" s="33" t="n">
        <v>0.95</v>
      </c>
      <c r="U68" s="19" t="s">
        <v>126</v>
      </c>
      <c r="V68" s="16" t="n">
        <v>0</v>
      </c>
      <c r="W68" s="16" t="n">
        <v>1</v>
      </c>
      <c r="X68" s="16" t="s">
        <v>317</v>
      </c>
      <c r="Y68" s="16" t="s">
        <v>317</v>
      </c>
      <c r="Z68" s="19" t="s">
        <v>307</v>
      </c>
      <c r="AA68" s="16" t="s">
        <v>129</v>
      </c>
      <c r="AB68" s="16" t="s">
        <v>170</v>
      </c>
      <c r="AC68" s="16" t="n">
        <v>4</v>
      </c>
      <c r="AD68" s="16" t="n">
        <v>7</v>
      </c>
      <c r="AE68" s="16" t="n">
        <v>9</v>
      </c>
      <c r="AF68" s="16" t="n">
        <v>6</v>
      </c>
      <c r="AG68" s="19"/>
      <c r="AH68" s="19" t="s">
        <v>422</v>
      </c>
    </row>
    <row r="69" customFormat="false" ht="15" hidden="false" customHeight="false" outlineLevel="0" collapsed="false">
      <c r="A69" s="12" t="s">
        <v>423</v>
      </c>
      <c r="B69" s="34" t="n">
        <f aca="false">MIN(10, IF(N69="ativa",5,IF(N69="nova",4,IF(N69="esfriando",2,0)))+IF(L69&gt;=9,3,IF(L69&gt;=3,2,IF(L69&gt;=1,1,0)))+IF(M69&gt;=60,1.5,IF(M69&gt;=30,1,IF(M69&gt;=14,0.5,0)))+IF(V69&gt;=50,1.5,IF(V69&gt;=10,1,IF(V69&gt;=1,0.5,0)))+IF(W69&gt;=4,0.5,0))</f>
        <v>3</v>
      </c>
      <c r="C69" s="13" t="n">
        <f aca="false">ROUND(AC69*0.15+AD69*0.25+AE69*0.4+AF69*0.2,1)</f>
        <v>4.7</v>
      </c>
      <c r="D69" s="34" t="n">
        <f aca="false">ROUND(B69*0.45+C69*0.55,1)</f>
        <v>3.9</v>
      </c>
      <c r="E69" s="11" t="str">
        <f aca="false">IF(D69&gt;=7,"Alta",IF(D69&gt;=5,"Media","Baixa"))</f>
        <v>Baixa</v>
      </c>
      <c r="F69" s="14" t="s">
        <v>424</v>
      </c>
      <c r="G69" s="11" t="n">
        <v>1</v>
      </c>
      <c r="H69" s="14" t="s">
        <v>425</v>
      </c>
      <c r="I69" s="11" t="n">
        <v>1</v>
      </c>
      <c r="J69" s="14" t="s">
        <v>28</v>
      </c>
      <c r="K69" s="35" t="s">
        <v>134</v>
      </c>
      <c r="L69" s="11" t="n">
        <v>0</v>
      </c>
      <c r="M69" s="11" t="n">
        <v>0</v>
      </c>
      <c r="N69" s="11" t="s">
        <v>275</v>
      </c>
      <c r="O69" s="11" t="s">
        <v>125</v>
      </c>
      <c r="P69" s="14" t="s">
        <v>49</v>
      </c>
      <c r="Q69" s="14" t="s">
        <v>425</v>
      </c>
      <c r="R69" s="36" t="n">
        <v>0</v>
      </c>
      <c r="S69" s="36" t="n">
        <v>97</v>
      </c>
      <c r="T69" s="37" t="n">
        <v>0.9</v>
      </c>
      <c r="U69" s="14" t="s">
        <v>426</v>
      </c>
      <c r="V69" s="11" t="n">
        <v>2</v>
      </c>
      <c r="W69" s="11" t="n">
        <v>4</v>
      </c>
      <c r="X69" s="11" t="s">
        <v>299</v>
      </c>
      <c r="Y69" s="11" t="s">
        <v>232</v>
      </c>
      <c r="Z69" s="14" t="s">
        <v>128</v>
      </c>
      <c r="AA69" s="11" t="s">
        <v>129</v>
      </c>
      <c r="AB69" s="11" t="s">
        <v>12</v>
      </c>
      <c r="AC69" s="11" t="n">
        <v>7</v>
      </c>
      <c r="AD69" s="11" t="n">
        <v>4</v>
      </c>
      <c r="AE69" s="11" t="n">
        <v>5</v>
      </c>
      <c r="AF69" s="11" t="n">
        <v>3</v>
      </c>
      <c r="AG69" s="14"/>
      <c r="AH69" s="14" t="s">
        <v>427</v>
      </c>
    </row>
    <row r="70" customFormat="false" ht="15" hidden="false" customHeight="false" outlineLevel="0" collapsed="false">
      <c r="A70" s="17" t="s">
        <v>428</v>
      </c>
      <c r="B70" s="30" t="n">
        <f aca="false">MIN(10, IF(N70="ativa",5,IF(N70="nova",4,IF(N70="esfriando",2,0)))+IF(L70&gt;=9,3,IF(L70&gt;=3,2,IF(L70&gt;=1,1,0)))+IF(M70&gt;=60,1.5,IF(M70&gt;=30,1,IF(M70&gt;=14,0.5,0)))+IF(V70&gt;=50,1.5,IF(V70&gt;=10,1,IF(V70&gt;=1,0.5,0)))+IF(W70&gt;=4,0.5,0))</f>
        <v>2.5</v>
      </c>
      <c r="C70" s="18" t="n">
        <f aca="false">ROUND(AC70*0.15+AD70*0.25+AE70*0.4+AF70*0.2,1)</f>
        <v>5.2</v>
      </c>
      <c r="D70" s="30" t="n">
        <f aca="false">ROUND(B70*0.45+C70*0.55,1)</f>
        <v>4</v>
      </c>
      <c r="E70" s="16" t="str">
        <f aca="false">IF(D70&gt;=7,"Alta",IF(D70&gt;=5,"Media","Baixa"))</f>
        <v>Baixa</v>
      </c>
      <c r="F70" s="19" t="s">
        <v>429</v>
      </c>
      <c r="G70" s="16" t="n">
        <v>1</v>
      </c>
      <c r="H70" s="19" t="s">
        <v>430</v>
      </c>
      <c r="I70" s="16" t="n">
        <v>2</v>
      </c>
      <c r="J70" s="19" t="s">
        <v>28</v>
      </c>
      <c r="K70" s="31" t="s">
        <v>134</v>
      </c>
      <c r="L70" s="16" t="n">
        <v>0</v>
      </c>
      <c r="M70" s="16" t="n">
        <v>0</v>
      </c>
      <c r="N70" s="16" t="s">
        <v>275</v>
      </c>
      <c r="O70" s="16" t="s">
        <v>125</v>
      </c>
      <c r="P70" s="19" t="s">
        <v>49</v>
      </c>
      <c r="Q70" s="19" t="s">
        <v>430</v>
      </c>
      <c r="R70" s="32" t="n">
        <v>0</v>
      </c>
      <c r="S70" s="32" t="n">
        <v>97</v>
      </c>
      <c r="T70" s="33" t="n">
        <v>0.85</v>
      </c>
      <c r="U70" s="19" t="s">
        <v>135</v>
      </c>
      <c r="V70" s="16" t="n">
        <v>2</v>
      </c>
      <c r="W70" s="16" t="n">
        <v>3</v>
      </c>
      <c r="X70" s="16" t="s">
        <v>317</v>
      </c>
      <c r="Y70" s="16" t="s">
        <v>323</v>
      </c>
      <c r="Z70" s="19" t="s">
        <v>431</v>
      </c>
      <c r="AA70" s="16" t="s">
        <v>129</v>
      </c>
      <c r="AB70" s="16" t="s">
        <v>12</v>
      </c>
      <c r="AC70" s="16" t="n">
        <v>7</v>
      </c>
      <c r="AD70" s="16" t="n">
        <v>6</v>
      </c>
      <c r="AE70" s="16" t="n">
        <v>5</v>
      </c>
      <c r="AF70" s="16" t="n">
        <v>3</v>
      </c>
      <c r="AG70" s="19"/>
      <c r="AH70" s="19" t="s">
        <v>432</v>
      </c>
    </row>
    <row r="71" customFormat="false" ht="15" hidden="false" customHeight="false" outlineLevel="0" collapsed="false">
      <c r="A71" s="12" t="s">
        <v>433</v>
      </c>
      <c r="B71" s="34" t="n">
        <f aca="false">MIN(10, IF(N71="ativa",5,IF(N71="nova",4,IF(N71="esfriando",2,0)))+IF(L71&gt;=9,3,IF(L71&gt;=3,2,IF(L71&gt;=1,1,0)))+IF(M71&gt;=60,1.5,IF(M71&gt;=30,1,IF(M71&gt;=14,0.5,0)))+IF(V71&gt;=50,1.5,IF(V71&gt;=10,1,IF(V71&gt;=1,0.5,0)))+IF(W71&gt;=4,0.5,0))</f>
        <v>0</v>
      </c>
      <c r="C71" s="13" t="n">
        <f aca="false">ROUND(AC71*0.15+AD71*0.25+AE71*0.4+AF71*0.2,1)</f>
        <v>7</v>
      </c>
      <c r="D71" s="34" t="n">
        <f aca="false">ROUND(B71*0.45+C71*0.55,1)</f>
        <v>3.9</v>
      </c>
      <c r="E71" s="11" t="str">
        <f aca="false">IF(D71&gt;=7,"Alta",IF(D71&gt;=5,"Media","Baixa"))</f>
        <v>Baixa</v>
      </c>
      <c r="F71" s="14" t="s">
        <v>434</v>
      </c>
      <c r="G71" s="11" t="n">
        <v>1</v>
      </c>
      <c r="H71" s="14" t="s">
        <v>435</v>
      </c>
      <c r="I71" s="11" t="n">
        <v>3</v>
      </c>
      <c r="J71" s="35" t="s">
        <v>122</v>
      </c>
      <c r="K71" s="35" t="s">
        <v>134</v>
      </c>
      <c r="L71" s="11" t="n">
        <v>0</v>
      </c>
      <c r="M71" s="11" t="n">
        <v>0</v>
      </c>
      <c r="N71" s="11" t="s">
        <v>354</v>
      </c>
      <c r="O71" s="11" t="s">
        <v>184</v>
      </c>
      <c r="P71" s="14" t="s">
        <v>47</v>
      </c>
      <c r="Q71" s="14" t="s">
        <v>435</v>
      </c>
      <c r="R71" s="36" t="n">
        <v>27</v>
      </c>
      <c r="S71" s="36" t="n">
        <v>27</v>
      </c>
      <c r="T71" s="37" t="n">
        <v>0.85</v>
      </c>
      <c r="U71" s="14" t="s">
        <v>160</v>
      </c>
      <c r="V71" s="11" t="n">
        <v>0</v>
      </c>
      <c r="W71" s="11" t="n">
        <v>1</v>
      </c>
      <c r="X71" s="11" t="s">
        <v>317</v>
      </c>
      <c r="Y71" s="11" t="s">
        <v>317</v>
      </c>
      <c r="Z71" s="14" t="s">
        <v>137</v>
      </c>
      <c r="AA71" s="11" t="s">
        <v>129</v>
      </c>
      <c r="AB71" s="11" t="s">
        <v>12</v>
      </c>
      <c r="AC71" s="11" t="n">
        <v>4</v>
      </c>
      <c r="AD71" s="11" t="n">
        <v>8</v>
      </c>
      <c r="AE71" s="11" t="n">
        <v>10</v>
      </c>
      <c r="AF71" s="11" t="n">
        <v>2</v>
      </c>
      <c r="AG71" s="14"/>
      <c r="AH71" s="14" t="s">
        <v>436</v>
      </c>
    </row>
    <row r="72" customFormat="false" ht="15" hidden="false" customHeight="false" outlineLevel="0" collapsed="false">
      <c r="A72" s="17" t="s">
        <v>437</v>
      </c>
      <c r="B72" s="30" t="n">
        <f aca="false">MIN(10, IF(N72="ativa",5,IF(N72="nova",4,IF(N72="esfriando",2,0)))+IF(L72&gt;=9,3,IF(L72&gt;=3,2,IF(L72&gt;=1,1,0)))+IF(M72&gt;=60,1.5,IF(M72&gt;=30,1,IF(M72&gt;=14,0.5,0)))+IF(V72&gt;=50,1.5,IF(V72&gt;=10,1,IF(V72&gt;=1,0.5,0)))+IF(W72&gt;=4,0.5,0))</f>
        <v>0.5</v>
      </c>
      <c r="C72" s="18" t="n">
        <f aca="false">ROUND(AC72*0.15+AD72*0.25+AE72*0.4+AF72*0.2,1)</f>
        <v>6.5</v>
      </c>
      <c r="D72" s="30" t="n">
        <f aca="false">ROUND(B72*0.45+C72*0.55,1)</f>
        <v>3.8</v>
      </c>
      <c r="E72" s="16" t="str">
        <f aca="false">IF(D72&gt;=7,"Alta",IF(D72&gt;=5,"Media","Baixa"))</f>
        <v>Baixa</v>
      </c>
      <c r="F72" s="19" t="s">
        <v>438</v>
      </c>
      <c r="G72" s="16" t="n">
        <v>1</v>
      </c>
      <c r="H72" s="19" t="s">
        <v>439</v>
      </c>
      <c r="I72" s="16" t="n">
        <v>1</v>
      </c>
      <c r="J72" s="19" t="s">
        <v>28</v>
      </c>
      <c r="K72" s="31" t="s">
        <v>134</v>
      </c>
      <c r="L72" s="16" t="n">
        <v>0</v>
      </c>
      <c r="M72" s="16" t="n">
        <v>0</v>
      </c>
      <c r="N72" s="16" t="s">
        <v>354</v>
      </c>
      <c r="O72" s="16" t="s">
        <v>125</v>
      </c>
      <c r="P72" s="19" t="s">
        <v>84</v>
      </c>
      <c r="Q72" s="19" t="s">
        <v>439</v>
      </c>
      <c r="R72" s="32" t="n">
        <v>0</v>
      </c>
      <c r="S72" s="32" t="n">
        <v>19</v>
      </c>
      <c r="T72" s="33" t="n">
        <v>0.85</v>
      </c>
      <c r="U72" s="19" t="s">
        <v>316</v>
      </c>
      <c r="V72" s="16" t="n">
        <v>3</v>
      </c>
      <c r="W72" s="16" t="n">
        <v>1</v>
      </c>
      <c r="X72" s="16" t="s">
        <v>277</v>
      </c>
      <c r="Y72" s="16" t="s">
        <v>277</v>
      </c>
      <c r="Z72" s="19"/>
      <c r="AA72" s="16" t="s">
        <v>129</v>
      </c>
      <c r="AB72" s="16" t="s">
        <v>12</v>
      </c>
      <c r="AC72" s="16" t="n">
        <v>2</v>
      </c>
      <c r="AD72" s="16" t="n">
        <v>8</v>
      </c>
      <c r="AE72" s="16" t="n">
        <v>9</v>
      </c>
      <c r="AF72" s="16" t="n">
        <v>3</v>
      </c>
      <c r="AG72" s="19"/>
      <c r="AH72" s="19" t="s">
        <v>440</v>
      </c>
    </row>
    <row r="73" customFormat="false" ht="15" hidden="false" customHeight="false" outlineLevel="0" collapsed="false">
      <c r="A73" s="12" t="s">
        <v>441</v>
      </c>
      <c r="B73" s="34" t="n">
        <f aca="false">MIN(10, IF(N73="ativa",5,IF(N73="nova",4,IF(N73="esfriando",2,0)))+IF(L73&gt;=9,3,IF(L73&gt;=3,2,IF(L73&gt;=1,1,0)))+IF(M73&gt;=60,1.5,IF(M73&gt;=30,1,IF(M73&gt;=14,0.5,0)))+IF(V73&gt;=50,1.5,IF(V73&gt;=10,1,IF(V73&gt;=1,0.5,0)))+IF(W73&gt;=4,0.5,0))</f>
        <v>0</v>
      </c>
      <c r="C73" s="13" t="n">
        <f aca="false">ROUND(AC73*0.15+AD73*0.25+AE73*0.4+AF73*0.2,1)</f>
        <v>6.9</v>
      </c>
      <c r="D73" s="34" t="n">
        <f aca="false">ROUND(B73*0.45+C73*0.55,1)</f>
        <v>3.8</v>
      </c>
      <c r="E73" s="11" t="str">
        <f aca="false">IF(D73&gt;=7,"Alta",IF(D73&gt;=5,"Media","Baixa"))</f>
        <v>Baixa</v>
      </c>
      <c r="F73" s="14" t="s">
        <v>442</v>
      </c>
      <c r="G73" s="11" t="n">
        <v>1</v>
      </c>
      <c r="H73" s="14" t="s">
        <v>443</v>
      </c>
      <c r="I73" s="11" t="n">
        <v>1</v>
      </c>
      <c r="J73" s="14" t="s">
        <v>28</v>
      </c>
      <c r="K73" s="35" t="s">
        <v>134</v>
      </c>
      <c r="L73" s="11" t="n">
        <v>0</v>
      </c>
      <c r="M73" s="11" t="n">
        <v>0</v>
      </c>
      <c r="N73" s="11" t="s">
        <v>354</v>
      </c>
      <c r="O73" s="11" t="s">
        <v>125</v>
      </c>
      <c r="P73" s="14" t="s">
        <v>41</v>
      </c>
      <c r="Q73" s="14" t="s">
        <v>443</v>
      </c>
      <c r="R73" s="36" t="n">
        <v>27</v>
      </c>
      <c r="S73" s="36" t="n">
        <v>60</v>
      </c>
      <c r="T73" s="37" t="n">
        <v>0.92</v>
      </c>
      <c r="U73" s="14" t="s">
        <v>126</v>
      </c>
      <c r="V73" s="11" t="n">
        <v>0</v>
      </c>
      <c r="W73" s="11" t="n">
        <v>1</v>
      </c>
      <c r="X73" s="11" t="s">
        <v>317</v>
      </c>
      <c r="Y73" s="11" t="s">
        <v>317</v>
      </c>
      <c r="Z73" s="14" t="s">
        <v>218</v>
      </c>
      <c r="AA73" s="11" t="s">
        <v>129</v>
      </c>
      <c r="AB73" s="11" t="s">
        <v>170</v>
      </c>
      <c r="AC73" s="11" t="n">
        <v>7</v>
      </c>
      <c r="AD73" s="11" t="n">
        <v>8</v>
      </c>
      <c r="AE73" s="11" t="n">
        <v>8</v>
      </c>
      <c r="AF73" s="11" t="n">
        <v>3</v>
      </c>
      <c r="AG73" s="14"/>
      <c r="AH73" s="14" t="s">
        <v>444</v>
      </c>
    </row>
    <row r="74" customFormat="false" ht="15" hidden="false" customHeight="false" outlineLevel="0" collapsed="false">
      <c r="A74" s="17" t="s">
        <v>445</v>
      </c>
      <c r="B74" s="30" t="n">
        <f aca="false">MIN(10, IF(N74="ativa",5,IF(N74="nova",4,IF(N74="esfriando",2,0)))+IF(L74&gt;=9,3,IF(L74&gt;=3,2,IF(L74&gt;=1,1,0)))+IF(M74&gt;=60,1.5,IF(M74&gt;=30,1,IF(M74&gt;=14,0.5,0)))+IF(V74&gt;=50,1.5,IF(V74&gt;=10,1,IF(V74&gt;=1,0.5,0)))+IF(W74&gt;=4,0.5,0))</f>
        <v>0</v>
      </c>
      <c r="C74" s="18" t="n">
        <f aca="false">ROUND(AC74*0.15+AD74*0.25+AE74*0.4+AF74*0.2,1)</f>
        <v>6.9</v>
      </c>
      <c r="D74" s="30" t="n">
        <f aca="false">ROUND(B74*0.45+C74*0.55,1)</f>
        <v>3.8</v>
      </c>
      <c r="E74" s="16" t="str">
        <f aca="false">IF(D74&gt;=7,"Alta",IF(D74&gt;=5,"Media","Baixa"))</f>
        <v>Baixa</v>
      </c>
      <c r="F74" s="19" t="s">
        <v>446</v>
      </c>
      <c r="G74" s="16" t="n">
        <v>1</v>
      </c>
      <c r="H74" s="19" t="s">
        <v>447</v>
      </c>
      <c r="I74" s="16" t="n">
        <v>5</v>
      </c>
      <c r="J74" s="19" t="s">
        <v>28</v>
      </c>
      <c r="K74" s="31" t="s">
        <v>134</v>
      </c>
      <c r="L74" s="16" t="n">
        <v>0</v>
      </c>
      <c r="M74" s="16" t="n">
        <v>0</v>
      </c>
      <c r="N74" s="16" t="s">
        <v>354</v>
      </c>
      <c r="O74" s="16" t="s">
        <v>125</v>
      </c>
      <c r="P74" s="19" t="s">
        <v>41</v>
      </c>
      <c r="Q74" s="19" t="s">
        <v>447</v>
      </c>
      <c r="R74" s="32" t="n">
        <v>34.9</v>
      </c>
      <c r="S74" s="32" t="n">
        <v>40</v>
      </c>
      <c r="T74" s="33" t="n">
        <v>0.92</v>
      </c>
      <c r="U74" s="19" t="s">
        <v>126</v>
      </c>
      <c r="V74" s="16" t="n">
        <v>0</v>
      </c>
      <c r="W74" s="16" t="n">
        <v>1</v>
      </c>
      <c r="X74" s="16" t="s">
        <v>317</v>
      </c>
      <c r="Y74" s="16" t="s">
        <v>317</v>
      </c>
      <c r="Z74" s="19" t="s">
        <v>137</v>
      </c>
      <c r="AA74" s="16" t="s">
        <v>129</v>
      </c>
      <c r="AB74" s="16" t="s">
        <v>170</v>
      </c>
      <c r="AC74" s="16" t="n">
        <v>5</v>
      </c>
      <c r="AD74" s="16" t="n">
        <v>7</v>
      </c>
      <c r="AE74" s="16" t="n">
        <v>9</v>
      </c>
      <c r="AF74" s="16" t="n">
        <v>4</v>
      </c>
      <c r="AG74" s="19"/>
      <c r="AH74" s="19" t="s">
        <v>448</v>
      </c>
    </row>
    <row r="75" customFormat="false" ht="15" hidden="false" customHeight="false" outlineLevel="0" collapsed="false">
      <c r="A75" s="12" t="s">
        <v>449</v>
      </c>
      <c r="B75" s="34" t="n">
        <f aca="false">MIN(10, IF(N75="ativa",5,IF(N75="nova",4,IF(N75="esfriando",2,0)))+IF(L75&gt;=9,3,IF(L75&gt;=3,2,IF(L75&gt;=1,1,0)))+IF(M75&gt;=60,1.5,IF(M75&gt;=30,1,IF(M75&gt;=14,0.5,0)))+IF(V75&gt;=50,1.5,IF(V75&gt;=10,1,IF(V75&gt;=1,0.5,0)))+IF(W75&gt;=4,0.5,0))</f>
        <v>0</v>
      </c>
      <c r="C75" s="13" t="n">
        <f aca="false">ROUND(AC75*0.15+AD75*0.25+AE75*0.4+AF75*0.2,1)</f>
        <v>6.9</v>
      </c>
      <c r="D75" s="34" t="n">
        <f aca="false">ROUND(B75*0.45+C75*0.55,1)</f>
        <v>3.8</v>
      </c>
      <c r="E75" s="11" t="str">
        <f aca="false">IF(D75&gt;=7,"Alta",IF(D75&gt;=5,"Media","Baixa"))</f>
        <v>Baixa</v>
      </c>
      <c r="F75" s="14" t="s">
        <v>450</v>
      </c>
      <c r="G75" s="11" t="n">
        <v>1</v>
      </c>
      <c r="H75" s="14" t="s">
        <v>451</v>
      </c>
      <c r="I75" s="11" t="n">
        <v>2</v>
      </c>
      <c r="J75" s="35" t="s">
        <v>122</v>
      </c>
      <c r="K75" s="35" t="s">
        <v>134</v>
      </c>
      <c r="L75" s="11" t="n">
        <v>0</v>
      </c>
      <c r="M75" s="11" t="n">
        <v>0</v>
      </c>
      <c r="N75" s="11" t="s">
        <v>354</v>
      </c>
      <c r="O75" s="11" t="s">
        <v>125</v>
      </c>
      <c r="P75" s="14" t="s">
        <v>47</v>
      </c>
      <c r="Q75" s="14" t="s">
        <v>451</v>
      </c>
      <c r="R75" s="36" t="n">
        <v>147</v>
      </c>
      <c r="S75" s="36" t="n">
        <v>147</v>
      </c>
      <c r="T75" s="37" t="n">
        <v>0.85</v>
      </c>
      <c r="U75" s="14" t="s">
        <v>126</v>
      </c>
      <c r="V75" s="11" t="n">
        <v>0</v>
      </c>
      <c r="W75" s="11" t="n">
        <v>1</v>
      </c>
      <c r="X75" s="11" t="s">
        <v>317</v>
      </c>
      <c r="Y75" s="11" t="s">
        <v>317</v>
      </c>
      <c r="Z75" s="14" t="s">
        <v>452</v>
      </c>
      <c r="AA75" s="11" t="s">
        <v>129</v>
      </c>
      <c r="AB75" s="11" t="s">
        <v>12</v>
      </c>
      <c r="AC75" s="11" t="n">
        <v>8</v>
      </c>
      <c r="AD75" s="11" t="n">
        <v>6</v>
      </c>
      <c r="AE75" s="11" t="n">
        <v>7</v>
      </c>
      <c r="AF75" s="11" t="n">
        <v>7</v>
      </c>
      <c r="AG75" s="14"/>
      <c r="AH75" s="14" t="s">
        <v>453</v>
      </c>
    </row>
    <row r="76" customFormat="false" ht="15" hidden="false" customHeight="false" outlineLevel="0" collapsed="false">
      <c r="A76" s="17" t="s">
        <v>454</v>
      </c>
      <c r="B76" s="30" t="n">
        <f aca="false">MIN(10, IF(N76="ativa",5,IF(N76="nova",4,IF(N76="esfriando",2,0)))+IF(L76&gt;=9,3,IF(L76&gt;=3,2,IF(L76&gt;=1,1,0)))+IF(M76&gt;=60,1.5,IF(M76&gt;=30,1,IF(M76&gt;=14,0.5,0)))+IF(V76&gt;=50,1.5,IF(V76&gt;=10,1,IF(V76&gt;=1,0.5,0)))+IF(W76&gt;=4,0.5,0))</f>
        <v>0</v>
      </c>
      <c r="C76" s="18" t="n">
        <f aca="false">ROUND(AC76*0.15+AD76*0.25+AE76*0.4+AF76*0.2,1)</f>
        <v>7</v>
      </c>
      <c r="D76" s="30" t="n">
        <f aca="false">ROUND(B76*0.45+C76*0.55,1)</f>
        <v>3.9</v>
      </c>
      <c r="E76" s="16" t="str">
        <f aca="false">IF(D76&gt;=7,"Alta",IF(D76&gt;=5,"Media","Baixa"))</f>
        <v>Baixa</v>
      </c>
      <c r="F76" s="19" t="s">
        <v>455</v>
      </c>
      <c r="G76" s="16" t="n">
        <v>1</v>
      </c>
      <c r="H76" s="19" t="s">
        <v>456</v>
      </c>
      <c r="I76" s="16" t="n">
        <v>1</v>
      </c>
      <c r="J76" s="31" t="s">
        <v>122</v>
      </c>
      <c r="K76" s="31" t="s">
        <v>134</v>
      </c>
      <c r="L76" s="16" t="n">
        <v>0</v>
      </c>
      <c r="M76" s="16" t="n">
        <v>0</v>
      </c>
      <c r="N76" s="16" t="s">
        <v>354</v>
      </c>
      <c r="O76" s="16" t="s">
        <v>147</v>
      </c>
      <c r="P76" s="19" t="s">
        <v>59</v>
      </c>
      <c r="Q76" s="19" t="s">
        <v>456</v>
      </c>
      <c r="R76" s="32" t="n">
        <v>27.9</v>
      </c>
      <c r="S76" s="32" t="n">
        <v>40</v>
      </c>
      <c r="T76" s="33" t="n">
        <v>0.92</v>
      </c>
      <c r="U76" s="19" t="s">
        <v>276</v>
      </c>
      <c r="V76" s="16" t="n">
        <v>0</v>
      </c>
      <c r="W76" s="16" t="n">
        <v>2</v>
      </c>
      <c r="X76" s="16" t="s">
        <v>277</v>
      </c>
      <c r="Y76" s="16" t="s">
        <v>345</v>
      </c>
      <c r="Z76" s="19" t="s">
        <v>457</v>
      </c>
      <c r="AA76" s="16" t="s">
        <v>129</v>
      </c>
      <c r="AB76" s="16" t="s">
        <v>12</v>
      </c>
      <c r="AC76" s="16" t="n">
        <v>4</v>
      </c>
      <c r="AD76" s="16" t="n">
        <v>7</v>
      </c>
      <c r="AE76" s="16" t="n">
        <v>9</v>
      </c>
      <c r="AF76" s="16" t="n">
        <v>5</v>
      </c>
      <c r="AG76" s="19"/>
      <c r="AH76" s="19" t="s">
        <v>458</v>
      </c>
    </row>
    <row r="77" customFormat="false" ht="15" hidden="false" customHeight="false" outlineLevel="0" collapsed="false">
      <c r="A77" s="12" t="s">
        <v>459</v>
      </c>
      <c r="B77" s="34" t="n">
        <f aca="false">MIN(10, IF(N77="ativa",5,IF(N77="nova",4,IF(N77="esfriando",2,0)))+IF(L77&gt;=9,3,IF(L77&gt;=3,2,IF(L77&gt;=1,1,0)))+IF(M77&gt;=60,1.5,IF(M77&gt;=30,1,IF(M77&gt;=14,0.5,0)))+IF(V77&gt;=50,1.5,IF(V77&gt;=10,1,IF(V77&gt;=1,0.5,0)))+IF(W77&gt;=4,0.5,0))</f>
        <v>0</v>
      </c>
      <c r="C77" s="13" t="n">
        <f aca="false">ROUND(AC77*0.15+AD77*0.25+AE77*0.4+AF77*0.2,1)</f>
        <v>7</v>
      </c>
      <c r="D77" s="34" t="n">
        <f aca="false">ROUND(B77*0.45+C77*0.55,1)</f>
        <v>3.9</v>
      </c>
      <c r="E77" s="11" t="str">
        <f aca="false">IF(D77&gt;=7,"Alta",IF(D77&gt;=5,"Media","Baixa"))</f>
        <v>Baixa</v>
      </c>
      <c r="F77" s="14" t="s">
        <v>460</v>
      </c>
      <c r="G77" s="11" t="n">
        <v>1</v>
      </c>
      <c r="H77" s="14" t="s">
        <v>435</v>
      </c>
      <c r="I77" s="11" t="n">
        <v>3</v>
      </c>
      <c r="J77" s="35" t="s">
        <v>122</v>
      </c>
      <c r="K77" s="35" t="s">
        <v>134</v>
      </c>
      <c r="L77" s="11" t="n">
        <v>0</v>
      </c>
      <c r="M77" s="11" t="n">
        <v>0</v>
      </c>
      <c r="N77" s="11" t="s">
        <v>354</v>
      </c>
      <c r="O77" s="11" t="s">
        <v>184</v>
      </c>
      <c r="P77" s="14" t="s">
        <v>47</v>
      </c>
      <c r="Q77" s="14" t="s">
        <v>435</v>
      </c>
      <c r="R77" s="36" t="n">
        <v>27</v>
      </c>
      <c r="S77" s="36" t="n">
        <v>27</v>
      </c>
      <c r="T77" s="37" t="n">
        <v>0.85</v>
      </c>
      <c r="U77" s="14" t="s">
        <v>160</v>
      </c>
      <c r="V77" s="11" t="n">
        <v>0</v>
      </c>
      <c r="W77" s="11" t="n">
        <v>1</v>
      </c>
      <c r="X77" s="11" t="s">
        <v>317</v>
      </c>
      <c r="Y77" s="11" t="s">
        <v>317</v>
      </c>
      <c r="Z77" s="14" t="s">
        <v>137</v>
      </c>
      <c r="AA77" s="11" t="s">
        <v>129</v>
      </c>
      <c r="AB77" s="11" t="s">
        <v>12</v>
      </c>
      <c r="AC77" s="11" t="n">
        <v>4</v>
      </c>
      <c r="AD77" s="11" t="n">
        <v>7</v>
      </c>
      <c r="AE77" s="11" t="n">
        <v>10</v>
      </c>
      <c r="AF77" s="11" t="n">
        <v>3</v>
      </c>
      <c r="AG77" s="14"/>
      <c r="AH77" s="14" t="s">
        <v>461</v>
      </c>
    </row>
    <row r="78" customFormat="false" ht="15" hidden="false" customHeight="false" outlineLevel="0" collapsed="false">
      <c r="A78" s="17" t="s">
        <v>462</v>
      </c>
      <c r="B78" s="30" t="n">
        <f aca="false">MIN(10, IF(N78="ativa",5,IF(N78="nova",4,IF(N78="esfriando",2,0)))+IF(L78&gt;=9,3,IF(L78&gt;=3,2,IF(L78&gt;=1,1,0)))+IF(M78&gt;=60,1.5,IF(M78&gt;=30,1,IF(M78&gt;=14,0.5,0)))+IF(V78&gt;=50,1.5,IF(V78&gt;=10,1,IF(V78&gt;=1,0.5,0)))+IF(W78&gt;=4,0.5,0))</f>
        <v>0.5</v>
      </c>
      <c r="C78" s="18" t="n">
        <f aca="false">ROUND(AC78*0.15+AD78*0.25+AE78*0.4+AF78*0.2,1)</f>
        <v>6.4</v>
      </c>
      <c r="D78" s="30" t="n">
        <f aca="false">ROUND(B78*0.45+C78*0.55,1)</f>
        <v>3.7</v>
      </c>
      <c r="E78" s="16" t="str">
        <f aca="false">IF(D78&gt;=7,"Alta",IF(D78&gt;=5,"Media","Baixa"))</f>
        <v>Baixa</v>
      </c>
      <c r="F78" s="19" t="s">
        <v>463</v>
      </c>
      <c r="G78" s="16" t="n">
        <v>1</v>
      </c>
      <c r="H78" s="19" t="s">
        <v>464</v>
      </c>
      <c r="I78" s="16" t="n">
        <v>1</v>
      </c>
      <c r="J78" s="31" t="s">
        <v>122</v>
      </c>
      <c r="K78" s="31" t="s">
        <v>134</v>
      </c>
      <c r="L78" s="16" t="n">
        <v>0</v>
      </c>
      <c r="M78" s="16" t="n">
        <v>0</v>
      </c>
      <c r="N78" s="16" t="s">
        <v>354</v>
      </c>
      <c r="O78" s="16" t="s">
        <v>125</v>
      </c>
      <c r="P78" s="19" t="s">
        <v>61</v>
      </c>
      <c r="Q78" s="19" t="s">
        <v>464</v>
      </c>
      <c r="R78" s="32" t="n">
        <v>0</v>
      </c>
      <c r="S78" s="32" t="n">
        <v>27</v>
      </c>
      <c r="T78" s="33" t="n">
        <v>0.9</v>
      </c>
      <c r="U78" s="19" t="s">
        <v>126</v>
      </c>
      <c r="V78" s="16" t="n">
        <v>5</v>
      </c>
      <c r="W78" s="16" t="n">
        <v>1</v>
      </c>
      <c r="X78" s="16" t="s">
        <v>345</v>
      </c>
      <c r="Y78" s="16" t="s">
        <v>345</v>
      </c>
      <c r="Z78" s="19" t="s">
        <v>307</v>
      </c>
      <c r="AA78" s="16" t="s">
        <v>129</v>
      </c>
      <c r="AB78" s="16" t="s">
        <v>12</v>
      </c>
      <c r="AC78" s="16" t="n">
        <v>3</v>
      </c>
      <c r="AD78" s="16" t="n">
        <v>7</v>
      </c>
      <c r="AE78" s="16" t="n">
        <v>9</v>
      </c>
      <c r="AF78" s="16" t="n">
        <v>3</v>
      </c>
      <c r="AG78" s="19"/>
      <c r="AH78" s="19" t="s">
        <v>465</v>
      </c>
    </row>
    <row r="79" customFormat="false" ht="15" hidden="false" customHeight="false" outlineLevel="0" collapsed="false">
      <c r="A79" s="12" t="s">
        <v>466</v>
      </c>
      <c r="B79" s="34" t="n">
        <f aca="false">MIN(10, IF(N79="ativa",5,IF(N79="nova",4,IF(N79="esfriando",2,0)))+IF(L79&gt;=9,3,IF(L79&gt;=3,2,IF(L79&gt;=1,1,0)))+IF(M79&gt;=60,1.5,IF(M79&gt;=30,1,IF(M79&gt;=14,0.5,0)))+IF(V79&gt;=50,1.5,IF(V79&gt;=10,1,IF(V79&gt;=1,0.5,0)))+IF(W79&gt;=4,0.5,0))</f>
        <v>0.5</v>
      </c>
      <c r="C79" s="13" t="n">
        <f aca="false">ROUND(AC79*0.15+AD79*0.25+AE79*0.4+AF79*0.2,1)</f>
        <v>6.4</v>
      </c>
      <c r="D79" s="34" t="n">
        <f aca="false">ROUND(B79*0.45+C79*0.55,1)</f>
        <v>3.7</v>
      </c>
      <c r="E79" s="11" t="str">
        <f aca="false">IF(D79&gt;=7,"Alta",IF(D79&gt;=5,"Media","Baixa"))</f>
        <v>Baixa</v>
      </c>
      <c r="F79" s="14" t="s">
        <v>467</v>
      </c>
      <c r="G79" s="11" t="n">
        <v>1</v>
      </c>
      <c r="H79" s="14" t="s">
        <v>155</v>
      </c>
      <c r="I79" s="11" t="n">
        <v>4</v>
      </c>
      <c r="J79" s="14" t="s">
        <v>28</v>
      </c>
      <c r="K79" s="35" t="s">
        <v>134</v>
      </c>
      <c r="L79" s="11" t="n">
        <v>0</v>
      </c>
      <c r="M79" s="11" t="n">
        <v>0</v>
      </c>
      <c r="N79" s="11" t="s">
        <v>354</v>
      </c>
      <c r="O79" s="11" t="s">
        <v>125</v>
      </c>
      <c r="P79" s="14" t="s">
        <v>41</v>
      </c>
      <c r="Q79" s="14" t="s">
        <v>155</v>
      </c>
      <c r="R79" s="36" t="n">
        <v>9</v>
      </c>
      <c r="S79" s="36" t="n">
        <v>35</v>
      </c>
      <c r="T79" s="37" t="n">
        <v>0.94</v>
      </c>
      <c r="U79" s="14" t="s">
        <v>126</v>
      </c>
      <c r="V79" s="11" t="n">
        <v>2</v>
      </c>
      <c r="W79" s="11" t="n">
        <v>1</v>
      </c>
      <c r="X79" s="11" t="s">
        <v>317</v>
      </c>
      <c r="Y79" s="11" t="s">
        <v>317</v>
      </c>
      <c r="Z79" s="14" t="s">
        <v>468</v>
      </c>
      <c r="AA79" s="11" t="s">
        <v>129</v>
      </c>
      <c r="AB79" s="11" t="s">
        <v>170</v>
      </c>
      <c r="AC79" s="11" t="n">
        <v>4</v>
      </c>
      <c r="AD79" s="11" t="n">
        <v>7</v>
      </c>
      <c r="AE79" s="11" t="n">
        <v>8</v>
      </c>
      <c r="AF79" s="11" t="n">
        <v>4</v>
      </c>
      <c r="AG79" s="14"/>
      <c r="AH79" s="14" t="s">
        <v>469</v>
      </c>
    </row>
    <row r="80" customFormat="false" ht="15" hidden="false" customHeight="false" outlineLevel="0" collapsed="false">
      <c r="A80" s="17" t="s">
        <v>470</v>
      </c>
      <c r="B80" s="30" t="n">
        <f aca="false">MIN(10, IF(N80="ativa",5,IF(N80="nova",4,IF(N80="esfriando",2,0)))+IF(L80&gt;=9,3,IF(L80&gt;=3,2,IF(L80&gt;=1,1,0)))+IF(M80&gt;=60,1.5,IF(M80&gt;=30,1,IF(M80&gt;=14,0.5,0)))+IF(V80&gt;=50,1.5,IF(V80&gt;=10,1,IF(V80&gt;=1,0.5,0)))+IF(W80&gt;=4,0.5,0))</f>
        <v>2.5</v>
      </c>
      <c r="C80" s="18" t="n">
        <f aca="false">ROUND(AC80*0.15+AD80*0.25+AE80*0.4+AF80*0.2,1)</f>
        <v>4.6</v>
      </c>
      <c r="D80" s="30" t="n">
        <f aca="false">ROUND(B80*0.45+C80*0.55,1)</f>
        <v>3.7</v>
      </c>
      <c r="E80" s="16" t="str">
        <f aca="false">IF(D80&gt;=7,"Alta",IF(D80&gt;=5,"Media","Baixa"))</f>
        <v>Baixa</v>
      </c>
      <c r="F80" s="19" t="s">
        <v>471</v>
      </c>
      <c r="G80" s="16" t="n">
        <v>1</v>
      </c>
      <c r="H80" s="19" t="s">
        <v>472</v>
      </c>
      <c r="I80" s="16" t="n">
        <v>1</v>
      </c>
      <c r="J80" s="19" t="s">
        <v>28</v>
      </c>
      <c r="K80" s="31" t="s">
        <v>134</v>
      </c>
      <c r="L80" s="16" t="n">
        <v>0</v>
      </c>
      <c r="M80" s="16" t="n">
        <v>0</v>
      </c>
      <c r="N80" s="16" t="s">
        <v>275</v>
      </c>
      <c r="O80" s="16" t="s">
        <v>125</v>
      </c>
      <c r="P80" s="19" t="s">
        <v>56</v>
      </c>
      <c r="Q80" s="19" t="s">
        <v>472</v>
      </c>
      <c r="R80" s="32" t="n">
        <v>50</v>
      </c>
      <c r="S80" s="32" t="n">
        <v>120</v>
      </c>
      <c r="T80" s="33" t="n">
        <v>0.85</v>
      </c>
      <c r="U80" s="19" t="s">
        <v>135</v>
      </c>
      <c r="V80" s="16" t="n">
        <v>2</v>
      </c>
      <c r="W80" s="16" t="n">
        <v>3</v>
      </c>
      <c r="X80" s="16" t="s">
        <v>317</v>
      </c>
      <c r="Y80" s="16" t="s">
        <v>323</v>
      </c>
      <c r="Z80" s="19" t="s">
        <v>473</v>
      </c>
      <c r="AA80" s="16" t="s">
        <v>191</v>
      </c>
      <c r="AB80" s="16" t="s">
        <v>12</v>
      </c>
      <c r="AC80" s="16" t="n">
        <v>9</v>
      </c>
      <c r="AD80" s="16" t="n">
        <v>5</v>
      </c>
      <c r="AE80" s="16" t="n">
        <v>3</v>
      </c>
      <c r="AF80" s="16" t="n">
        <v>4</v>
      </c>
      <c r="AG80" s="19"/>
      <c r="AH80" s="19" t="s">
        <v>474</v>
      </c>
    </row>
    <row r="81" customFormat="false" ht="15" hidden="false" customHeight="false" outlineLevel="0" collapsed="false">
      <c r="A81" s="12" t="s">
        <v>475</v>
      </c>
      <c r="B81" s="34" t="n">
        <f aca="false">MIN(10, IF(N81="ativa",5,IF(N81="nova",4,IF(N81="esfriando",2,0)))+IF(L81&gt;=9,3,IF(L81&gt;=3,2,IF(L81&gt;=1,1,0)))+IF(M81&gt;=60,1.5,IF(M81&gt;=30,1,IF(M81&gt;=14,0.5,0)))+IF(V81&gt;=50,1.5,IF(V81&gt;=10,1,IF(V81&gt;=1,0.5,0)))+IF(W81&gt;=4,0.5,0))</f>
        <v>2.5</v>
      </c>
      <c r="C81" s="13" t="n">
        <f aca="false">ROUND(AC81*0.15+AD81*0.25+AE81*0.4+AF81*0.2,1)</f>
        <v>4.7</v>
      </c>
      <c r="D81" s="34" t="n">
        <f aca="false">ROUND(B81*0.45+C81*0.55,1)</f>
        <v>3.7</v>
      </c>
      <c r="E81" s="11" t="str">
        <f aca="false">IF(D81&gt;=7,"Alta",IF(D81&gt;=5,"Media","Baixa"))</f>
        <v>Baixa</v>
      </c>
      <c r="F81" s="14" t="s">
        <v>476</v>
      </c>
      <c r="G81" s="11" t="n">
        <v>1</v>
      </c>
      <c r="H81" s="14" t="s">
        <v>477</v>
      </c>
      <c r="I81" s="11" t="n">
        <v>1</v>
      </c>
      <c r="J81" s="14" t="s">
        <v>28</v>
      </c>
      <c r="K81" s="35" t="s">
        <v>134</v>
      </c>
      <c r="L81" s="11" t="n">
        <v>0</v>
      </c>
      <c r="M81" s="11" t="n">
        <v>0</v>
      </c>
      <c r="N81" s="11" t="s">
        <v>275</v>
      </c>
      <c r="O81" s="11" t="s">
        <v>125</v>
      </c>
      <c r="P81" s="14" t="s">
        <v>56</v>
      </c>
      <c r="Q81" s="14" t="s">
        <v>477</v>
      </c>
      <c r="R81" s="36" t="n">
        <v>0</v>
      </c>
      <c r="S81" s="36" t="n">
        <v>150</v>
      </c>
      <c r="T81" s="37" t="n">
        <v>0.8</v>
      </c>
      <c r="U81" s="14" t="s">
        <v>298</v>
      </c>
      <c r="V81" s="11" t="n">
        <v>1</v>
      </c>
      <c r="W81" s="11" t="n">
        <v>3</v>
      </c>
      <c r="X81" s="11" t="s">
        <v>323</v>
      </c>
      <c r="Y81" s="11" t="s">
        <v>232</v>
      </c>
      <c r="Z81" s="14" t="s">
        <v>414</v>
      </c>
      <c r="AA81" s="11" t="s">
        <v>129</v>
      </c>
      <c r="AB81" s="11" t="s">
        <v>12</v>
      </c>
      <c r="AC81" s="11" t="n">
        <v>10</v>
      </c>
      <c r="AD81" s="11" t="n">
        <v>4</v>
      </c>
      <c r="AE81" s="11" t="n">
        <v>3</v>
      </c>
      <c r="AF81" s="11" t="n">
        <v>5</v>
      </c>
      <c r="AG81" s="14"/>
      <c r="AH81" s="14" t="s">
        <v>478</v>
      </c>
    </row>
    <row r="82" customFormat="false" ht="15" hidden="false" customHeight="false" outlineLevel="0" collapsed="false">
      <c r="A82" s="17" t="s">
        <v>479</v>
      </c>
      <c r="B82" s="30" t="n">
        <f aca="false">MIN(10, IF(N82="ativa",5,IF(N82="nova",4,IF(N82="esfriando",2,0)))+IF(L82&gt;=9,3,IF(L82&gt;=3,2,IF(L82&gt;=1,1,0)))+IF(M82&gt;=60,1.5,IF(M82&gt;=30,1,IF(M82&gt;=14,0.5,0)))+IF(V82&gt;=50,1.5,IF(V82&gt;=10,1,IF(V82&gt;=1,0.5,0)))+IF(W82&gt;=4,0.5,0))</f>
        <v>0</v>
      </c>
      <c r="C82" s="18" t="n">
        <f aca="false">ROUND(AC82*0.15+AD82*0.25+AE82*0.4+AF82*0.2,1)</f>
        <v>6.8</v>
      </c>
      <c r="D82" s="30" t="n">
        <f aca="false">ROUND(B82*0.45+C82*0.55,1)</f>
        <v>3.7</v>
      </c>
      <c r="E82" s="16" t="str">
        <f aca="false">IF(D82&gt;=7,"Alta",IF(D82&gt;=5,"Media","Baixa"))</f>
        <v>Baixa</v>
      </c>
      <c r="F82" s="19" t="s">
        <v>480</v>
      </c>
      <c r="G82" s="16" t="n">
        <v>1</v>
      </c>
      <c r="H82" s="19" t="s">
        <v>447</v>
      </c>
      <c r="I82" s="16" t="n">
        <v>5</v>
      </c>
      <c r="J82" s="19" t="s">
        <v>28</v>
      </c>
      <c r="K82" s="31" t="s">
        <v>134</v>
      </c>
      <c r="L82" s="16" t="n">
        <v>0</v>
      </c>
      <c r="M82" s="16" t="n">
        <v>0</v>
      </c>
      <c r="N82" s="16" t="s">
        <v>354</v>
      </c>
      <c r="O82" s="16" t="s">
        <v>147</v>
      </c>
      <c r="P82" s="19" t="s">
        <v>41</v>
      </c>
      <c r="Q82" s="19" t="s">
        <v>447</v>
      </c>
      <c r="R82" s="32" t="n">
        <v>0</v>
      </c>
      <c r="S82" s="32" t="n">
        <v>37</v>
      </c>
      <c r="T82" s="33" t="n">
        <v>0.9</v>
      </c>
      <c r="U82" s="19" t="s">
        <v>160</v>
      </c>
      <c r="V82" s="16" t="n">
        <v>0</v>
      </c>
      <c r="W82" s="16" t="n">
        <v>1</v>
      </c>
      <c r="X82" s="16" t="s">
        <v>317</v>
      </c>
      <c r="Y82" s="16" t="s">
        <v>317</v>
      </c>
      <c r="Z82" s="19" t="s">
        <v>137</v>
      </c>
      <c r="AA82" s="16" t="s">
        <v>129</v>
      </c>
      <c r="AB82" s="16" t="s">
        <v>170</v>
      </c>
      <c r="AC82" s="16" t="n">
        <v>4</v>
      </c>
      <c r="AD82" s="16" t="n">
        <v>7</v>
      </c>
      <c r="AE82" s="16" t="n">
        <v>9</v>
      </c>
      <c r="AF82" s="16" t="n">
        <v>4</v>
      </c>
      <c r="AG82" s="19"/>
      <c r="AH82" s="19" t="s">
        <v>481</v>
      </c>
    </row>
    <row r="83" customFormat="false" ht="15" hidden="false" customHeight="false" outlineLevel="0" collapsed="false">
      <c r="A83" s="12" t="s">
        <v>482</v>
      </c>
      <c r="B83" s="34" t="n">
        <f aca="false">MIN(10, IF(N83="ativa",5,IF(N83="nova",4,IF(N83="esfriando",2,0)))+IF(L83&gt;=9,3,IF(L83&gt;=3,2,IF(L83&gt;=1,1,0)))+IF(M83&gt;=60,1.5,IF(M83&gt;=30,1,IF(M83&gt;=14,0.5,0)))+IF(V83&gt;=50,1.5,IF(V83&gt;=10,1,IF(V83&gt;=1,0.5,0)))+IF(W83&gt;=4,0.5,0))</f>
        <v>0</v>
      </c>
      <c r="C83" s="13" t="n">
        <f aca="false">ROUND(AC83*0.15+AD83*0.25+AE83*0.4+AF83*0.2,1)</f>
        <v>6.7</v>
      </c>
      <c r="D83" s="34" t="n">
        <f aca="false">ROUND(B83*0.45+C83*0.55,1)</f>
        <v>3.7</v>
      </c>
      <c r="E83" s="11" t="str">
        <f aca="false">IF(D83&gt;=7,"Alta",IF(D83&gt;=5,"Media","Baixa"))</f>
        <v>Baixa</v>
      </c>
      <c r="F83" s="14" t="s">
        <v>483</v>
      </c>
      <c r="G83" s="11" t="n">
        <v>1</v>
      </c>
      <c r="H83" s="14" t="s">
        <v>435</v>
      </c>
      <c r="I83" s="11" t="n">
        <v>3</v>
      </c>
      <c r="J83" s="35" t="s">
        <v>122</v>
      </c>
      <c r="K83" s="35" t="s">
        <v>134</v>
      </c>
      <c r="L83" s="11" t="n">
        <v>0</v>
      </c>
      <c r="M83" s="11" t="n">
        <v>0</v>
      </c>
      <c r="N83" s="11" t="s">
        <v>354</v>
      </c>
      <c r="O83" s="11" t="s">
        <v>184</v>
      </c>
      <c r="P83" s="14" t="s">
        <v>47</v>
      </c>
      <c r="Q83" s="14" t="s">
        <v>435</v>
      </c>
      <c r="R83" s="36" t="n">
        <v>29.9</v>
      </c>
      <c r="S83" s="36" t="n">
        <v>29.9</v>
      </c>
      <c r="T83" s="37" t="n">
        <v>0.85</v>
      </c>
      <c r="U83" s="14" t="s">
        <v>148</v>
      </c>
      <c r="V83" s="11" t="n">
        <v>0</v>
      </c>
      <c r="W83" s="11" t="n">
        <v>1</v>
      </c>
      <c r="X83" s="11" t="s">
        <v>317</v>
      </c>
      <c r="Y83" s="11" t="s">
        <v>317</v>
      </c>
      <c r="Z83" s="14" t="s">
        <v>137</v>
      </c>
      <c r="AA83" s="11" t="s">
        <v>129</v>
      </c>
      <c r="AB83" s="11" t="s">
        <v>12</v>
      </c>
      <c r="AC83" s="11" t="n">
        <v>4</v>
      </c>
      <c r="AD83" s="11" t="n">
        <v>6</v>
      </c>
      <c r="AE83" s="11" t="n">
        <v>10</v>
      </c>
      <c r="AF83" s="11" t="n">
        <v>3</v>
      </c>
      <c r="AG83" s="14"/>
      <c r="AH83" s="14" t="s">
        <v>484</v>
      </c>
    </row>
    <row r="84" customFormat="false" ht="15" hidden="false" customHeight="false" outlineLevel="0" collapsed="false">
      <c r="A84" s="17" t="s">
        <v>485</v>
      </c>
      <c r="B84" s="30" t="n">
        <f aca="false">MIN(10, IF(N84="ativa",5,IF(N84="nova",4,IF(N84="esfriando",2,0)))+IF(L84&gt;=9,3,IF(L84&gt;=3,2,IF(L84&gt;=1,1,0)))+IF(M84&gt;=60,1.5,IF(M84&gt;=30,1,IF(M84&gt;=14,0.5,0)))+IF(V84&gt;=50,1.5,IF(V84&gt;=10,1,IF(V84&gt;=1,0.5,0)))+IF(W84&gt;=4,0.5,0))</f>
        <v>0</v>
      </c>
      <c r="C84" s="18" t="n">
        <f aca="false">ROUND(AC84*0.15+AD84*0.25+AE84*0.4+AF84*0.2,1)</f>
        <v>6.8</v>
      </c>
      <c r="D84" s="30" t="n">
        <f aca="false">ROUND(B84*0.45+C84*0.55,1)</f>
        <v>3.7</v>
      </c>
      <c r="E84" s="16" t="str">
        <f aca="false">IF(D84&gt;=7,"Alta",IF(D84&gt;=5,"Media","Baixa"))</f>
        <v>Baixa</v>
      </c>
      <c r="F84" s="19" t="s">
        <v>486</v>
      </c>
      <c r="G84" s="16" t="n">
        <v>1</v>
      </c>
      <c r="H84" s="19" t="s">
        <v>353</v>
      </c>
      <c r="I84" s="16" t="n">
        <v>2</v>
      </c>
      <c r="J84" s="31" t="s">
        <v>122</v>
      </c>
      <c r="K84" s="31" t="s">
        <v>134</v>
      </c>
      <c r="L84" s="16" t="n">
        <v>0</v>
      </c>
      <c r="M84" s="16" t="n">
        <v>0</v>
      </c>
      <c r="N84" s="16" t="s">
        <v>354</v>
      </c>
      <c r="O84" s="16" t="s">
        <v>147</v>
      </c>
      <c r="P84" s="19" t="s">
        <v>41</v>
      </c>
      <c r="Q84" s="19" t="s">
        <v>353</v>
      </c>
      <c r="R84" s="32" t="n">
        <v>19.9</v>
      </c>
      <c r="S84" s="32" t="n">
        <v>20</v>
      </c>
      <c r="T84" s="33" t="n">
        <v>0.92</v>
      </c>
      <c r="U84" s="19" t="s">
        <v>152</v>
      </c>
      <c r="V84" s="16" t="n">
        <v>0</v>
      </c>
      <c r="W84" s="16" t="n">
        <v>1</v>
      </c>
      <c r="X84" s="16" t="s">
        <v>317</v>
      </c>
      <c r="Y84" s="16" t="s">
        <v>317</v>
      </c>
      <c r="Z84" s="19" t="s">
        <v>137</v>
      </c>
      <c r="AA84" s="16" t="s">
        <v>129</v>
      </c>
      <c r="AB84" s="16" t="s">
        <v>12</v>
      </c>
      <c r="AC84" s="16" t="n">
        <v>2</v>
      </c>
      <c r="AD84" s="16" t="n">
        <v>5</v>
      </c>
      <c r="AE84" s="16" t="n">
        <v>9</v>
      </c>
      <c r="AF84" s="16" t="n">
        <v>8</v>
      </c>
      <c r="AG84" s="19"/>
      <c r="AH84" s="19" t="s">
        <v>487</v>
      </c>
    </row>
    <row r="85" customFormat="false" ht="15" hidden="false" customHeight="false" outlineLevel="0" collapsed="false">
      <c r="A85" s="12" t="s">
        <v>488</v>
      </c>
      <c r="B85" s="34" t="n">
        <f aca="false">MIN(10, IF(N85="ativa",5,IF(N85="nova",4,IF(N85="esfriando",2,0)))+IF(L85&gt;=9,3,IF(L85&gt;=3,2,IF(L85&gt;=1,1,0)))+IF(M85&gt;=60,1.5,IF(M85&gt;=30,1,IF(M85&gt;=14,0.5,0)))+IF(V85&gt;=50,1.5,IF(V85&gt;=10,1,IF(V85&gt;=1,0.5,0)))+IF(W85&gt;=4,0.5,0))</f>
        <v>0</v>
      </c>
      <c r="C85" s="13" t="n">
        <f aca="false">ROUND(AC85*0.15+AD85*0.25+AE85*0.4+AF85*0.2,1)</f>
        <v>6.7</v>
      </c>
      <c r="D85" s="34" t="n">
        <f aca="false">ROUND(B85*0.45+C85*0.55,1)</f>
        <v>3.7</v>
      </c>
      <c r="E85" s="11" t="str">
        <f aca="false">IF(D85&gt;=7,"Alta",IF(D85&gt;=5,"Media","Baixa"))</f>
        <v>Baixa</v>
      </c>
      <c r="F85" s="14" t="s">
        <v>489</v>
      </c>
      <c r="G85" s="11" t="n">
        <v>1</v>
      </c>
      <c r="H85" s="14" t="s">
        <v>447</v>
      </c>
      <c r="I85" s="11" t="n">
        <v>5</v>
      </c>
      <c r="J85" s="35" t="s">
        <v>122</v>
      </c>
      <c r="K85" s="35" t="s">
        <v>134</v>
      </c>
      <c r="L85" s="11" t="n">
        <v>0</v>
      </c>
      <c r="M85" s="11" t="n">
        <v>0</v>
      </c>
      <c r="N85" s="11" t="s">
        <v>354</v>
      </c>
      <c r="O85" s="11" t="s">
        <v>125</v>
      </c>
      <c r="P85" s="14" t="s">
        <v>41</v>
      </c>
      <c r="Q85" s="14" t="s">
        <v>447</v>
      </c>
      <c r="R85" s="36" t="n">
        <v>0</v>
      </c>
      <c r="S85" s="36" t="n">
        <v>40</v>
      </c>
      <c r="T85" s="37" t="n">
        <v>0.9</v>
      </c>
      <c r="U85" s="14" t="s">
        <v>126</v>
      </c>
      <c r="V85" s="11" t="n">
        <v>0</v>
      </c>
      <c r="W85" s="11" t="n">
        <v>1</v>
      </c>
      <c r="X85" s="11" t="s">
        <v>317</v>
      </c>
      <c r="Y85" s="11" t="s">
        <v>317</v>
      </c>
      <c r="Z85" s="14" t="s">
        <v>137</v>
      </c>
      <c r="AA85" s="11" t="s">
        <v>129</v>
      </c>
      <c r="AB85" s="11" t="s">
        <v>12</v>
      </c>
      <c r="AC85" s="11" t="n">
        <v>5</v>
      </c>
      <c r="AD85" s="11" t="n">
        <v>6</v>
      </c>
      <c r="AE85" s="11" t="n">
        <v>8</v>
      </c>
      <c r="AF85" s="11" t="n">
        <v>6</v>
      </c>
      <c r="AG85" s="14"/>
      <c r="AH85" s="14" t="s">
        <v>490</v>
      </c>
    </row>
    <row r="86" customFormat="false" ht="15" hidden="false" customHeight="false" outlineLevel="0" collapsed="false">
      <c r="A86" s="17" t="s">
        <v>491</v>
      </c>
      <c r="B86" s="30" t="n">
        <f aca="false">MIN(10, IF(N86="ativa",5,IF(N86="nova",4,IF(N86="esfriando",2,0)))+IF(L86&gt;=9,3,IF(L86&gt;=3,2,IF(L86&gt;=1,1,0)))+IF(M86&gt;=60,1.5,IF(M86&gt;=30,1,IF(M86&gt;=14,0.5,0)))+IF(V86&gt;=50,1.5,IF(V86&gt;=10,1,IF(V86&gt;=1,0.5,0)))+IF(W86&gt;=4,0.5,0))</f>
        <v>0</v>
      </c>
      <c r="C86" s="18" t="n">
        <f aca="false">ROUND(AC86*0.15+AD86*0.25+AE86*0.4+AF86*0.2,1)</f>
        <v>6.7</v>
      </c>
      <c r="D86" s="30" t="n">
        <f aca="false">ROUND(B86*0.45+C86*0.55,1)</f>
        <v>3.7</v>
      </c>
      <c r="E86" s="16" t="str">
        <f aca="false">IF(D86&gt;=7,"Alta",IF(D86&gt;=5,"Media","Baixa"))</f>
        <v>Baixa</v>
      </c>
      <c r="F86" s="19" t="s">
        <v>492</v>
      </c>
      <c r="G86" s="16" t="n">
        <v>3</v>
      </c>
      <c r="H86" s="19" t="s">
        <v>493</v>
      </c>
      <c r="I86" s="16" t="n">
        <v>2</v>
      </c>
      <c r="J86" s="31" t="s">
        <v>122</v>
      </c>
      <c r="K86" s="31" t="s">
        <v>134</v>
      </c>
      <c r="L86" s="16" t="n">
        <v>0</v>
      </c>
      <c r="M86" s="16" t="n">
        <v>0</v>
      </c>
      <c r="N86" s="16" t="s">
        <v>354</v>
      </c>
      <c r="O86" s="16" t="s">
        <v>125</v>
      </c>
      <c r="P86" s="19" t="s">
        <v>47</v>
      </c>
      <c r="Q86" s="19" t="s">
        <v>493</v>
      </c>
      <c r="R86" s="32" t="n">
        <v>0</v>
      </c>
      <c r="S86" s="32" t="n">
        <v>27</v>
      </c>
      <c r="T86" s="33" t="n">
        <v>0.85</v>
      </c>
      <c r="U86" s="19" t="s">
        <v>126</v>
      </c>
      <c r="V86" s="16" t="n">
        <v>0</v>
      </c>
      <c r="W86" s="16" t="n">
        <v>1</v>
      </c>
      <c r="X86" s="16" t="s">
        <v>317</v>
      </c>
      <c r="Y86" s="16" t="s">
        <v>317</v>
      </c>
      <c r="Z86" s="19" t="s">
        <v>137</v>
      </c>
      <c r="AA86" s="16" t="s">
        <v>129</v>
      </c>
      <c r="AB86" s="16" t="s">
        <v>12</v>
      </c>
      <c r="AC86" s="16" t="n">
        <v>3</v>
      </c>
      <c r="AD86" s="16" t="n">
        <v>5</v>
      </c>
      <c r="AE86" s="16" t="n">
        <v>10</v>
      </c>
      <c r="AF86" s="16" t="n">
        <v>5</v>
      </c>
      <c r="AG86" s="19"/>
      <c r="AH86" s="19" t="s">
        <v>494</v>
      </c>
    </row>
    <row r="87" customFormat="false" ht="15" hidden="false" customHeight="false" outlineLevel="0" collapsed="false">
      <c r="A87" s="12" t="s">
        <v>495</v>
      </c>
      <c r="B87" s="34" t="n">
        <f aca="false">MIN(10, IF(N87="ativa",5,IF(N87="nova",4,IF(N87="esfriando",2,0)))+IF(L87&gt;=9,3,IF(L87&gt;=3,2,IF(L87&gt;=1,1,0)))+IF(M87&gt;=60,1.5,IF(M87&gt;=30,1,IF(M87&gt;=14,0.5,0)))+IF(V87&gt;=50,1.5,IF(V87&gt;=10,1,IF(V87&gt;=1,0.5,0)))+IF(W87&gt;=4,0.5,0))</f>
        <v>0</v>
      </c>
      <c r="C87" s="13" t="n">
        <f aca="false">ROUND(AC87*0.15+AD87*0.25+AE87*0.4+AF87*0.2,1)</f>
        <v>6.7</v>
      </c>
      <c r="D87" s="34" t="n">
        <f aca="false">ROUND(B87*0.45+C87*0.55,1)</f>
        <v>3.7</v>
      </c>
      <c r="E87" s="11" t="str">
        <f aca="false">IF(D87&gt;=7,"Alta",IF(D87&gt;=5,"Media","Baixa"))</f>
        <v>Baixa</v>
      </c>
      <c r="F87" s="14" t="s">
        <v>492</v>
      </c>
      <c r="G87" s="11" t="n">
        <v>3</v>
      </c>
      <c r="H87" s="14" t="s">
        <v>451</v>
      </c>
      <c r="I87" s="11" t="n">
        <v>2</v>
      </c>
      <c r="J87" s="35" t="s">
        <v>122</v>
      </c>
      <c r="K87" s="35" t="s">
        <v>134</v>
      </c>
      <c r="L87" s="11" t="n">
        <v>0</v>
      </c>
      <c r="M87" s="11" t="n">
        <v>0</v>
      </c>
      <c r="N87" s="11" t="s">
        <v>354</v>
      </c>
      <c r="O87" s="11" t="s">
        <v>125</v>
      </c>
      <c r="P87" s="14" t="s">
        <v>47</v>
      </c>
      <c r="Q87" s="14" t="s">
        <v>451</v>
      </c>
      <c r="R87" s="36" t="n">
        <v>0</v>
      </c>
      <c r="S87" s="36" t="n">
        <v>27</v>
      </c>
      <c r="T87" s="37" t="n">
        <v>0.85</v>
      </c>
      <c r="U87" s="14" t="s">
        <v>126</v>
      </c>
      <c r="V87" s="11" t="n">
        <v>0</v>
      </c>
      <c r="W87" s="11" t="n">
        <v>1</v>
      </c>
      <c r="X87" s="11" t="s">
        <v>317</v>
      </c>
      <c r="Y87" s="11" t="s">
        <v>317</v>
      </c>
      <c r="Z87" s="14" t="s">
        <v>137</v>
      </c>
      <c r="AA87" s="11" t="s">
        <v>129</v>
      </c>
      <c r="AB87" s="11" t="s">
        <v>12</v>
      </c>
      <c r="AC87" s="11" t="n">
        <v>3</v>
      </c>
      <c r="AD87" s="11" t="n">
        <v>5</v>
      </c>
      <c r="AE87" s="11" t="n">
        <v>10</v>
      </c>
      <c r="AF87" s="11" t="n">
        <v>5</v>
      </c>
      <c r="AG87" s="14"/>
      <c r="AH87" s="14" t="s">
        <v>496</v>
      </c>
    </row>
    <row r="88" customFormat="false" ht="15" hidden="false" customHeight="false" outlineLevel="0" collapsed="false">
      <c r="A88" s="17" t="s">
        <v>497</v>
      </c>
      <c r="B88" s="30" t="n">
        <f aca="false">MIN(10, IF(N88="ativa",5,IF(N88="nova",4,IF(N88="esfriando",2,0)))+IF(L88&gt;=9,3,IF(L88&gt;=3,2,IF(L88&gt;=1,1,0)))+IF(M88&gt;=60,1.5,IF(M88&gt;=30,1,IF(M88&gt;=14,0.5,0)))+IF(V88&gt;=50,1.5,IF(V88&gt;=10,1,IF(V88&gt;=1,0.5,0)))+IF(W88&gt;=4,0.5,0))</f>
        <v>0</v>
      </c>
      <c r="C88" s="18" t="n">
        <f aca="false">ROUND(AC88*0.15+AD88*0.25+AE88*0.4+AF88*0.2,1)</f>
        <v>6.7</v>
      </c>
      <c r="D88" s="30" t="n">
        <f aca="false">ROUND(B88*0.45+C88*0.55,1)</f>
        <v>3.7</v>
      </c>
      <c r="E88" s="16" t="str">
        <f aca="false">IF(D88&gt;=7,"Alta",IF(D88&gt;=5,"Media","Baixa"))</f>
        <v>Baixa</v>
      </c>
      <c r="F88" s="19" t="s">
        <v>492</v>
      </c>
      <c r="G88" s="16" t="n">
        <v>3</v>
      </c>
      <c r="H88" s="19" t="s">
        <v>493</v>
      </c>
      <c r="I88" s="16" t="n">
        <v>2</v>
      </c>
      <c r="J88" s="31" t="s">
        <v>122</v>
      </c>
      <c r="K88" s="31" t="s">
        <v>134</v>
      </c>
      <c r="L88" s="16" t="n">
        <v>0</v>
      </c>
      <c r="M88" s="16" t="n">
        <v>0</v>
      </c>
      <c r="N88" s="16" t="s">
        <v>354</v>
      </c>
      <c r="O88" s="16" t="s">
        <v>125</v>
      </c>
      <c r="P88" s="19" t="s">
        <v>47</v>
      </c>
      <c r="Q88" s="19" t="s">
        <v>493</v>
      </c>
      <c r="R88" s="32" t="n">
        <v>0</v>
      </c>
      <c r="S88" s="32" t="n">
        <v>27</v>
      </c>
      <c r="T88" s="33" t="n">
        <v>0.85</v>
      </c>
      <c r="U88" s="19" t="s">
        <v>126</v>
      </c>
      <c r="V88" s="16" t="n">
        <v>0</v>
      </c>
      <c r="W88" s="16" t="n">
        <v>1</v>
      </c>
      <c r="X88" s="16" t="s">
        <v>317</v>
      </c>
      <c r="Y88" s="16" t="s">
        <v>317</v>
      </c>
      <c r="Z88" s="19" t="s">
        <v>137</v>
      </c>
      <c r="AA88" s="16" t="s">
        <v>129</v>
      </c>
      <c r="AB88" s="16" t="s">
        <v>12</v>
      </c>
      <c r="AC88" s="16" t="n">
        <v>3</v>
      </c>
      <c r="AD88" s="16" t="n">
        <v>5</v>
      </c>
      <c r="AE88" s="16" t="n">
        <v>10</v>
      </c>
      <c r="AF88" s="16" t="n">
        <v>5</v>
      </c>
      <c r="AG88" s="19"/>
      <c r="AH88" s="19" t="s">
        <v>498</v>
      </c>
    </row>
    <row r="89" customFormat="false" ht="15" hidden="false" customHeight="false" outlineLevel="0" collapsed="false">
      <c r="A89" s="12" t="s">
        <v>499</v>
      </c>
      <c r="B89" s="34" t="n">
        <f aca="false">MIN(10, IF(N89="ativa",5,IF(N89="nova",4,IF(N89="esfriando",2,0)))+IF(L89&gt;=9,3,IF(L89&gt;=3,2,IF(L89&gt;=1,1,0)))+IF(M89&gt;=60,1.5,IF(M89&gt;=30,1,IF(M89&gt;=14,0.5,0)))+IF(V89&gt;=50,1.5,IF(V89&gt;=10,1,IF(V89&gt;=1,0.5,0)))+IF(W89&gt;=4,0.5,0))</f>
        <v>0</v>
      </c>
      <c r="C89" s="13" t="n">
        <f aca="false">ROUND(AC89*0.15+AD89*0.25+AE89*0.4+AF89*0.2,1)</f>
        <v>6.8</v>
      </c>
      <c r="D89" s="34" t="n">
        <f aca="false">ROUND(B89*0.45+C89*0.55,1)</f>
        <v>3.7</v>
      </c>
      <c r="E89" s="11" t="str">
        <f aca="false">IF(D89&gt;=7,"Alta",IF(D89&gt;=5,"Media","Baixa"))</f>
        <v>Baixa</v>
      </c>
      <c r="F89" s="14" t="s">
        <v>500</v>
      </c>
      <c r="G89" s="11" t="n">
        <v>1</v>
      </c>
      <c r="H89" s="14" t="s">
        <v>501</v>
      </c>
      <c r="I89" s="11" t="n">
        <v>1</v>
      </c>
      <c r="J89" s="35" t="s">
        <v>122</v>
      </c>
      <c r="K89" s="35" t="s">
        <v>134</v>
      </c>
      <c r="L89" s="11" t="n">
        <v>0</v>
      </c>
      <c r="M89" s="11" t="n">
        <v>0</v>
      </c>
      <c r="N89" s="11" t="s">
        <v>354</v>
      </c>
      <c r="O89" s="11" t="s">
        <v>125</v>
      </c>
      <c r="P89" s="14" t="s">
        <v>47</v>
      </c>
      <c r="Q89" s="14" t="s">
        <v>501</v>
      </c>
      <c r="R89" s="36" t="n">
        <v>97</v>
      </c>
      <c r="S89" s="36" t="n">
        <v>97</v>
      </c>
      <c r="T89" s="37" t="n">
        <v>0.85</v>
      </c>
      <c r="U89" s="14" t="s">
        <v>126</v>
      </c>
      <c r="V89" s="11" t="n">
        <v>0</v>
      </c>
      <c r="W89" s="11" t="n">
        <v>1</v>
      </c>
      <c r="X89" s="11" t="s">
        <v>317</v>
      </c>
      <c r="Y89" s="11" t="s">
        <v>317</v>
      </c>
      <c r="Z89" s="14" t="s">
        <v>243</v>
      </c>
      <c r="AA89" s="11" t="s">
        <v>129</v>
      </c>
      <c r="AB89" s="11" t="s">
        <v>12</v>
      </c>
      <c r="AC89" s="11" t="n">
        <v>7</v>
      </c>
      <c r="AD89" s="11" t="n">
        <v>7</v>
      </c>
      <c r="AE89" s="11" t="n">
        <v>7</v>
      </c>
      <c r="AF89" s="11" t="n">
        <v>6</v>
      </c>
      <c r="AG89" s="14"/>
      <c r="AH89" s="14" t="s">
        <v>502</v>
      </c>
    </row>
    <row r="90" customFormat="false" ht="15" hidden="false" customHeight="false" outlineLevel="0" collapsed="false">
      <c r="A90" s="17" t="s">
        <v>503</v>
      </c>
      <c r="B90" s="30" t="n">
        <f aca="false">MIN(10, IF(N90="ativa",5,IF(N90="nova",4,IF(N90="esfriando",2,0)))+IF(L90&gt;=9,3,IF(L90&gt;=3,2,IF(L90&gt;=1,1,0)))+IF(M90&gt;=60,1.5,IF(M90&gt;=30,1,IF(M90&gt;=14,0.5,0)))+IF(V90&gt;=50,1.5,IF(V90&gt;=10,1,IF(V90&gt;=1,0.5,0)))+IF(W90&gt;=4,0.5,0))</f>
        <v>0.5</v>
      </c>
      <c r="C90" s="18" t="n">
        <f aca="false">ROUND(AC90*0.15+AD90*0.25+AE90*0.4+AF90*0.2,1)</f>
        <v>6.3</v>
      </c>
      <c r="D90" s="30" t="n">
        <f aca="false">ROUND(B90*0.45+C90*0.55,1)</f>
        <v>3.7</v>
      </c>
      <c r="E90" s="16" t="str">
        <f aca="false">IF(D90&gt;=7,"Alta",IF(D90&gt;=5,"Media","Baixa"))</f>
        <v>Baixa</v>
      </c>
      <c r="F90" s="19" t="s">
        <v>504</v>
      </c>
      <c r="G90" s="16" t="n">
        <v>1</v>
      </c>
      <c r="H90" s="19" t="s">
        <v>155</v>
      </c>
      <c r="I90" s="16" t="n">
        <v>4</v>
      </c>
      <c r="J90" s="31" t="s">
        <v>122</v>
      </c>
      <c r="K90" s="31" t="s">
        <v>134</v>
      </c>
      <c r="L90" s="16" t="n">
        <v>0</v>
      </c>
      <c r="M90" s="16" t="n">
        <v>0</v>
      </c>
      <c r="N90" s="16" t="s">
        <v>354</v>
      </c>
      <c r="O90" s="16" t="s">
        <v>125</v>
      </c>
      <c r="P90" s="19" t="s">
        <v>41</v>
      </c>
      <c r="Q90" s="19" t="s">
        <v>155</v>
      </c>
      <c r="R90" s="32" t="n">
        <v>39</v>
      </c>
      <c r="S90" s="32" t="n">
        <v>39</v>
      </c>
      <c r="T90" s="33" t="n">
        <v>0.9</v>
      </c>
      <c r="U90" s="19" t="s">
        <v>152</v>
      </c>
      <c r="V90" s="16" t="n">
        <v>1</v>
      </c>
      <c r="W90" s="16" t="n">
        <v>2</v>
      </c>
      <c r="X90" s="16" t="s">
        <v>317</v>
      </c>
      <c r="Y90" s="16" t="s">
        <v>317</v>
      </c>
      <c r="Z90" s="19" t="s">
        <v>128</v>
      </c>
      <c r="AA90" s="16" t="s">
        <v>129</v>
      </c>
      <c r="AB90" s="16" t="s">
        <v>12</v>
      </c>
      <c r="AC90" s="16" t="n">
        <v>5</v>
      </c>
      <c r="AD90" s="16" t="n">
        <v>6</v>
      </c>
      <c r="AE90" s="16" t="n">
        <v>7</v>
      </c>
      <c r="AF90" s="16" t="n">
        <v>6</v>
      </c>
      <c r="AG90" s="19"/>
      <c r="AH90" s="19" t="s">
        <v>505</v>
      </c>
    </row>
    <row r="91" customFormat="false" ht="15" hidden="false" customHeight="false" outlineLevel="0" collapsed="false">
      <c r="A91" s="12" t="s">
        <v>506</v>
      </c>
      <c r="B91" s="34" t="n">
        <f aca="false">MIN(10, IF(N91="ativa",5,IF(N91="nova",4,IF(N91="esfriando",2,0)))+IF(L91&gt;=9,3,IF(L91&gt;=3,2,IF(L91&gt;=1,1,0)))+IF(M91&gt;=60,1.5,IF(M91&gt;=30,1,IF(M91&gt;=14,0.5,0)))+IF(V91&gt;=50,1.5,IF(V91&gt;=10,1,IF(V91&gt;=1,0.5,0)))+IF(W91&gt;=4,0.5,0))</f>
        <v>2.5</v>
      </c>
      <c r="C91" s="13" t="n">
        <f aca="false">ROUND(AC91*0.15+AD91*0.25+AE91*0.4+AF91*0.2,1)</f>
        <v>4.5</v>
      </c>
      <c r="D91" s="34" t="n">
        <f aca="false">ROUND(B91*0.45+C91*0.55,1)</f>
        <v>3.6</v>
      </c>
      <c r="E91" s="11" t="str">
        <f aca="false">IF(D91&gt;=7,"Alta",IF(D91&gt;=5,"Media","Baixa"))</f>
        <v>Baixa</v>
      </c>
      <c r="F91" s="14" t="s">
        <v>507</v>
      </c>
      <c r="G91" s="11" t="n">
        <v>1</v>
      </c>
      <c r="H91" s="14" t="s">
        <v>508</v>
      </c>
      <c r="I91" s="11" t="n">
        <v>1</v>
      </c>
      <c r="J91" s="14" t="s">
        <v>28</v>
      </c>
      <c r="K91" s="35" t="s">
        <v>134</v>
      </c>
      <c r="L91" s="11" t="n">
        <v>0</v>
      </c>
      <c r="M91" s="11" t="n">
        <v>0</v>
      </c>
      <c r="N91" s="11" t="s">
        <v>275</v>
      </c>
      <c r="O91" s="11" t="s">
        <v>125</v>
      </c>
      <c r="P91" s="14" t="s">
        <v>68</v>
      </c>
      <c r="Q91" s="14" t="s">
        <v>508</v>
      </c>
      <c r="R91" s="36" t="n">
        <v>299</v>
      </c>
      <c r="S91" s="36" t="n">
        <v>299</v>
      </c>
      <c r="T91" s="37" t="n">
        <v>0.85</v>
      </c>
      <c r="U91" s="14" t="s">
        <v>210</v>
      </c>
      <c r="V91" s="11" t="n">
        <v>1</v>
      </c>
      <c r="W91" s="11" t="n">
        <v>2</v>
      </c>
      <c r="X91" s="11" t="s">
        <v>323</v>
      </c>
      <c r="Y91" s="11" t="s">
        <v>377</v>
      </c>
      <c r="Z91" s="14" t="s">
        <v>213</v>
      </c>
      <c r="AA91" s="11" t="s">
        <v>129</v>
      </c>
      <c r="AB91" s="11" t="s">
        <v>12</v>
      </c>
      <c r="AC91" s="11" t="n">
        <v>10</v>
      </c>
      <c r="AD91" s="11" t="n">
        <v>3</v>
      </c>
      <c r="AE91" s="11" t="n">
        <v>3</v>
      </c>
      <c r="AF91" s="11" t="n">
        <v>5</v>
      </c>
      <c r="AG91" s="14"/>
      <c r="AH91" s="14" t="s">
        <v>509</v>
      </c>
    </row>
    <row r="92" customFormat="false" ht="15" hidden="false" customHeight="false" outlineLevel="0" collapsed="false">
      <c r="A92" s="17" t="s">
        <v>510</v>
      </c>
      <c r="B92" s="30" t="n">
        <f aca="false">MIN(10, IF(N92="ativa",5,IF(N92="nova",4,IF(N92="esfriando",2,0)))+IF(L92&gt;=9,3,IF(L92&gt;=3,2,IF(L92&gt;=1,1,0)))+IF(M92&gt;=60,1.5,IF(M92&gt;=30,1,IF(M92&gt;=14,0.5,0)))+IF(V92&gt;=50,1.5,IF(V92&gt;=10,1,IF(V92&gt;=1,0.5,0)))+IF(W92&gt;=4,0.5,0))</f>
        <v>0</v>
      </c>
      <c r="C92" s="18" t="n">
        <f aca="false">ROUND(AC92*0.15+AD92*0.25+AE92*0.4+AF92*0.2,1)</f>
        <v>6.6</v>
      </c>
      <c r="D92" s="30" t="n">
        <f aca="false">ROUND(B92*0.45+C92*0.55,1)</f>
        <v>3.6</v>
      </c>
      <c r="E92" s="16" t="str">
        <f aca="false">IF(D92&gt;=7,"Alta",IF(D92&gt;=5,"Media","Baixa"))</f>
        <v>Baixa</v>
      </c>
      <c r="F92" s="19" t="s">
        <v>511</v>
      </c>
      <c r="G92" s="16" t="n">
        <v>1</v>
      </c>
      <c r="H92" s="19" t="s">
        <v>512</v>
      </c>
      <c r="I92" s="16" t="n">
        <v>1</v>
      </c>
      <c r="J92" s="31" t="s">
        <v>122</v>
      </c>
      <c r="K92" s="31" t="s">
        <v>134</v>
      </c>
      <c r="L92" s="16" t="n">
        <v>0</v>
      </c>
      <c r="M92" s="16" t="n">
        <v>0</v>
      </c>
      <c r="N92" s="16" t="s">
        <v>354</v>
      </c>
      <c r="O92" s="16" t="s">
        <v>125</v>
      </c>
      <c r="P92" s="19" t="s">
        <v>47</v>
      </c>
      <c r="Q92" s="19" t="s">
        <v>512</v>
      </c>
      <c r="R92" s="32" t="n">
        <v>97</v>
      </c>
      <c r="S92" s="32" t="n">
        <v>97</v>
      </c>
      <c r="T92" s="33" t="n">
        <v>0.85</v>
      </c>
      <c r="U92" s="19" t="s">
        <v>126</v>
      </c>
      <c r="V92" s="16" t="n">
        <v>0</v>
      </c>
      <c r="W92" s="16" t="n">
        <v>1</v>
      </c>
      <c r="X92" s="16" t="s">
        <v>317</v>
      </c>
      <c r="Y92" s="16" t="s">
        <v>317</v>
      </c>
      <c r="Z92" s="19" t="s">
        <v>190</v>
      </c>
      <c r="AA92" s="16" t="s">
        <v>129</v>
      </c>
      <c r="AB92" s="16" t="s">
        <v>12</v>
      </c>
      <c r="AC92" s="16" t="n">
        <v>7</v>
      </c>
      <c r="AD92" s="16" t="n">
        <v>6</v>
      </c>
      <c r="AE92" s="16" t="n">
        <v>6</v>
      </c>
      <c r="AF92" s="16" t="n">
        <v>8</v>
      </c>
      <c r="AG92" s="19"/>
      <c r="AH92" s="19" t="s">
        <v>513</v>
      </c>
    </row>
    <row r="93" customFormat="false" ht="15" hidden="false" customHeight="false" outlineLevel="0" collapsed="false">
      <c r="A93" s="12" t="s">
        <v>514</v>
      </c>
      <c r="B93" s="34" t="n">
        <f aca="false">MIN(10, IF(N93="ativa",5,IF(N93="nova",4,IF(N93="esfriando",2,0)))+IF(L93&gt;=9,3,IF(L93&gt;=3,2,IF(L93&gt;=1,1,0)))+IF(M93&gt;=60,1.5,IF(M93&gt;=30,1,IF(M93&gt;=14,0.5,0)))+IF(V93&gt;=50,1.5,IF(V93&gt;=10,1,IF(V93&gt;=1,0.5,0)))+IF(W93&gt;=4,0.5,0))</f>
        <v>0.5</v>
      </c>
      <c r="C93" s="13" t="n">
        <f aca="false">ROUND(AC93*0.15+AD93*0.25+AE93*0.4+AF93*0.2,1)</f>
        <v>6</v>
      </c>
      <c r="D93" s="34" t="n">
        <f aca="false">ROUND(B93*0.45+C93*0.55,1)</f>
        <v>3.5</v>
      </c>
      <c r="E93" s="11" t="str">
        <f aca="false">IF(D93&gt;=7,"Alta",IF(D93&gt;=5,"Media","Baixa"))</f>
        <v>Baixa</v>
      </c>
      <c r="F93" s="14" t="s">
        <v>515</v>
      </c>
      <c r="G93" s="11" t="n">
        <v>1</v>
      </c>
      <c r="H93" s="14" t="s">
        <v>516</v>
      </c>
      <c r="I93" s="11" t="n">
        <v>1</v>
      </c>
      <c r="J93" s="35" t="s">
        <v>122</v>
      </c>
      <c r="K93" s="35" t="s">
        <v>134</v>
      </c>
      <c r="L93" s="11" t="n">
        <v>0</v>
      </c>
      <c r="M93" s="11" t="n">
        <v>0</v>
      </c>
      <c r="N93" s="11" t="s">
        <v>354</v>
      </c>
      <c r="O93" s="11" t="s">
        <v>125</v>
      </c>
      <c r="P93" s="14" t="s">
        <v>69</v>
      </c>
      <c r="Q93" s="14" t="s">
        <v>516</v>
      </c>
      <c r="R93" s="36" t="n">
        <v>97</v>
      </c>
      <c r="S93" s="36" t="n">
        <v>150</v>
      </c>
      <c r="T93" s="37" t="n">
        <v>0.85</v>
      </c>
      <c r="U93" s="14" t="s">
        <v>148</v>
      </c>
      <c r="V93" s="11" t="n">
        <v>1</v>
      </c>
      <c r="W93" s="11" t="n">
        <v>2</v>
      </c>
      <c r="X93" s="11" t="s">
        <v>277</v>
      </c>
      <c r="Y93" s="11" t="s">
        <v>317</v>
      </c>
      <c r="Z93" s="14" t="s">
        <v>213</v>
      </c>
      <c r="AA93" s="11" t="s">
        <v>191</v>
      </c>
      <c r="AB93" s="11" t="s">
        <v>12</v>
      </c>
      <c r="AC93" s="11" t="n">
        <v>10</v>
      </c>
      <c r="AD93" s="11" t="n">
        <v>5</v>
      </c>
      <c r="AE93" s="11" t="n">
        <v>4</v>
      </c>
      <c r="AF93" s="11" t="n">
        <v>8</v>
      </c>
      <c r="AG93" s="14"/>
      <c r="AH93" s="14" t="s">
        <v>517</v>
      </c>
    </row>
    <row r="94" customFormat="false" ht="15" hidden="false" customHeight="false" outlineLevel="0" collapsed="false">
      <c r="A94" s="17" t="s">
        <v>518</v>
      </c>
      <c r="B94" s="30" t="n">
        <f aca="false">MIN(10, IF(N94="ativa",5,IF(N94="nova",4,IF(N94="esfriando",2,0)))+IF(L94&gt;=9,3,IF(L94&gt;=3,2,IF(L94&gt;=1,1,0)))+IF(M94&gt;=60,1.5,IF(M94&gt;=30,1,IF(M94&gt;=14,0.5,0)))+IF(V94&gt;=50,1.5,IF(V94&gt;=10,1,IF(V94&gt;=1,0.5,0)))+IF(W94&gt;=4,0.5,0))</f>
        <v>0</v>
      </c>
      <c r="C94" s="18" t="n">
        <f aca="false">ROUND(AC94*0.15+AD94*0.25+AE94*0.4+AF94*0.2,1)</f>
        <v>6.4</v>
      </c>
      <c r="D94" s="30" t="n">
        <f aca="false">ROUND(B94*0.45+C94*0.55,1)</f>
        <v>3.5</v>
      </c>
      <c r="E94" s="16" t="str">
        <f aca="false">IF(D94&gt;=7,"Alta",IF(D94&gt;=5,"Media","Baixa"))</f>
        <v>Baixa</v>
      </c>
      <c r="F94" s="19" t="s">
        <v>519</v>
      </c>
      <c r="G94" s="16" t="n">
        <v>1</v>
      </c>
      <c r="H94" s="19" t="s">
        <v>520</v>
      </c>
      <c r="I94" s="16" t="n">
        <v>1</v>
      </c>
      <c r="J94" s="31" t="s">
        <v>122</v>
      </c>
      <c r="K94" s="31" t="s">
        <v>134</v>
      </c>
      <c r="L94" s="16" t="n">
        <v>0</v>
      </c>
      <c r="M94" s="16" t="n">
        <v>0</v>
      </c>
      <c r="N94" s="16" t="s">
        <v>354</v>
      </c>
      <c r="O94" s="16" t="s">
        <v>125</v>
      </c>
      <c r="P94" s="19" t="s">
        <v>41</v>
      </c>
      <c r="Q94" s="19" t="s">
        <v>520</v>
      </c>
      <c r="R94" s="32" t="n">
        <v>7</v>
      </c>
      <c r="S94" s="32" t="n">
        <v>7</v>
      </c>
      <c r="T94" s="33" t="n">
        <v>0.95</v>
      </c>
      <c r="U94" s="19" t="s">
        <v>126</v>
      </c>
      <c r="V94" s="16" t="n">
        <v>0</v>
      </c>
      <c r="W94" s="16" t="n">
        <v>1</v>
      </c>
      <c r="X94" s="16" t="s">
        <v>317</v>
      </c>
      <c r="Y94" s="16" t="s">
        <v>317</v>
      </c>
      <c r="Z94" s="19" t="s">
        <v>307</v>
      </c>
      <c r="AA94" s="16" t="s">
        <v>129</v>
      </c>
      <c r="AB94" s="16" t="s">
        <v>12</v>
      </c>
      <c r="AC94" s="16" t="n">
        <v>1</v>
      </c>
      <c r="AD94" s="16" t="n">
        <v>5</v>
      </c>
      <c r="AE94" s="16" t="n">
        <v>9</v>
      </c>
      <c r="AF94" s="16" t="n">
        <v>7</v>
      </c>
      <c r="AG94" s="19"/>
      <c r="AH94" s="19" t="s">
        <v>521</v>
      </c>
    </row>
    <row r="95" customFormat="false" ht="15" hidden="false" customHeight="false" outlineLevel="0" collapsed="false">
      <c r="A95" s="12" t="s">
        <v>522</v>
      </c>
      <c r="B95" s="34" t="n">
        <f aca="false">MIN(10, IF(N95="ativa",5,IF(N95="nova",4,IF(N95="esfriando",2,0)))+IF(L95&gt;=9,3,IF(L95&gt;=3,2,IF(L95&gt;=1,1,0)))+IF(M95&gt;=60,1.5,IF(M95&gt;=30,1,IF(M95&gt;=14,0.5,0)))+IF(V95&gt;=50,1.5,IF(V95&gt;=10,1,IF(V95&gt;=1,0.5,0)))+IF(W95&gt;=4,0.5,0))</f>
        <v>5.5</v>
      </c>
      <c r="C95" s="13" t="n">
        <f aca="false">ROUND(AC95*0.15+AD95*0.25+AE95*0.4+AF95*0.2,1)</f>
        <v>1.9</v>
      </c>
      <c r="D95" s="34" t="n">
        <f aca="false">ROUND(B95*0.45+C95*0.55,1)</f>
        <v>3.5</v>
      </c>
      <c r="E95" s="11" t="str">
        <f aca="false">IF(D95&gt;=7,"Alta",IF(D95&gt;=5,"Media","Baixa"))</f>
        <v>Baixa</v>
      </c>
      <c r="F95" s="14" t="s">
        <v>523</v>
      </c>
      <c r="G95" s="11" t="n">
        <v>1</v>
      </c>
      <c r="H95" s="14" t="s">
        <v>524</v>
      </c>
      <c r="I95" s="11" t="n">
        <v>1</v>
      </c>
      <c r="J95" s="35" t="s">
        <v>122</v>
      </c>
      <c r="K95" s="35" t="s">
        <v>134</v>
      </c>
      <c r="L95" s="11" t="n">
        <v>0</v>
      </c>
      <c r="M95" s="11" t="n">
        <v>0</v>
      </c>
      <c r="N95" s="11" t="s">
        <v>124</v>
      </c>
      <c r="O95" s="11" t="s">
        <v>184</v>
      </c>
      <c r="P95" s="14" t="s">
        <v>85</v>
      </c>
      <c r="Q95" s="14" t="s">
        <v>524</v>
      </c>
      <c r="R95" s="36" t="n">
        <v>0</v>
      </c>
      <c r="S95" s="36" t="n">
        <v>0</v>
      </c>
      <c r="T95" s="37" t="n">
        <v>0.95</v>
      </c>
      <c r="U95" s="14" t="s">
        <v>160</v>
      </c>
      <c r="V95" s="11" t="n">
        <v>106</v>
      </c>
      <c r="W95" s="11" t="n">
        <v>1</v>
      </c>
      <c r="X95" s="11" t="s">
        <v>142</v>
      </c>
      <c r="Y95" s="11" t="s">
        <v>142</v>
      </c>
      <c r="Z95" s="14" t="s">
        <v>213</v>
      </c>
      <c r="AA95" s="11" t="s">
        <v>129</v>
      </c>
      <c r="AB95" s="11" t="s">
        <v>12</v>
      </c>
      <c r="AC95" s="11" t="n">
        <v>0</v>
      </c>
      <c r="AD95" s="11" t="n">
        <v>2</v>
      </c>
      <c r="AE95" s="11" t="n">
        <v>2</v>
      </c>
      <c r="AF95" s="11" t="n">
        <v>3</v>
      </c>
      <c r="AG95" s="14"/>
      <c r="AH95" s="14" t="s">
        <v>525</v>
      </c>
    </row>
    <row r="96" customFormat="false" ht="15" hidden="false" customHeight="false" outlineLevel="0" collapsed="false">
      <c r="A96" s="17" t="s">
        <v>526</v>
      </c>
      <c r="B96" s="30" t="n">
        <f aca="false">MIN(10, IF(N96="ativa",5,IF(N96="nova",4,IF(N96="esfriando",2,0)))+IF(L96&gt;=9,3,IF(L96&gt;=3,2,IF(L96&gt;=1,1,0)))+IF(M96&gt;=60,1.5,IF(M96&gt;=30,1,IF(M96&gt;=14,0.5,0)))+IF(V96&gt;=50,1.5,IF(V96&gt;=10,1,IF(V96&gt;=1,0.5,0)))+IF(W96&gt;=4,0.5,0))</f>
        <v>2.5</v>
      </c>
      <c r="C96" s="18" t="n">
        <f aca="false">ROUND(AC96*0.15+AD96*0.25+AE96*0.4+AF96*0.2,1)</f>
        <v>4.2</v>
      </c>
      <c r="D96" s="30" t="n">
        <f aca="false">ROUND(B96*0.45+C96*0.55,1)</f>
        <v>3.4</v>
      </c>
      <c r="E96" s="16" t="str">
        <f aca="false">IF(D96&gt;=7,"Alta",IF(D96&gt;=5,"Media","Baixa"))</f>
        <v>Baixa</v>
      </c>
      <c r="F96" s="19" t="s">
        <v>527</v>
      </c>
      <c r="G96" s="16" t="n">
        <v>1</v>
      </c>
      <c r="H96" s="19" t="s">
        <v>528</v>
      </c>
      <c r="I96" s="16" t="n">
        <v>1</v>
      </c>
      <c r="J96" s="19" t="s">
        <v>28</v>
      </c>
      <c r="K96" s="31" t="s">
        <v>134</v>
      </c>
      <c r="L96" s="16" t="n">
        <v>0</v>
      </c>
      <c r="M96" s="16" t="n">
        <v>0</v>
      </c>
      <c r="N96" s="16" t="s">
        <v>275</v>
      </c>
      <c r="O96" s="16" t="s">
        <v>125</v>
      </c>
      <c r="P96" s="19" t="s">
        <v>49</v>
      </c>
      <c r="Q96" s="19" t="s">
        <v>528</v>
      </c>
      <c r="R96" s="32" t="n">
        <v>0</v>
      </c>
      <c r="S96" s="32" t="n">
        <v>0</v>
      </c>
      <c r="T96" s="33" t="n">
        <v>0.85</v>
      </c>
      <c r="U96" s="19" t="s">
        <v>152</v>
      </c>
      <c r="V96" s="16" t="n">
        <v>1</v>
      </c>
      <c r="W96" s="16" t="n">
        <v>2</v>
      </c>
      <c r="X96" s="16" t="s">
        <v>232</v>
      </c>
      <c r="Y96" s="16" t="s">
        <v>211</v>
      </c>
      <c r="Z96" s="19" t="s">
        <v>128</v>
      </c>
      <c r="AA96" s="16" t="s">
        <v>129</v>
      </c>
      <c r="AB96" s="16" t="s">
        <v>12</v>
      </c>
      <c r="AC96" s="16" t="n">
        <v>0</v>
      </c>
      <c r="AD96" s="16" t="n">
        <v>3</v>
      </c>
      <c r="AE96" s="16" t="n">
        <v>7</v>
      </c>
      <c r="AF96" s="16" t="n">
        <v>3</v>
      </c>
      <c r="AG96" s="19"/>
      <c r="AH96" s="19" t="s">
        <v>529</v>
      </c>
    </row>
    <row r="97" customFormat="false" ht="15" hidden="false" customHeight="false" outlineLevel="0" collapsed="false">
      <c r="A97" s="12" t="s">
        <v>530</v>
      </c>
      <c r="B97" s="34" t="n">
        <f aca="false">MIN(10, IF(N97="ativa",5,IF(N97="nova",4,IF(N97="esfriando",2,0)))+IF(L97&gt;=9,3,IF(L97&gt;=3,2,IF(L97&gt;=1,1,0)))+IF(M97&gt;=60,1.5,IF(M97&gt;=30,1,IF(M97&gt;=14,0.5,0)))+IF(V97&gt;=50,1.5,IF(V97&gt;=10,1,IF(V97&gt;=1,0.5,0)))+IF(W97&gt;=4,0.5,0))</f>
        <v>0.5</v>
      </c>
      <c r="C97" s="13" t="n">
        <f aca="false">ROUND(AC97*0.15+AD97*0.25+AE97*0.4+AF97*0.2,1)</f>
        <v>5.7</v>
      </c>
      <c r="D97" s="34" t="n">
        <f aca="false">ROUND(B97*0.45+C97*0.55,1)</f>
        <v>3.4</v>
      </c>
      <c r="E97" s="11" t="str">
        <f aca="false">IF(D97&gt;=7,"Alta",IF(D97&gt;=5,"Media","Baixa"))</f>
        <v>Baixa</v>
      </c>
      <c r="F97" s="14" t="s">
        <v>531</v>
      </c>
      <c r="G97" s="11" t="n">
        <v>1</v>
      </c>
      <c r="H97" s="14" t="s">
        <v>532</v>
      </c>
      <c r="I97" s="11" t="n">
        <v>1</v>
      </c>
      <c r="J97" s="14" t="s">
        <v>28</v>
      </c>
      <c r="K97" s="35" t="s">
        <v>134</v>
      </c>
      <c r="L97" s="11" t="n">
        <v>0</v>
      </c>
      <c r="M97" s="11" t="n">
        <v>0</v>
      </c>
      <c r="N97" s="11" t="s">
        <v>354</v>
      </c>
      <c r="O97" s="11" t="s">
        <v>125</v>
      </c>
      <c r="P97" s="14" t="s">
        <v>86</v>
      </c>
      <c r="Q97" s="14" t="s">
        <v>532</v>
      </c>
      <c r="R97" s="36" t="n">
        <v>197</v>
      </c>
      <c r="S97" s="36" t="n">
        <v>197</v>
      </c>
      <c r="T97" s="37" t="n">
        <v>0.85</v>
      </c>
      <c r="U97" s="14" t="s">
        <v>135</v>
      </c>
      <c r="V97" s="11" t="n">
        <v>2</v>
      </c>
      <c r="W97" s="11" t="n">
        <v>1</v>
      </c>
      <c r="X97" s="11" t="s">
        <v>277</v>
      </c>
      <c r="Y97" s="11" t="s">
        <v>277</v>
      </c>
      <c r="Z97" s="14" t="s">
        <v>213</v>
      </c>
      <c r="AA97" s="11" t="s">
        <v>129</v>
      </c>
      <c r="AB97" s="11" t="s">
        <v>12</v>
      </c>
      <c r="AC97" s="11" t="n">
        <v>9</v>
      </c>
      <c r="AD97" s="11" t="n">
        <v>6</v>
      </c>
      <c r="AE97" s="11" t="n">
        <v>4</v>
      </c>
      <c r="AF97" s="11" t="n">
        <v>6</v>
      </c>
      <c r="AG97" s="14"/>
      <c r="AH97" s="14" t="s">
        <v>533</v>
      </c>
    </row>
    <row r="98" customFormat="false" ht="15" hidden="false" customHeight="false" outlineLevel="0" collapsed="false">
      <c r="A98" s="17" t="s">
        <v>534</v>
      </c>
      <c r="B98" s="30" t="n">
        <f aca="false">MIN(10, IF(N98="ativa",5,IF(N98="nova",4,IF(N98="esfriando",2,0)))+IF(L98&gt;=9,3,IF(L98&gt;=3,2,IF(L98&gt;=1,1,0)))+IF(M98&gt;=60,1.5,IF(M98&gt;=30,1,IF(M98&gt;=14,0.5,0)))+IF(V98&gt;=50,1.5,IF(V98&gt;=10,1,IF(V98&gt;=1,0.5,0)))+IF(W98&gt;=4,0.5,0))</f>
        <v>2.5</v>
      </c>
      <c r="C98" s="18" t="n">
        <f aca="false">ROUND(AC98*0.15+AD98*0.25+AE98*0.4+AF98*0.2,1)</f>
        <v>4.3</v>
      </c>
      <c r="D98" s="30" t="n">
        <f aca="false">ROUND(B98*0.45+C98*0.55,1)</f>
        <v>3.5</v>
      </c>
      <c r="E98" s="16" t="str">
        <f aca="false">IF(D98&gt;=7,"Alta",IF(D98&gt;=5,"Media","Baixa"))</f>
        <v>Baixa</v>
      </c>
      <c r="F98" s="19" t="s">
        <v>535</v>
      </c>
      <c r="G98" s="16" t="n">
        <v>1</v>
      </c>
      <c r="H98" s="19" t="s">
        <v>536</v>
      </c>
      <c r="I98" s="16" t="n">
        <v>1</v>
      </c>
      <c r="J98" s="19" t="s">
        <v>28</v>
      </c>
      <c r="K98" s="31" t="s">
        <v>134</v>
      </c>
      <c r="L98" s="16" t="n">
        <v>0</v>
      </c>
      <c r="M98" s="16" t="n">
        <v>11</v>
      </c>
      <c r="N98" s="16" t="s">
        <v>275</v>
      </c>
      <c r="O98" s="16" t="s">
        <v>125</v>
      </c>
      <c r="P98" s="19" t="s">
        <v>49</v>
      </c>
      <c r="Q98" s="19" t="s">
        <v>536</v>
      </c>
      <c r="R98" s="32" t="n">
        <v>0</v>
      </c>
      <c r="S98" s="32" t="n">
        <v>97</v>
      </c>
      <c r="T98" s="33" t="n">
        <v>0.85</v>
      </c>
      <c r="U98" s="19" t="s">
        <v>210</v>
      </c>
      <c r="V98" s="16" t="n">
        <v>2</v>
      </c>
      <c r="W98" s="16" t="n">
        <v>3</v>
      </c>
      <c r="X98" s="16" t="s">
        <v>299</v>
      </c>
      <c r="Y98" s="16" t="s">
        <v>377</v>
      </c>
      <c r="Z98" s="19" t="s">
        <v>431</v>
      </c>
      <c r="AA98" s="16" t="s">
        <v>129</v>
      </c>
      <c r="AB98" s="16" t="s">
        <v>12</v>
      </c>
      <c r="AC98" s="16" t="n">
        <v>7</v>
      </c>
      <c r="AD98" s="16" t="n">
        <v>4</v>
      </c>
      <c r="AE98" s="16" t="n">
        <v>4</v>
      </c>
      <c r="AF98" s="16" t="n">
        <v>3</v>
      </c>
      <c r="AG98" s="19"/>
      <c r="AH98" s="19" t="s">
        <v>537</v>
      </c>
    </row>
    <row r="99" customFormat="false" ht="15" hidden="false" customHeight="false" outlineLevel="0" collapsed="false">
      <c r="A99" s="12" t="s">
        <v>538</v>
      </c>
      <c r="B99" s="34" t="n">
        <f aca="false">MIN(10, IF(N99="ativa",5,IF(N99="nova",4,IF(N99="esfriando",2,0)))+IF(L99&gt;=9,3,IF(L99&gt;=3,2,IF(L99&gt;=1,1,0)))+IF(M99&gt;=60,1.5,IF(M99&gt;=30,1,IF(M99&gt;=14,0.5,0)))+IF(V99&gt;=50,1.5,IF(V99&gt;=10,1,IF(V99&gt;=1,0.5,0)))+IF(W99&gt;=4,0.5,0))</f>
        <v>2.5</v>
      </c>
      <c r="C99" s="13" t="n">
        <f aca="false">ROUND(AC99*0.15+AD99*0.25+AE99*0.4+AF99*0.2,1)</f>
        <v>4.1</v>
      </c>
      <c r="D99" s="34" t="n">
        <f aca="false">ROUND(B99*0.45+C99*0.55,1)</f>
        <v>3.4</v>
      </c>
      <c r="E99" s="11" t="str">
        <f aca="false">IF(D99&gt;=7,"Alta",IF(D99&gt;=5,"Media","Baixa"))</f>
        <v>Baixa</v>
      </c>
      <c r="F99" s="14" t="s">
        <v>539</v>
      </c>
      <c r="G99" s="11" t="n">
        <v>1</v>
      </c>
      <c r="H99" s="14" t="s">
        <v>540</v>
      </c>
      <c r="I99" s="11" t="n">
        <v>1</v>
      </c>
      <c r="J99" s="14" t="s">
        <v>28</v>
      </c>
      <c r="K99" s="35" t="s">
        <v>134</v>
      </c>
      <c r="L99" s="11" t="n">
        <v>0</v>
      </c>
      <c r="M99" s="11" t="n">
        <v>0</v>
      </c>
      <c r="N99" s="11" t="s">
        <v>275</v>
      </c>
      <c r="O99" s="11" t="s">
        <v>125</v>
      </c>
      <c r="P99" s="14" t="s">
        <v>58</v>
      </c>
      <c r="Q99" s="14" t="s">
        <v>540</v>
      </c>
      <c r="R99" s="36" t="n">
        <v>0</v>
      </c>
      <c r="S99" s="36" t="n">
        <v>0</v>
      </c>
      <c r="T99" s="37" t="n">
        <v>0.85</v>
      </c>
      <c r="U99" s="14" t="s">
        <v>135</v>
      </c>
      <c r="V99" s="11" t="n">
        <v>1</v>
      </c>
      <c r="W99" s="11" t="n">
        <v>2</v>
      </c>
      <c r="X99" s="11" t="s">
        <v>377</v>
      </c>
      <c r="Y99" s="11" t="s">
        <v>232</v>
      </c>
      <c r="Z99" s="14" t="s">
        <v>128</v>
      </c>
      <c r="AA99" s="11" t="s">
        <v>129</v>
      </c>
      <c r="AB99" s="11" t="s">
        <v>12</v>
      </c>
      <c r="AC99" s="11" t="n">
        <v>0</v>
      </c>
      <c r="AD99" s="11" t="n">
        <v>6</v>
      </c>
      <c r="AE99" s="11" t="n">
        <v>5</v>
      </c>
      <c r="AF99" s="11" t="n">
        <v>3</v>
      </c>
      <c r="AG99" s="14"/>
      <c r="AH99" s="14" t="s">
        <v>541</v>
      </c>
    </row>
    <row r="100" customFormat="false" ht="15" hidden="false" customHeight="false" outlineLevel="0" collapsed="false">
      <c r="A100" s="17" t="s">
        <v>542</v>
      </c>
      <c r="B100" s="30" t="n">
        <f aca="false">MIN(10, IF(N100="ativa",5,IF(N100="nova",4,IF(N100="esfriando",2,0)))+IF(L100&gt;=9,3,IF(L100&gt;=3,2,IF(L100&gt;=1,1,0)))+IF(M100&gt;=60,1.5,IF(M100&gt;=30,1,IF(M100&gt;=14,0.5,0)))+IF(V100&gt;=50,1.5,IF(V100&gt;=10,1,IF(V100&gt;=1,0.5,0)))+IF(W100&gt;=4,0.5,0))</f>
        <v>0.5</v>
      </c>
      <c r="C100" s="18" t="n">
        <f aca="false">ROUND(AC100*0.15+AD100*0.25+AE100*0.4+AF100*0.2,1)</f>
        <v>5.9</v>
      </c>
      <c r="D100" s="30" t="n">
        <f aca="false">ROUND(B100*0.45+C100*0.55,1)</f>
        <v>3.5</v>
      </c>
      <c r="E100" s="16" t="str">
        <f aca="false">IF(D100&gt;=7,"Alta",IF(D100&gt;=5,"Media","Baixa"))</f>
        <v>Baixa</v>
      </c>
      <c r="F100" s="19" t="s">
        <v>543</v>
      </c>
      <c r="G100" s="16" t="n">
        <v>1</v>
      </c>
      <c r="H100" s="19" t="s">
        <v>544</v>
      </c>
      <c r="I100" s="16" t="n">
        <v>1</v>
      </c>
      <c r="J100" s="19" t="s">
        <v>28</v>
      </c>
      <c r="K100" s="31" t="s">
        <v>134</v>
      </c>
      <c r="L100" s="16" t="n">
        <v>0</v>
      </c>
      <c r="M100" s="16" t="n">
        <v>0</v>
      </c>
      <c r="N100" s="16" t="s">
        <v>354</v>
      </c>
      <c r="O100" s="16" t="s">
        <v>125</v>
      </c>
      <c r="P100" s="19" t="s">
        <v>61</v>
      </c>
      <c r="Q100" s="19" t="s">
        <v>544</v>
      </c>
      <c r="R100" s="32" t="n">
        <v>9.99</v>
      </c>
      <c r="S100" s="32" t="n">
        <v>22</v>
      </c>
      <c r="T100" s="33" t="n">
        <v>0.95</v>
      </c>
      <c r="U100" s="19" t="s">
        <v>316</v>
      </c>
      <c r="V100" s="16" t="n">
        <v>1</v>
      </c>
      <c r="W100" s="16" t="n">
        <v>1</v>
      </c>
      <c r="X100" s="16" t="s">
        <v>317</v>
      </c>
      <c r="Y100" s="16" t="s">
        <v>317</v>
      </c>
      <c r="Z100" s="19" t="s">
        <v>128</v>
      </c>
      <c r="AA100" s="16" t="s">
        <v>129</v>
      </c>
      <c r="AB100" s="16" t="s">
        <v>12</v>
      </c>
      <c r="AC100" s="16" t="n">
        <v>3</v>
      </c>
      <c r="AD100" s="16" t="n">
        <v>4</v>
      </c>
      <c r="AE100" s="16" t="n">
        <v>9</v>
      </c>
      <c r="AF100" s="16" t="n">
        <v>4</v>
      </c>
      <c r="AG100" s="19"/>
      <c r="AH100" s="19" t="s">
        <v>545</v>
      </c>
    </row>
    <row r="101" customFormat="false" ht="15" hidden="false" customHeight="false" outlineLevel="0" collapsed="false">
      <c r="A101" s="12" t="s">
        <v>546</v>
      </c>
      <c r="B101" s="34" t="n">
        <f aca="false">MIN(10, IF(N101="ativa",5,IF(N101="nova",4,IF(N101="esfriando",2,0)))+IF(L101&gt;=9,3,IF(L101&gt;=3,2,IF(L101&gt;=1,1,0)))+IF(M101&gt;=60,1.5,IF(M101&gt;=30,1,IF(M101&gt;=14,0.5,0)))+IF(V101&gt;=50,1.5,IF(V101&gt;=10,1,IF(V101&gt;=1,0.5,0)))+IF(W101&gt;=4,0.5,0))</f>
        <v>0</v>
      </c>
      <c r="C101" s="13" t="n">
        <f aca="false">ROUND(AC101*0.15+AD101*0.25+AE101*0.4+AF101*0.2,1)</f>
        <v>6.3</v>
      </c>
      <c r="D101" s="34" t="n">
        <f aca="false">ROUND(B101*0.45+C101*0.55,1)</f>
        <v>3.5</v>
      </c>
      <c r="E101" s="11" t="str">
        <f aca="false">IF(D101&gt;=7,"Alta",IF(D101&gt;=5,"Media","Baixa"))</f>
        <v>Baixa</v>
      </c>
      <c r="F101" s="14" t="s">
        <v>547</v>
      </c>
      <c r="G101" s="11" t="n">
        <v>1</v>
      </c>
      <c r="H101" s="14" t="s">
        <v>447</v>
      </c>
      <c r="I101" s="11" t="n">
        <v>5</v>
      </c>
      <c r="J101" s="35" t="s">
        <v>122</v>
      </c>
      <c r="K101" s="35" t="s">
        <v>134</v>
      </c>
      <c r="L101" s="11" t="n">
        <v>0</v>
      </c>
      <c r="M101" s="11" t="n">
        <v>0</v>
      </c>
      <c r="N101" s="11" t="s">
        <v>354</v>
      </c>
      <c r="O101" s="11" t="s">
        <v>125</v>
      </c>
      <c r="P101" s="14" t="s">
        <v>41</v>
      </c>
      <c r="Q101" s="14" t="s">
        <v>447</v>
      </c>
      <c r="R101" s="36" t="n">
        <v>37</v>
      </c>
      <c r="S101" s="36" t="n">
        <v>37</v>
      </c>
      <c r="T101" s="37" t="n">
        <v>0.92</v>
      </c>
      <c r="U101" s="14" t="s">
        <v>152</v>
      </c>
      <c r="V101" s="11" t="n">
        <v>0</v>
      </c>
      <c r="W101" s="11" t="n">
        <v>1</v>
      </c>
      <c r="X101" s="11" t="s">
        <v>317</v>
      </c>
      <c r="Y101" s="11" t="s">
        <v>317</v>
      </c>
      <c r="Z101" s="14" t="s">
        <v>355</v>
      </c>
      <c r="AA101" s="11" t="s">
        <v>129</v>
      </c>
      <c r="AB101" s="11" t="s">
        <v>12</v>
      </c>
      <c r="AC101" s="11" t="n">
        <v>4</v>
      </c>
      <c r="AD101" s="11" t="n">
        <v>5</v>
      </c>
      <c r="AE101" s="11" t="n">
        <v>9</v>
      </c>
      <c r="AF101" s="11" t="n">
        <v>4</v>
      </c>
      <c r="AG101" s="14"/>
      <c r="AH101" s="14" t="s">
        <v>548</v>
      </c>
    </row>
    <row r="102" customFormat="false" ht="15" hidden="false" customHeight="false" outlineLevel="0" collapsed="false">
      <c r="A102" s="17" t="s">
        <v>549</v>
      </c>
      <c r="B102" s="30" t="n">
        <f aca="false">MIN(10, IF(N102="ativa",5,IF(N102="nova",4,IF(N102="esfriando",2,0)))+IF(L102&gt;=9,3,IF(L102&gt;=3,2,IF(L102&gt;=1,1,0)))+IF(M102&gt;=60,1.5,IF(M102&gt;=30,1,IF(M102&gt;=14,0.5,0)))+IF(V102&gt;=50,1.5,IF(V102&gt;=10,1,IF(V102&gt;=1,0.5,0)))+IF(W102&gt;=4,0.5,0))</f>
        <v>0.5</v>
      </c>
      <c r="C102" s="18" t="n">
        <f aca="false">ROUND(AC102*0.15+AD102*0.25+AE102*0.4+AF102*0.2,1)</f>
        <v>5.9</v>
      </c>
      <c r="D102" s="30" t="n">
        <f aca="false">ROUND(B102*0.45+C102*0.55,1)</f>
        <v>3.5</v>
      </c>
      <c r="E102" s="16" t="str">
        <f aca="false">IF(D102&gt;=7,"Alta",IF(D102&gt;=5,"Media","Baixa"))</f>
        <v>Baixa</v>
      </c>
      <c r="F102" s="19" t="s">
        <v>550</v>
      </c>
      <c r="G102" s="16" t="n">
        <v>1</v>
      </c>
      <c r="H102" s="19" t="s">
        <v>551</v>
      </c>
      <c r="I102" s="16" t="n">
        <v>1</v>
      </c>
      <c r="J102" s="31" t="s">
        <v>122</v>
      </c>
      <c r="K102" s="31" t="s">
        <v>134</v>
      </c>
      <c r="L102" s="16" t="n">
        <v>0</v>
      </c>
      <c r="M102" s="16" t="n">
        <v>0</v>
      </c>
      <c r="N102" s="16" t="s">
        <v>354</v>
      </c>
      <c r="O102" s="16" t="s">
        <v>125</v>
      </c>
      <c r="P102" s="19" t="s">
        <v>70</v>
      </c>
      <c r="Q102" s="19" t="s">
        <v>551</v>
      </c>
      <c r="R102" s="32" t="n">
        <v>29.98</v>
      </c>
      <c r="S102" s="32" t="n">
        <v>50</v>
      </c>
      <c r="T102" s="33" t="n">
        <v>0.85</v>
      </c>
      <c r="U102" s="19" t="s">
        <v>135</v>
      </c>
      <c r="V102" s="16" t="n">
        <v>2</v>
      </c>
      <c r="W102" s="16" t="n">
        <v>2</v>
      </c>
      <c r="X102" s="16" t="s">
        <v>277</v>
      </c>
      <c r="Y102" s="16" t="s">
        <v>317</v>
      </c>
      <c r="Z102" s="19" t="s">
        <v>213</v>
      </c>
      <c r="AA102" s="16" t="s">
        <v>191</v>
      </c>
      <c r="AB102" s="16" t="s">
        <v>12</v>
      </c>
      <c r="AC102" s="16" t="n">
        <v>9</v>
      </c>
      <c r="AD102" s="16" t="n">
        <v>6</v>
      </c>
      <c r="AE102" s="16" t="n">
        <v>5</v>
      </c>
      <c r="AF102" s="16" t="n">
        <v>5</v>
      </c>
      <c r="AG102" s="19"/>
      <c r="AH102" s="19" t="s">
        <v>552</v>
      </c>
    </row>
    <row r="103" customFormat="false" ht="15" hidden="false" customHeight="false" outlineLevel="0" collapsed="false">
      <c r="A103" s="12" t="s">
        <v>553</v>
      </c>
      <c r="B103" s="34" t="n">
        <f aca="false">MIN(10, IF(N103="ativa",5,IF(N103="nova",4,IF(N103="esfriando",2,0)))+IF(L103&gt;=9,3,IF(L103&gt;=3,2,IF(L103&gt;=1,1,0)))+IF(M103&gt;=60,1.5,IF(M103&gt;=30,1,IF(M103&gt;=14,0.5,0)))+IF(V103&gt;=50,1.5,IF(V103&gt;=10,1,IF(V103&gt;=1,0.5,0)))+IF(W103&gt;=4,0.5,0))</f>
        <v>0</v>
      </c>
      <c r="C103" s="13" t="n">
        <f aca="false">ROUND(AC103*0.15+AD103*0.25+AE103*0.4+AF103*0.2,1)</f>
        <v>6.2</v>
      </c>
      <c r="D103" s="34" t="n">
        <f aca="false">ROUND(B103*0.45+C103*0.55,1)</f>
        <v>3.4</v>
      </c>
      <c r="E103" s="11" t="str">
        <f aca="false">IF(D103&gt;=7,"Alta",IF(D103&gt;=5,"Media","Baixa"))</f>
        <v>Baixa</v>
      </c>
      <c r="F103" s="14" t="s">
        <v>554</v>
      </c>
      <c r="G103" s="11" t="n">
        <v>1</v>
      </c>
      <c r="H103" s="14" t="s">
        <v>372</v>
      </c>
      <c r="I103" s="11" t="n">
        <v>2</v>
      </c>
      <c r="J103" s="35" t="s">
        <v>122</v>
      </c>
      <c r="K103" s="35" t="s">
        <v>134</v>
      </c>
      <c r="L103" s="11" t="n">
        <v>0</v>
      </c>
      <c r="M103" s="11" t="n">
        <v>0</v>
      </c>
      <c r="N103" s="11" t="s">
        <v>354</v>
      </c>
      <c r="O103" s="11" t="s">
        <v>125</v>
      </c>
      <c r="P103" s="14" t="s">
        <v>41</v>
      </c>
      <c r="Q103" s="14" t="s">
        <v>372</v>
      </c>
      <c r="R103" s="36" t="n">
        <v>47</v>
      </c>
      <c r="S103" s="36" t="n">
        <v>47</v>
      </c>
      <c r="T103" s="37" t="n">
        <v>0.95</v>
      </c>
      <c r="U103" s="14" t="s">
        <v>126</v>
      </c>
      <c r="V103" s="11" t="n">
        <v>0</v>
      </c>
      <c r="W103" s="11" t="n">
        <v>1</v>
      </c>
      <c r="X103" s="11" t="s">
        <v>317</v>
      </c>
      <c r="Y103" s="11" t="s">
        <v>317</v>
      </c>
      <c r="Z103" s="14" t="s">
        <v>307</v>
      </c>
      <c r="AA103" s="11" t="s">
        <v>129</v>
      </c>
      <c r="AB103" s="11" t="s">
        <v>12</v>
      </c>
      <c r="AC103" s="11" t="n">
        <v>5</v>
      </c>
      <c r="AD103" s="11" t="n">
        <v>5</v>
      </c>
      <c r="AE103" s="11" t="n">
        <v>8</v>
      </c>
      <c r="AF103" s="11" t="n">
        <v>5</v>
      </c>
      <c r="AG103" s="14"/>
      <c r="AH103" s="14" t="s">
        <v>555</v>
      </c>
    </row>
    <row r="104" customFormat="false" ht="15" hidden="false" customHeight="false" outlineLevel="0" collapsed="false">
      <c r="A104" s="17" t="s">
        <v>556</v>
      </c>
      <c r="B104" s="30" t="n">
        <f aca="false">MIN(10, IF(N104="ativa",5,IF(N104="nova",4,IF(N104="esfriando",2,0)))+IF(L104&gt;=9,3,IF(L104&gt;=3,2,IF(L104&gt;=1,1,0)))+IF(M104&gt;=60,1.5,IF(M104&gt;=30,1,IF(M104&gt;=14,0.5,0)))+IF(V104&gt;=50,1.5,IF(V104&gt;=10,1,IF(V104&gt;=1,0.5,0)))+IF(W104&gt;=4,0.5,0))</f>
        <v>0</v>
      </c>
      <c r="C104" s="18" t="n">
        <f aca="false">ROUND(AC104*0.15+AD104*0.25+AE104*0.4+AF104*0.2,1)</f>
        <v>6.1</v>
      </c>
      <c r="D104" s="30" t="n">
        <f aca="false">ROUND(B104*0.45+C104*0.55,1)</f>
        <v>3.4</v>
      </c>
      <c r="E104" s="16" t="str">
        <f aca="false">IF(D104&gt;=7,"Alta",IF(D104&gt;=5,"Media","Baixa"))</f>
        <v>Baixa</v>
      </c>
      <c r="F104" s="19" t="s">
        <v>557</v>
      </c>
      <c r="G104" s="16" t="n">
        <v>1</v>
      </c>
      <c r="H104" s="19" t="s">
        <v>421</v>
      </c>
      <c r="I104" s="16" t="n">
        <v>3</v>
      </c>
      <c r="J104" s="31" t="s">
        <v>122</v>
      </c>
      <c r="K104" s="31" t="s">
        <v>134</v>
      </c>
      <c r="L104" s="16" t="n">
        <v>0</v>
      </c>
      <c r="M104" s="16" t="n">
        <v>0</v>
      </c>
      <c r="N104" s="16" t="s">
        <v>354</v>
      </c>
      <c r="O104" s="16" t="s">
        <v>125</v>
      </c>
      <c r="P104" s="19" t="s">
        <v>41</v>
      </c>
      <c r="Q104" s="19" t="s">
        <v>421</v>
      </c>
      <c r="R104" s="32" t="n">
        <v>37</v>
      </c>
      <c r="S104" s="32" t="n">
        <v>37</v>
      </c>
      <c r="T104" s="33" t="n">
        <v>0.95</v>
      </c>
      <c r="U104" s="19" t="s">
        <v>126</v>
      </c>
      <c r="V104" s="16" t="n">
        <v>0</v>
      </c>
      <c r="W104" s="16" t="n">
        <v>1</v>
      </c>
      <c r="X104" s="16" t="s">
        <v>317</v>
      </c>
      <c r="Y104" s="16" t="s">
        <v>317</v>
      </c>
      <c r="Z104" s="19" t="s">
        <v>307</v>
      </c>
      <c r="AA104" s="16" t="s">
        <v>129</v>
      </c>
      <c r="AB104" s="16" t="s">
        <v>12</v>
      </c>
      <c r="AC104" s="16" t="n">
        <v>4</v>
      </c>
      <c r="AD104" s="16" t="n">
        <v>5</v>
      </c>
      <c r="AE104" s="16" t="n">
        <v>8</v>
      </c>
      <c r="AF104" s="16" t="n">
        <v>5</v>
      </c>
      <c r="AG104" s="19"/>
      <c r="AH104" s="19" t="s">
        <v>558</v>
      </c>
    </row>
    <row r="105" customFormat="false" ht="15" hidden="false" customHeight="false" outlineLevel="0" collapsed="false">
      <c r="A105" s="12" t="s">
        <v>559</v>
      </c>
      <c r="B105" s="34" t="n">
        <f aca="false">MIN(10, IF(N105="ativa",5,IF(N105="nova",4,IF(N105="esfriando",2,0)))+IF(L105&gt;=9,3,IF(L105&gt;=3,2,IF(L105&gt;=1,1,0)))+IF(M105&gt;=60,1.5,IF(M105&gt;=30,1,IF(M105&gt;=14,0.5,0)))+IF(V105&gt;=50,1.5,IF(V105&gt;=10,1,IF(V105&gt;=1,0.5,0)))+IF(W105&gt;=4,0.5,0))</f>
        <v>0.5</v>
      </c>
      <c r="C105" s="13" t="n">
        <f aca="false">ROUND(AC105*0.15+AD105*0.25+AE105*0.4+AF105*0.2,1)</f>
        <v>5.2</v>
      </c>
      <c r="D105" s="34" t="n">
        <f aca="false">ROUND(B105*0.45+C105*0.55,1)</f>
        <v>3.1</v>
      </c>
      <c r="E105" s="11" t="str">
        <f aca="false">IF(D105&gt;=7,"Alta",IF(D105&gt;=5,"Media","Baixa"))</f>
        <v>Baixa</v>
      </c>
      <c r="F105" s="14" t="s">
        <v>560</v>
      </c>
      <c r="G105" s="11" t="n">
        <v>1</v>
      </c>
      <c r="H105" s="14" t="s">
        <v>421</v>
      </c>
      <c r="I105" s="11" t="n">
        <v>3</v>
      </c>
      <c r="J105" s="35" t="s">
        <v>122</v>
      </c>
      <c r="K105" s="35" t="s">
        <v>134</v>
      </c>
      <c r="L105" s="11" t="n">
        <v>0</v>
      </c>
      <c r="M105" s="11" t="n">
        <v>0</v>
      </c>
      <c r="N105" s="11" t="s">
        <v>354</v>
      </c>
      <c r="O105" s="11" t="s">
        <v>125</v>
      </c>
      <c r="P105" s="14" t="s">
        <v>41</v>
      </c>
      <c r="Q105" s="14" t="s">
        <v>421</v>
      </c>
      <c r="R105" s="36" t="n">
        <v>0</v>
      </c>
      <c r="S105" s="36" t="n">
        <v>90</v>
      </c>
      <c r="T105" s="37" t="n">
        <v>0.6</v>
      </c>
      <c r="U105" s="14" t="s">
        <v>126</v>
      </c>
      <c r="V105" s="11" t="n">
        <v>1</v>
      </c>
      <c r="W105" s="11" t="n">
        <v>1</v>
      </c>
      <c r="X105" s="11" t="s">
        <v>317</v>
      </c>
      <c r="Y105" s="11" t="s">
        <v>317</v>
      </c>
      <c r="Z105" s="14" t="s">
        <v>561</v>
      </c>
      <c r="AA105" s="11" t="s">
        <v>129</v>
      </c>
      <c r="AB105" s="11" t="s">
        <v>12</v>
      </c>
      <c r="AC105" s="11" t="n">
        <v>7</v>
      </c>
      <c r="AD105" s="11" t="n">
        <v>6</v>
      </c>
      <c r="AE105" s="11" t="n">
        <v>3</v>
      </c>
      <c r="AF105" s="11" t="n">
        <v>7</v>
      </c>
      <c r="AG105" s="14"/>
      <c r="AH105" s="14" t="s">
        <v>562</v>
      </c>
    </row>
    <row r="106" customFormat="false" ht="15" hidden="false" customHeight="false" outlineLevel="0" collapsed="false">
      <c r="A106" s="17" t="s">
        <v>563</v>
      </c>
      <c r="B106" s="30" t="n">
        <f aca="false">MIN(10, IF(N106="ativa",5,IF(N106="nova",4,IF(N106="esfriando",2,0)))+IF(L106&gt;=9,3,IF(L106&gt;=3,2,IF(L106&gt;=1,1,0)))+IF(M106&gt;=60,1.5,IF(M106&gt;=30,1,IF(M106&gt;=14,0.5,0)))+IF(V106&gt;=50,1.5,IF(V106&gt;=10,1,IF(V106&gt;=1,0.5,0)))+IF(W106&gt;=4,0.5,0))</f>
        <v>2.5</v>
      </c>
      <c r="C106" s="18" t="n">
        <f aca="false">ROUND(AC106*0.15+AD106*0.25+AE106*0.4+AF106*0.2,1)</f>
        <v>3.6</v>
      </c>
      <c r="D106" s="30" t="n">
        <f aca="false">ROUND(B106*0.45+C106*0.55,1)</f>
        <v>3.1</v>
      </c>
      <c r="E106" s="16" t="str">
        <f aca="false">IF(D106&gt;=7,"Alta",IF(D106&gt;=5,"Media","Baixa"))</f>
        <v>Baixa</v>
      </c>
      <c r="F106" s="19" t="s">
        <v>564</v>
      </c>
      <c r="G106" s="16" t="n">
        <v>1</v>
      </c>
      <c r="H106" s="19" t="s">
        <v>565</v>
      </c>
      <c r="I106" s="16" t="n">
        <v>1</v>
      </c>
      <c r="J106" s="19" t="s">
        <v>28</v>
      </c>
      <c r="K106" s="31" t="s">
        <v>134</v>
      </c>
      <c r="L106" s="16" t="n">
        <v>0</v>
      </c>
      <c r="M106" s="16" t="n">
        <v>0</v>
      </c>
      <c r="N106" s="16" t="s">
        <v>275</v>
      </c>
      <c r="O106" s="16" t="s">
        <v>125</v>
      </c>
      <c r="P106" s="19" t="s">
        <v>69</v>
      </c>
      <c r="Q106" s="19" t="s">
        <v>565</v>
      </c>
      <c r="R106" s="32" t="n">
        <v>0</v>
      </c>
      <c r="S106" s="32" t="n">
        <v>0</v>
      </c>
      <c r="T106" s="33" t="n">
        <v>0.85</v>
      </c>
      <c r="U106" s="19" t="s">
        <v>152</v>
      </c>
      <c r="V106" s="16" t="n">
        <v>1</v>
      </c>
      <c r="W106" s="16" t="n">
        <v>2</v>
      </c>
      <c r="X106" s="16" t="s">
        <v>323</v>
      </c>
      <c r="Y106" s="16" t="s">
        <v>377</v>
      </c>
      <c r="Z106" s="19" t="s">
        <v>213</v>
      </c>
      <c r="AA106" s="16" t="s">
        <v>129</v>
      </c>
      <c r="AB106" s="16" t="s">
        <v>12</v>
      </c>
      <c r="AC106" s="16" t="n">
        <v>0</v>
      </c>
      <c r="AD106" s="16" t="n">
        <v>3</v>
      </c>
      <c r="AE106" s="16" t="n">
        <v>4</v>
      </c>
      <c r="AF106" s="16" t="n">
        <v>6</v>
      </c>
      <c r="AG106" s="19"/>
      <c r="AH106" s="19" t="s">
        <v>566</v>
      </c>
    </row>
    <row r="107" customFormat="false" ht="15" hidden="false" customHeight="false" outlineLevel="0" collapsed="false">
      <c r="A107" s="12" t="s">
        <v>567</v>
      </c>
      <c r="B107" s="34" t="n">
        <f aca="false">MIN(10, IF(N107="ativa",5,IF(N107="nova",4,IF(N107="esfriando",2,0)))+IF(L107&gt;=9,3,IF(L107&gt;=3,2,IF(L107&gt;=1,1,0)))+IF(M107&gt;=60,1.5,IF(M107&gt;=30,1,IF(M107&gt;=14,0.5,0)))+IF(V107&gt;=50,1.5,IF(V107&gt;=10,1,IF(V107&gt;=1,0.5,0)))+IF(W107&gt;=4,0.5,0))</f>
        <v>0.5</v>
      </c>
      <c r="C107" s="13" t="n">
        <f aca="false">ROUND(AC107*0.15+AD107*0.25+AE107*0.4+AF107*0.2,1)</f>
        <v>5.3</v>
      </c>
      <c r="D107" s="34" t="n">
        <f aca="false">ROUND(B107*0.45+C107*0.55,1)</f>
        <v>3.1</v>
      </c>
      <c r="E107" s="11" t="str">
        <f aca="false">IF(D107&gt;=7,"Alta",IF(D107&gt;=5,"Media","Baixa"))</f>
        <v>Baixa</v>
      </c>
      <c r="F107" s="14" t="s">
        <v>568</v>
      </c>
      <c r="G107" s="11" t="n">
        <v>1</v>
      </c>
      <c r="H107" s="14" t="s">
        <v>569</v>
      </c>
      <c r="I107" s="11" t="n">
        <v>1</v>
      </c>
      <c r="J107" s="14" t="s">
        <v>28</v>
      </c>
      <c r="K107" s="35" t="s">
        <v>134</v>
      </c>
      <c r="L107" s="11" t="n">
        <v>0</v>
      </c>
      <c r="M107" s="11" t="n">
        <v>0</v>
      </c>
      <c r="N107" s="11" t="s">
        <v>354</v>
      </c>
      <c r="O107" s="11" t="s">
        <v>125</v>
      </c>
      <c r="P107" s="14" t="s">
        <v>87</v>
      </c>
      <c r="Q107" s="14" t="s">
        <v>569</v>
      </c>
      <c r="R107" s="36" t="n">
        <v>9</v>
      </c>
      <c r="S107" s="36" t="n">
        <v>30</v>
      </c>
      <c r="T107" s="37" t="n">
        <v>0.85</v>
      </c>
      <c r="U107" s="14" t="s">
        <v>148</v>
      </c>
      <c r="V107" s="11" t="n">
        <v>1</v>
      </c>
      <c r="W107" s="11" t="n">
        <v>1</v>
      </c>
      <c r="X107" s="11" t="s">
        <v>277</v>
      </c>
      <c r="Y107" s="11" t="s">
        <v>277</v>
      </c>
      <c r="Z107" s="14" t="s">
        <v>570</v>
      </c>
      <c r="AA107" s="11" t="s">
        <v>129</v>
      </c>
      <c r="AB107" s="11" t="s">
        <v>170</v>
      </c>
      <c r="AC107" s="11" t="n">
        <v>4</v>
      </c>
      <c r="AD107" s="11" t="n">
        <v>5</v>
      </c>
      <c r="AE107" s="11" t="n">
        <v>6</v>
      </c>
      <c r="AF107" s="11" t="n">
        <v>5</v>
      </c>
      <c r="AG107" s="14"/>
      <c r="AH107" s="14" t="s">
        <v>571</v>
      </c>
    </row>
    <row r="108" customFormat="false" ht="15" hidden="false" customHeight="false" outlineLevel="0" collapsed="false">
      <c r="A108" s="17" t="s">
        <v>572</v>
      </c>
      <c r="B108" s="30" t="n">
        <f aca="false">MIN(10, IF(N108="ativa",5,IF(N108="nova",4,IF(N108="esfriando",2,0)))+IF(L108&gt;=9,3,IF(L108&gt;=3,2,IF(L108&gt;=1,1,0)))+IF(M108&gt;=60,1.5,IF(M108&gt;=30,1,IF(M108&gt;=14,0.5,0)))+IF(V108&gt;=50,1.5,IF(V108&gt;=10,1,IF(V108&gt;=1,0.5,0)))+IF(W108&gt;=4,0.5,0))</f>
        <v>0</v>
      </c>
      <c r="C108" s="18" t="n">
        <f aca="false">ROUND(AC108*0.15+AD108*0.25+AE108*0.4+AF108*0.2,1)</f>
        <v>5.6</v>
      </c>
      <c r="D108" s="30" t="n">
        <f aca="false">ROUND(B108*0.45+C108*0.55,1)</f>
        <v>3.1</v>
      </c>
      <c r="E108" s="16" t="str">
        <f aca="false">IF(D108&gt;=7,"Alta",IF(D108&gt;=5,"Media","Baixa"))</f>
        <v>Baixa</v>
      </c>
      <c r="F108" s="19" t="s">
        <v>573</v>
      </c>
      <c r="G108" s="16" t="n">
        <v>1</v>
      </c>
      <c r="H108" s="19" t="s">
        <v>574</v>
      </c>
      <c r="I108" s="16" t="n">
        <v>1</v>
      </c>
      <c r="J108" s="31" t="s">
        <v>122</v>
      </c>
      <c r="K108" s="31" t="s">
        <v>134</v>
      </c>
      <c r="L108" s="16" t="n">
        <v>0</v>
      </c>
      <c r="M108" s="16" t="n">
        <v>0</v>
      </c>
      <c r="N108" s="16" t="s">
        <v>354</v>
      </c>
      <c r="O108" s="16" t="s">
        <v>125</v>
      </c>
      <c r="P108" s="19" t="s">
        <v>47</v>
      </c>
      <c r="Q108" s="19" t="s">
        <v>574</v>
      </c>
      <c r="R108" s="32" t="n">
        <v>547</v>
      </c>
      <c r="S108" s="32" t="n">
        <v>547</v>
      </c>
      <c r="T108" s="33" t="n">
        <v>0.85</v>
      </c>
      <c r="U108" s="19" t="s">
        <v>126</v>
      </c>
      <c r="V108" s="16" t="n">
        <v>0</v>
      </c>
      <c r="W108" s="16" t="n">
        <v>1</v>
      </c>
      <c r="X108" s="16" t="s">
        <v>317</v>
      </c>
      <c r="Y108" s="16" t="s">
        <v>317</v>
      </c>
      <c r="Z108" s="19" t="s">
        <v>190</v>
      </c>
      <c r="AA108" s="16" t="s">
        <v>129</v>
      </c>
      <c r="AB108" s="16" t="s">
        <v>12</v>
      </c>
      <c r="AC108" s="16" t="n">
        <v>10</v>
      </c>
      <c r="AD108" s="16" t="n">
        <v>6</v>
      </c>
      <c r="AE108" s="16" t="n">
        <v>3</v>
      </c>
      <c r="AF108" s="16" t="n">
        <v>7</v>
      </c>
      <c r="AG108" s="19"/>
      <c r="AH108" s="19" t="s">
        <v>575</v>
      </c>
    </row>
    <row r="109" customFormat="false" ht="15" hidden="false" customHeight="false" outlineLevel="0" collapsed="false">
      <c r="A109" s="12" t="s">
        <v>576</v>
      </c>
      <c r="B109" s="34" t="n">
        <f aca="false">MIN(10, IF(N109="ativa",5,IF(N109="nova",4,IF(N109="esfriando",2,0)))+IF(L109&gt;=9,3,IF(L109&gt;=3,2,IF(L109&gt;=1,1,0)))+IF(M109&gt;=60,1.5,IF(M109&gt;=30,1,IF(M109&gt;=14,0.5,0)))+IF(V109&gt;=50,1.5,IF(V109&gt;=10,1,IF(V109&gt;=1,0.5,0)))+IF(W109&gt;=4,0.5,0))</f>
        <v>0.5</v>
      </c>
      <c r="C109" s="13" t="n">
        <f aca="false">ROUND(AC109*0.15+AD109*0.25+AE109*0.4+AF109*0.2,1)</f>
        <v>5</v>
      </c>
      <c r="D109" s="34" t="n">
        <f aca="false">ROUND(B109*0.45+C109*0.55,1)</f>
        <v>3</v>
      </c>
      <c r="E109" s="11" t="str">
        <f aca="false">IF(D109&gt;=7,"Alta",IF(D109&gt;=5,"Media","Baixa"))</f>
        <v>Baixa</v>
      </c>
      <c r="F109" s="14" t="s">
        <v>577</v>
      </c>
      <c r="G109" s="11" t="n">
        <v>1</v>
      </c>
      <c r="H109" s="14" t="s">
        <v>578</v>
      </c>
      <c r="I109" s="11" t="n">
        <v>1</v>
      </c>
      <c r="J109" s="14" t="s">
        <v>28</v>
      </c>
      <c r="K109" s="35" t="s">
        <v>134</v>
      </c>
      <c r="L109" s="11" t="n">
        <v>0</v>
      </c>
      <c r="M109" s="11" t="n">
        <v>0</v>
      </c>
      <c r="N109" s="11" t="s">
        <v>354</v>
      </c>
      <c r="O109" s="11" t="s">
        <v>125</v>
      </c>
      <c r="P109" s="14" t="s">
        <v>71</v>
      </c>
      <c r="Q109" s="14" t="s">
        <v>578</v>
      </c>
      <c r="R109" s="36" t="n">
        <v>37</v>
      </c>
      <c r="S109" s="36" t="n">
        <v>60</v>
      </c>
      <c r="T109" s="37" t="n">
        <v>0.9</v>
      </c>
      <c r="U109" s="14" t="s">
        <v>148</v>
      </c>
      <c r="V109" s="11" t="n">
        <v>1</v>
      </c>
      <c r="W109" s="11" t="n">
        <v>1</v>
      </c>
      <c r="X109" s="11" t="s">
        <v>317</v>
      </c>
      <c r="Y109" s="11" t="s">
        <v>317</v>
      </c>
      <c r="Z109" s="14" t="s">
        <v>137</v>
      </c>
      <c r="AA109" s="11" t="s">
        <v>129</v>
      </c>
      <c r="AB109" s="11" t="s">
        <v>170</v>
      </c>
      <c r="AC109" s="11" t="n">
        <v>7</v>
      </c>
      <c r="AD109" s="11" t="n">
        <v>6</v>
      </c>
      <c r="AE109" s="11" t="n">
        <v>4</v>
      </c>
      <c r="AF109" s="11" t="n">
        <v>4</v>
      </c>
      <c r="AG109" s="14"/>
      <c r="AH109" s="14" t="s">
        <v>579</v>
      </c>
    </row>
    <row r="110" customFormat="false" ht="15" hidden="false" customHeight="false" outlineLevel="0" collapsed="false">
      <c r="A110" s="17" t="s">
        <v>580</v>
      </c>
      <c r="B110" s="30" t="n">
        <f aca="false">MIN(10, IF(N110="ativa",5,IF(N110="nova",4,IF(N110="esfriando",2,0)))+IF(L110&gt;=9,3,IF(L110&gt;=3,2,IF(L110&gt;=1,1,0)))+IF(M110&gt;=60,1.5,IF(M110&gt;=30,1,IF(M110&gt;=14,0.5,0)))+IF(V110&gt;=50,1.5,IF(V110&gt;=10,1,IF(V110&gt;=1,0.5,0)))+IF(W110&gt;=4,0.5,0))</f>
        <v>0</v>
      </c>
      <c r="C110" s="18" t="n">
        <f aca="false">ROUND(AC110*0.15+AD110*0.25+AE110*0.4+AF110*0.2,1)</f>
        <v>5.4</v>
      </c>
      <c r="D110" s="30" t="n">
        <f aca="false">ROUND(B110*0.45+C110*0.55,1)</f>
        <v>3</v>
      </c>
      <c r="E110" s="16" t="str">
        <f aca="false">IF(D110&gt;=7,"Alta",IF(D110&gt;=5,"Media","Baixa"))</f>
        <v>Baixa</v>
      </c>
      <c r="F110" s="19" t="s">
        <v>581</v>
      </c>
      <c r="G110" s="16" t="n">
        <v>1</v>
      </c>
      <c r="H110" s="19" t="s">
        <v>582</v>
      </c>
      <c r="I110" s="16" t="n">
        <v>1</v>
      </c>
      <c r="J110" s="31" t="s">
        <v>122</v>
      </c>
      <c r="K110" s="31" t="s">
        <v>134</v>
      </c>
      <c r="L110" s="16" t="n">
        <v>0</v>
      </c>
      <c r="M110" s="16" t="n">
        <v>0</v>
      </c>
      <c r="N110" s="16" t="s">
        <v>354</v>
      </c>
      <c r="O110" s="16" t="s">
        <v>184</v>
      </c>
      <c r="P110" s="19" t="s">
        <v>59</v>
      </c>
      <c r="Q110" s="19" t="s">
        <v>582</v>
      </c>
      <c r="R110" s="32" t="n">
        <v>0</v>
      </c>
      <c r="S110" s="32" t="n">
        <v>0</v>
      </c>
      <c r="T110" s="33" t="n">
        <v>0.9</v>
      </c>
      <c r="U110" s="19" t="s">
        <v>156</v>
      </c>
      <c r="V110" s="16" t="n">
        <v>0</v>
      </c>
      <c r="W110" s="16" t="n">
        <v>1</v>
      </c>
      <c r="X110" s="16" t="s">
        <v>277</v>
      </c>
      <c r="Y110" s="16" t="s">
        <v>277</v>
      </c>
      <c r="Z110" s="19" t="s">
        <v>307</v>
      </c>
      <c r="AA110" s="16" t="s">
        <v>129</v>
      </c>
      <c r="AB110" s="16" t="s">
        <v>12</v>
      </c>
      <c r="AC110" s="16" t="n">
        <v>3</v>
      </c>
      <c r="AD110" s="16" t="n">
        <v>3</v>
      </c>
      <c r="AE110" s="16" t="n">
        <v>9</v>
      </c>
      <c r="AF110" s="16" t="n">
        <v>3</v>
      </c>
      <c r="AG110" s="19"/>
      <c r="AH110" s="19" t="s">
        <v>583</v>
      </c>
    </row>
    <row r="111" customFormat="false" ht="15" hidden="false" customHeight="false" outlineLevel="0" collapsed="false">
      <c r="A111" s="12" t="s">
        <v>584</v>
      </c>
      <c r="B111" s="34" t="n">
        <f aca="false">MIN(10, IF(N111="ativa",5,IF(N111="nova",4,IF(N111="esfriando",2,0)))+IF(L111&gt;=9,3,IF(L111&gt;=3,2,IF(L111&gt;=1,1,0)))+IF(M111&gt;=60,1.5,IF(M111&gt;=30,1,IF(M111&gt;=14,0.5,0)))+IF(V111&gt;=50,1.5,IF(V111&gt;=10,1,IF(V111&gt;=1,0.5,0)))+IF(W111&gt;=4,0.5,0))</f>
        <v>0</v>
      </c>
      <c r="C111" s="13" t="n">
        <f aca="false">ROUND(AC111*0.15+AD111*0.25+AE111*0.4+AF111*0.2,1)</f>
        <v>5.5</v>
      </c>
      <c r="D111" s="34" t="n">
        <f aca="false">ROUND(B111*0.45+C111*0.55,1)</f>
        <v>3</v>
      </c>
      <c r="E111" s="11" t="str">
        <f aca="false">IF(D111&gt;=7,"Alta",IF(D111&gt;=5,"Media","Baixa"))</f>
        <v>Baixa</v>
      </c>
      <c r="F111" s="14" t="s">
        <v>585</v>
      </c>
      <c r="G111" s="11" t="n">
        <v>1</v>
      </c>
      <c r="H111" s="14" t="s">
        <v>586</v>
      </c>
      <c r="I111" s="11" t="n">
        <v>1</v>
      </c>
      <c r="J111" s="35" t="s">
        <v>122</v>
      </c>
      <c r="K111" s="35" t="s">
        <v>134</v>
      </c>
      <c r="L111" s="11" t="n">
        <v>0</v>
      </c>
      <c r="M111" s="11" t="n">
        <v>0</v>
      </c>
      <c r="N111" s="11" t="s">
        <v>354</v>
      </c>
      <c r="O111" s="11" t="s">
        <v>184</v>
      </c>
      <c r="P111" s="14" t="s">
        <v>61</v>
      </c>
      <c r="Q111" s="14" t="s">
        <v>586</v>
      </c>
      <c r="R111" s="36" t="n">
        <v>59.9</v>
      </c>
      <c r="S111" s="36" t="n">
        <v>65</v>
      </c>
      <c r="T111" s="37" t="n">
        <v>0.9</v>
      </c>
      <c r="U111" s="14" t="s">
        <v>126</v>
      </c>
      <c r="V111" s="11" t="n">
        <v>0</v>
      </c>
      <c r="W111" s="11" t="n">
        <v>1</v>
      </c>
      <c r="X111" s="11" t="s">
        <v>345</v>
      </c>
      <c r="Y111" s="11" t="s">
        <v>345</v>
      </c>
      <c r="Z111" s="14" t="s">
        <v>307</v>
      </c>
      <c r="AA111" s="11" t="s">
        <v>129</v>
      </c>
      <c r="AB111" s="11" t="s">
        <v>12</v>
      </c>
      <c r="AC111" s="11" t="n">
        <v>7</v>
      </c>
      <c r="AD111" s="11" t="n">
        <v>4</v>
      </c>
      <c r="AE111" s="11" t="n">
        <v>4</v>
      </c>
      <c r="AF111" s="11" t="n">
        <v>9</v>
      </c>
      <c r="AG111" s="14"/>
      <c r="AH111" s="14" t="s">
        <v>587</v>
      </c>
    </row>
    <row r="112" customFormat="false" ht="15" hidden="false" customHeight="false" outlineLevel="0" collapsed="false">
      <c r="A112" s="17" t="s">
        <v>588</v>
      </c>
      <c r="B112" s="30" t="n">
        <f aca="false">MIN(10, IF(N112="ativa",5,IF(N112="nova",4,IF(N112="esfriando",2,0)))+IF(L112&gt;=9,3,IF(L112&gt;=3,2,IF(L112&gt;=1,1,0)))+IF(M112&gt;=60,1.5,IF(M112&gt;=30,1,IF(M112&gt;=14,0.5,0)))+IF(V112&gt;=50,1.5,IF(V112&gt;=10,1,IF(V112&gt;=1,0.5,0)))+IF(W112&gt;=4,0.5,0))</f>
        <v>0.5</v>
      </c>
      <c r="C112" s="18" t="n">
        <f aca="false">ROUND(AC112*0.15+AD112*0.25+AE112*0.4+AF112*0.2,1)</f>
        <v>5.2</v>
      </c>
      <c r="D112" s="30" t="n">
        <f aca="false">ROUND(B112*0.45+C112*0.55,1)</f>
        <v>3.1</v>
      </c>
      <c r="E112" s="16" t="str">
        <f aca="false">IF(D112&gt;=7,"Alta",IF(D112&gt;=5,"Media","Baixa"))</f>
        <v>Baixa</v>
      </c>
      <c r="F112" s="19" t="s">
        <v>589</v>
      </c>
      <c r="G112" s="16" t="n">
        <v>1</v>
      </c>
      <c r="H112" s="19" t="s">
        <v>590</v>
      </c>
      <c r="I112" s="16" t="n">
        <v>1</v>
      </c>
      <c r="J112" s="31" t="s">
        <v>122</v>
      </c>
      <c r="K112" s="31" t="s">
        <v>134</v>
      </c>
      <c r="L112" s="16" t="n">
        <v>0</v>
      </c>
      <c r="M112" s="16" t="n">
        <v>0</v>
      </c>
      <c r="N112" s="16" t="s">
        <v>354</v>
      </c>
      <c r="O112" s="16" t="s">
        <v>125</v>
      </c>
      <c r="P112" s="19" t="s">
        <v>70</v>
      </c>
      <c r="Q112" s="19" t="s">
        <v>590</v>
      </c>
      <c r="R112" s="32" t="n">
        <v>97</v>
      </c>
      <c r="S112" s="32" t="n">
        <v>97</v>
      </c>
      <c r="T112" s="33" t="n">
        <v>0.85</v>
      </c>
      <c r="U112" s="19" t="s">
        <v>135</v>
      </c>
      <c r="V112" s="16" t="n">
        <v>2</v>
      </c>
      <c r="W112" s="16" t="n">
        <v>2</v>
      </c>
      <c r="X112" s="16" t="s">
        <v>277</v>
      </c>
      <c r="Y112" s="16" t="s">
        <v>317</v>
      </c>
      <c r="Z112" s="19" t="s">
        <v>213</v>
      </c>
      <c r="AA112" s="16" t="s">
        <v>129</v>
      </c>
      <c r="AB112" s="16" t="s">
        <v>12</v>
      </c>
      <c r="AC112" s="16" t="n">
        <v>7</v>
      </c>
      <c r="AD112" s="16" t="n">
        <v>6</v>
      </c>
      <c r="AE112" s="16" t="n">
        <v>5</v>
      </c>
      <c r="AF112" s="16" t="n">
        <v>3</v>
      </c>
      <c r="AG112" s="19"/>
      <c r="AH112" s="19" t="s">
        <v>591</v>
      </c>
    </row>
    <row r="113" customFormat="false" ht="15" hidden="false" customHeight="false" outlineLevel="0" collapsed="false">
      <c r="A113" s="12" t="s">
        <v>592</v>
      </c>
      <c r="B113" s="34" t="n">
        <f aca="false">MIN(10, IF(N113="ativa",5,IF(N113="nova",4,IF(N113="esfriando",2,0)))+IF(L113&gt;=9,3,IF(L113&gt;=3,2,IF(L113&gt;=1,1,0)))+IF(M113&gt;=60,1.5,IF(M113&gt;=30,1,IF(M113&gt;=14,0.5,0)))+IF(V113&gt;=50,1.5,IF(V113&gt;=10,1,IF(V113&gt;=1,0.5,0)))+IF(W113&gt;=4,0.5,0))</f>
        <v>0</v>
      </c>
      <c r="C113" s="13" t="n">
        <f aca="false">ROUND(AC113*0.15+AD113*0.25+AE113*0.4+AF113*0.2,1)</f>
        <v>5.3</v>
      </c>
      <c r="D113" s="34" t="n">
        <f aca="false">ROUND(B113*0.45+C113*0.55,1)</f>
        <v>2.9</v>
      </c>
      <c r="E113" s="11" t="str">
        <f aca="false">IF(D113&gt;=7,"Alta",IF(D113&gt;=5,"Media","Baixa"))</f>
        <v>Baixa</v>
      </c>
      <c r="F113" s="14" t="s">
        <v>593</v>
      </c>
      <c r="G113" s="11" t="n">
        <v>1</v>
      </c>
      <c r="H113" s="14" t="s">
        <v>594</v>
      </c>
      <c r="I113" s="11" t="n">
        <v>1</v>
      </c>
      <c r="J113" s="35" t="s">
        <v>122</v>
      </c>
      <c r="K113" s="35" t="s">
        <v>134</v>
      </c>
      <c r="L113" s="11" t="n">
        <v>0</v>
      </c>
      <c r="M113" s="11" t="n">
        <v>0</v>
      </c>
      <c r="N113" s="11" t="s">
        <v>354</v>
      </c>
      <c r="O113" s="11" t="s">
        <v>184</v>
      </c>
      <c r="P113" s="14" t="s">
        <v>88</v>
      </c>
      <c r="Q113" s="14" t="s">
        <v>594</v>
      </c>
      <c r="R113" s="36" t="n">
        <v>27</v>
      </c>
      <c r="S113" s="36" t="n">
        <v>27</v>
      </c>
      <c r="T113" s="37" t="n">
        <v>0.9</v>
      </c>
      <c r="U113" s="14" t="s">
        <v>126</v>
      </c>
      <c r="V113" s="11" t="n">
        <v>0</v>
      </c>
      <c r="W113" s="11" t="n">
        <v>1</v>
      </c>
      <c r="X113" s="11" t="s">
        <v>345</v>
      </c>
      <c r="Y113" s="11" t="s">
        <v>345</v>
      </c>
      <c r="Z113" s="14" t="s">
        <v>137</v>
      </c>
      <c r="AA113" s="11" t="s">
        <v>129</v>
      </c>
      <c r="AB113" s="11" t="s">
        <v>12</v>
      </c>
      <c r="AC113" s="11" t="n">
        <v>3</v>
      </c>
      <c r="AD113" s="11" t="n">
        <v>5</v>
      </c>
      <c r="AE113" s="11" t="n">
        <v>8</v>
      </c>
      <c r="AF113" s="11" t="n">
        <v>2</v>
      </c>
      <c r="AG113" s="14"/>
      <c r="AH113" s="14" t="s">
        <v>595</v>
      </c>
    </row>
    <row r="114" customFormat="false" ht="15" hidden="false" customHeight="false" outlineLevel="0" collapsed="false">
      <c r="A114" s="17" t="s">
        <v>596</v>
      </c>
      <c r="B114" s="30" t="n">
        <f aca="false">MIN(10, IF(N114="ativa",5,IF(N114="nova",4,IF(N114="esfriando",2,0)))+IF(L114&gt;=9,3,IF(L114&gt;=3,2,IF(L114&gt;=1,1,0)))+IF(M114&gt;=60,1.5,IF(M114&gt;=30,1,IF(M114&gt;=14,0.5,0)))+IF(V114&gt;=50,1.5,IF(V114&gt;=10,1,IF(V114&gt;=1,0.5,0)))+IF(W114&gt;=4,0.5,0))</f>
        <v>2.5</v>
      </c>
      <c r="C114" s="18" t="n">
        <f aca="false">ROUND(AC114*0.15+AD114*0.25+AE114*0.4+AF114*0.2,1)</f>
        <v>3.2</v>
      </c>
      <c r="D114" s="30" t="n">
        <f aca="false">ROUND(B114*0.45+C114*0.55,1)</f>
        <v>2.9</v>
      </c>
      <c r="E114" s="16" t="str">
        <f aca="false">IF(D114&gt;=7,"Alta",IF(D114&gt;=5,"Media","Baixa"))</f>
        <v>Baixa</v>
      </c>
      <c r="F114" s="19" t="s">
        <v>597</v>
      </c>
      <c r="G114" s="16" t="n">
        <v>1</v>
      </c>
      <c r="H114" s="19" t="s">
        <v>430</v>
      </c>
      <c r="I114" s="16" t="n">
        <v>2</v>
      </c>
      <c r="J114" s="19" t="s">
        <v>28</v>
      </c>
      <c r="K114" s="31" t="s">
        <v>134</v>
      </c>
      <c r="L114" s="16" t="n">
        <v>0</v>
      </c>
      <c r="M114" s="16" t="n">
        <v>0</v>
      </c>
      <c r="N114" s="16" t="s">
        <v>275</v>
      </c>
      <c r="O114" s="16" t="s">
        <v>184</v>
      </c>
      <c r="P114" s="19" t="s">
        <v>49</v>
      </c>
      <c r="Q114" s="19" t="s">
        <v>430</v>
      </c>
      <c r="R114" s="32" t="n">
        <v>100</v>
      </c>
      <c r="S114" s="32" t="n">
        <v>100</v>
      </c>
      <c r="T114" s="33" t="n">
        <v>0.95</v>
      </c>
      <c r="U114" s="19" t="s">
        <v>148</v>
      </c>
      <c r="V114" s="16" t="n">
        <v>2</v>
      </c>
      <c r="W114" s="16" t="n">
        <v>3</v>
      </c>
      <c r="X114" s="16" t="s">
        <v>299</v>
      </c>
      <c r="Y114" s="16" t="s">
        <v>232</v>
      </c>
      <c r="Z114" s="19" t="s">
        <v>598</v>
      </c>
      <c r="AA114" s="16" t="s">
        <v>129</v>
      </c>
      <c r="AB114" s="16" t="s">
        <v>12</v>
      </c>
      <c r="AC114" s="16" t="n">
        <v>7</v>
      </c>
      <c r="AD114" s="16" t="n">
        <v>3</v>
      </c>
      <c r="AE114" s="16" t="n">
        <v>1</v>
      </c>
      <c r="AF114" s="16" t="n">
        <v>5</v>
      </c>
      <c r="AG114" s="19"/>
      <c r="AH114" s="19" t="s">
        <v>599</v>
      </c>
    </row>
    <row r="115" customFormat="false" ht="15" hidden="false" customHeight="false" outlineLevel="0" collapsed="false">
      <c r="A115" s="12" t="s">
        <v>600</v>
      </c>
      <c r="B115" s="34" t="n">
        <f aca="false">MIN(10, IF(N115="ativa",5,IF(N115="nova",4,IF(N115="esfriando",2,0)))+IF(L115&gt;=9,3,IF(L115&gt;=3,2,IF(L115&gt;=1,1,0)))+IF(M115&gt;=60,1.5,IF(M115&gt;=30,1,IF(M115&gt;=14,0.5,0)))+IF(V115&gt;=50,1.5,IF(V115&gt;=10,1,IF(V115&gt;=1,0.5,0)))+IF(W115&gt;=4,0.5,0))</f>
        <v>0.5</v>
      </c>
      <c r="C115" s="13" t="n">
        <f aca="false">ROUND(AC115*0.15+AD115*0.25+AE115*0.4+AF115*0.2,1)</f>
        <v>4.9</v>
      </c>
      <c r="D115" s="34" t="n">
        <f aca="false">ROUND(B115*0.45+C115*0.55,1)</f>
        <v>2.9</v>
      </c>
      <c r="E115" s="11" t="str">
        <f aca="false">IF(D115&gt;=7,"Alta",IF(D115&gt;=5,"Media","Baixa"))</f>
        <v>Baixa</v>
      </c>
      <c r="F115" s="14" t="s">
        <v>601</v>
      </c>
      <c r="G115" s="11" t="n">
        <v>1</v>
      </c>
      <c r="H115" s="14" t="s">
        <v>602</v>
      </c>
      <c r="I115" s="11" t="n">
        <v>1</v>
      </c>
      <c r="J115" s="35" t="s">
        <v>122</v>
      </c>
      <c r="K115" s="35" t="s">
        <v>134</v>
      </c>
      <c r="L115" s="11" t="n">
        <v>0</v>
      </c>
      <c r="M115" s="11" t="n">
        <v>0</v>
      </c>
      <c r="N115" s="11" t="s">
        <v>354</v>
      </c>
      <c r="O115" s="11" t="s">
        <v>184</v>
      </c>
      <c r="P115" s="14" t="s">
        <v>54</v>
      </c>
      <c r="Q115" s="14" t="s">
        <v>602</v>
      </c>
      <c r="R115" s="36" t="n">
        <v>39</v>
      </c>
      <c r="S115" s="36" t="n">
        <v>107</v>
      </c>
      <c r="T115" s="37" t="n">
        <v>0.85</v>
      </c>
      <c r="U115" s="14" t="s">
        <v>210</v>
      </c>
      <c r="V115" s="11" t="n">
        <v>5</v>
      </c>
      <c r="W115" s="11" t="n">
        <v>2</v>
      </c>
      <c r="X115" s="11" t="s">
        <v>277</v>
      </c>
      <c r="Y115" s="11" t="s">
        <v>317</v>
      </c>
      <c r="Z115" s="14" t="s">
        <v>213</v>
      </c>
      <c r="AA115" s="11" t="s">
        <v>129</v>
      </c>
      <c r="AB115" s="11" t="s">
        <v>12</v>
      </c>
      <c r="AC115" s="11" t="n">
        <v>7</v>
      </c>
      <c r="AD115" s="11" t="n">
        <v>8</v>
      </c>
      <c r="AE115" s="11" t="n">
        <v>3</v>
      </c>
      <c r="AF115" s="11" t="n">
        <v>3</v>
      </c>
      <c r="AG115" s="14"/>
      <c r="AH115" s="14" t="s">
        <v>603</v>
      </c>
    </row>
    <row r="116" customFormat="false" ht="15" hidden="false" customHeight="false" outlineLevel="0" collapsed="false">
      <c r="A116" s="17" t="s">
        <v>604</v>
      </c>
      <c r="B116" s="30" t="n">
        <f aca="false">MIN(10, IF(N116="ativa",5,IF(N116="nova",4,IF(N116="esfriando",2,0)))+IF(L116&gt;=9,3,IF(L116&gt;=3,2,IF(L116&gt;=1,1,0)))+IF(M116&gt;=60,1.5,IF(M116&gt;=30,1,IF(M116&gt;=14,0.5,0)))+IF(V116&gt;=50,1.5,IF(V116&gt;=10,1,IF(V116&gt;=1,0.5,0)))+IF(W116&gt;=4,0.5,0))</f>
        <v>0</v>
      </c>
      <c r="C116" s="18" t="n">
        <f aca="false">ROUND(AC116*0.15+AD116*0.25+AE116*0.4+AF116*0.2,1)</f>
        <v>5.1</v>
      </c>
      <c r="D116" s="30" t="n">
        <f aca="false">ROUND(B116*0.45+C116*0.55,1)</f>
        <v>2.8</v>
      </c>
      <c r="E116" s="16" t="str">
        <f aca="false">IF(D116&gt;=7,"Alta",IF(D116&gt;=5,"Media","Baixa"))</f>
        <v>Baixa</v>
      </c>
      <c r="F116" s="19" t="s">
        <v>605</v>
      </c>
      <c r="G116" s="16" t="n">
        <v>1</v>
      </c>
      <c r="H116" s="19" t="s">
        <v>447</v>
      </c>
      <c r="I116" s="16" t="n">
        <v>5</v>
      </c>
      <c r="J116" s="31" t="s">
        <v>122</v>
      </c>
      <c r="K116" s="31" t="s">
        <v>134</v>
      </c>
      <c r="L116" s="16" t="n">
        <v>0</v>
      </c>
      <c r="M116" s="16" t="n">
        <v>0</v>
      </c>
      <c r="N116" s="16" t="s">
        <v>354</v>
      </c>
      <c r="O116" s="16" t="s">
        <v>125</v>
      </c>
      <c r="P116" s="19" t="s">
        <v>41</v>
      </c>
      <c r="Q116" s="19" t="s">
        <v>447</v>
      </c>
      <c r="R116" s="32" t="n">
        <v>0</v>
      </c>
      <c r="S116" s="32" t="n">
        <v>40</v>
      </c>
      <c r="T116" s="33" t="n">
        <v>0.9</v>
      </c>
      <c r="U116" s="19" t="s">
        <v>126</v>
      </c>
      <c r="V116" s="16" t="n">
        <v>0</v>
      </c>
      <c r="W116" s="16" t="n">
        <v>1</v>
      </c>
      <c r="X116" s="16" t="s">
        <v>317</v>
      </c>
      <c r="Y116" s="16" t="s">
        <v>317</v>
      </c>
      <c r="Z116" s="19" t="s">
        <v>243</v>
      </c>
      <c r="AA116" s="16" t="s">
        <v>129</v>
      </c>
      <c r="AB116" s="16" t="s">
        <v>12</v>
      </c>
      <c r="AC116" s="16" t="n">
        <v>5</v>
      </c>
      <c r="AD116" s="16" t="n">
        <v>6</v>
      </c>
      <c r="AE116" s="16" t="n">
        <v>5</v>
      </c>
      <c r="AF116" s="16" t="n">
        <v>4</v>
      </c>
      <c r="AG116" s="19"/>
      <c r="AH116" s="19" t="s">
        <v>606</v>
      </c>
    </row>
    <row r="117" customFormat="false" ht="15" hidden="false" customHeight="false" outlineLevel="0" collapsed="false">
      <c r="A117" s="12" t="s">
        <v>607</v>
      </c>
      <c r="B117" s="34" t="n">
        <f aca="false">MIN(10, IF(N117="ativa",5,IF(N117="nova",4,IF(N117="esfriando",2,0)))+IF(L117&gt;=9,3,IF(L117&gt;=3,2,IF(L117&gt;=1,1,0)))+IF(M117&gt;=60,1.5,IF(M117&gt;=30,1,IF(M117&gt;=14,0.5,0)))+IF(V117&gt;=50,1.5,IF(V117&gt;=10,1,IF(V117&gt;=1,0.5,0)))+IF(W117&gt;=4,0.5,0))</f>
        <v>0.5</v>
      </c>
      <c r="C117" s="13" t="n">
        <f aca="false">ROUND(AC117*0.15+AD117*0.25+AE117*0.4+AF117*0.2,1)</f>
        <v>4.7</v>
      </c>
      <c r="D117" s="34" t="n">
        <f aca="false">ROUND(B117*0.45+C117*0.55,1)</f>
        <v>2.8</v>
      </c>
      <c r="E117" s="11" t="str">
        <f aca="false">IF(D117&gt;=7,"Alta",IF(D117&gt;=5,"Media","Baixa"))</f>
        <v>Baixa</v>
      </c>
      <c r="F117" s="14" t="s">
        <v>608</v>
      </c>
      <c r="G117" s="11" t="n">
        <v>1</v>
      </c>
      <c r="H117" s="14" t="s">
        <v>609</v>
      </c>
      <c r="I117" s="11" t="n">
        <v>1</v>
      </c>
      <c r="J117" s="35" t="s">
        <v>122</v>
      </c>
      <c r="K117" s="35" t="s">
        <v>134</v>
      </c>
      <c r="L117" s="11" t="n">
        <v>0</v>
      </c>
      <c r="M117" s="11" t="n">
        <v>0</v>
      </c>
      <c r="N117" s="11" t="s">
        <v>354</v>
      </c>
      <c r="O117" s="11" t="s">
        <v>125</v>
      </c>
      <c r="P117" s="14" t="s">
        <v>66</v>
      </c>
      <c r="Q117" s="14" t="s">
        <v>609</v>
      </c>
      <c r="R117" s="36" t="n">
        <v>97</v>
      </c>
      <c r="S117" s="36" t="n">
        <v>97</v>
      </c>
      <c r="T117" s="37" t="n">
        <v>0.85</v>
      </c>
      <c r="U117" s="14" t="s">
        <v>262</v>
      </c>
      <c r="V117" s="11" t="n">
        <v>1</v>
      </c>
      <c r="W117" s="11" t="n">
        <v>2</v>
      </c>
      <c r="X117" s="11" t="s">
        <v>277</v>
      </c>
      <c r="Y117" s="11" t="s">
        <v>317</v>
      </c>
      <c r="Z117" s="14" t="s">
        <v>213</v>
      </c>
      <c r="AA117" s="11" t="s">
        <v>129</v>
      </c>
      <c r="AB117" s="11" t="s">
        <v>12</v>
      </c>
      <c r="AC117" s="11" t="n">
        <v>8</v>
      </c>
      <c r="AD117" s="11" t="n">
        <v>5</v>
      </c>
      <c r="AE117" s="11" t="n">
        <v>4</v>
      </c>
      <c r="AF117" s="11" t="n">
        <v>3</v>
      </c>
      <c r="AG117" s="14"/>
      <c r="AH117" s="14" t="s">
        <v>610</v>
      </c>
    </row>
    <row r="118" customFormat="false" ht="15" hidden="false" customHeight="false" outlineLevel="0" collapsed="false">
      <c r="A118" s="17" t="s">
        <v>611</v>
      </c>
      <c r="B118" s="30" t="n">
        <f aca="false">MIN(10, IF(N118="ativa",5,IF(N118="nova",4,IF(N118="esfriando",2,0)))+IF(L118&gt;=9,3,IF(L118&gt;=3,2,IF(L118&gt;=1,1,0)))+IF(M118&gt;=60,1.5,IF(M118&gt;=30,1,IF(M118&gt;=14,0.5,0)))+IF(V118&gt;=50,1.5,IF(V118&gt;=10,1,IF(V118&gt;=1,0.5,0)))+IF(W118&gt;=4,0.5,0))</f>
        <v>2.5</v>
      </c>
      <c r="C118" s="18" t="n">
        <f aca="false">ROUND(AC118*0.15+AD118*0.25+AE118*0.4+AF118*0.2,1)</f>
        <v>2.8</v>
      </c>
      <c r="D118" s="30" t="n">
        <f aca="false">ROUND(B118*0.45+C118*0.55,1)</f>
        <v>2.7</v>
      </c>
      <c r="E118" s="16" t="str">
        <f aca="false">IF(D118&gt;=7,"Alta",IF(D118&gt;=5,"Media","Baixa"))</f>
        <v>Baixa</v>
      </c>
      <c r="F118" s="19" t="s">
        <v>612</v>
      </c>
      <c r="G118" s="16" t="n">
        <v>1</v>
      </c>
      <c r="H118" s="19" t="s">
        <v>613</v>
      </c>
      <c r="I118" s="16" t="n">
        <v>1</v>
      </c>
      <c r="J118" s="19" t="s">
        <v>28</v>
      </c>
      <c r="K118" s="31" t="s">
        <v>134</v>
      </c>
      <c r="L118" s="16" t="n">
        <v>0</v>
      </c>
      <c r="M118" s="16" t="n">
        <v>0</v>
      </c>
      <c r="N118" s="16" t="s">
        <v>275</v>
      </c>
      <c r="O118" s="16" t="s">
        <v>125</v>
      </c>
      <c r="P118" s="19" t="s">
        <v>58</v>
      </c>
      <c r="Q118" s="19" t="s">
        <v>613</v>
      </c>
      <c r="R118" s="32" t="n">
        <v>0</v>
      </c>
      <c r="S118" s="32" t="n">
        <v>0</v>
      </c>
      <c r="T118" s="33" t="n">
        <v>0.85</v>
      </c>
      <c r="U118" s="19" t="s">
        <v>298</v>
      </c>
      <c r="V118" s="16" t="n">
        <v>1</v>
      </c>
      <c r="W118" s="16" t="n">
        <v>3</v>
      </c>
      <c r="X118" s="16" t="s">
        <v>323</v>
      </c>
      <c r="Y118" s="16" t="s">
        <v>232</v>
      </c>
      <c r="Z118" s="19" t="s">
        <v>128</v>
      </c>
      <c r="AA118" s="16" t="s">
        <v>129</v>
      </c>
      <c r="AB118" s="16" t="s">
        <v>12</v>
      </c>
      <c r="AC118" s="16" t="n">
        <v>0</v>
      </c>
      <c r="AD118" s="16" t="n">
        <v>3</v>
      </c>
      <c r="AE118" s="16" t="n">
        <v>3</v>
      </c>
      <c r="AF118" s="16" t="n">
        <v>4</v>
      </c>
      <c r="AG118" s="19"/>
      <c r="AH118" s="19" t="s">
        <v>614</v>
      </c>
    </row>
    <row r="119" customFormat="false" ht="15" hidden="false" customHeight="false" outlineLevel="0" collapsed="false">
      <c r="A119" s="12" t="s">
        <v>615</v>
      </c>
      <c r="B119" s="34" t="n">
        <f aca="false">MIN(10, IF(N119="ativa",5,IF(N119="nova",4,IF(N119="esfriando",2,0)))+IF(L119&gt;=9,3,IF(L119&gt;=3,2,IF(L119&gt;=1,1,0)))+IF(M119&gt;=60,1.5,IF(M119&gt;=30,1,IF(M119&gt;=14,0.5,0)))+IF(V119&gt;=50,1.5,IF(V119&gt;=10,1,IF(V119&gt;=1,0.5,0)))+IF(W119&gt;=4,0.5,0))</f>
        <v>0.5</v>
      </c>
      <c r="C119" s="13" t="n">
        <f aca="false">ROUND(AC119*0.15+AD119*0.25+AE119*0.4+AF119*0.2,1)</f>
        <v>4.5</v>
      </c>
      <c r="D119" s="34" t="n">
        <f aca="false">ROUND(B119*0.45+C119*0.55,1)</f>
        <v>2.7</v>
      </c>
      <c r="E119" s="11" t="str">
        <f aca="false">IF(D119&gt;=7,"Alta",IF(D119&gt;=5,"Media","Baixa"))</f>
        <v>Baixa</v>
      </c>
      <c r="F119" s="14" t="s">
        <v>616</v>
      </c>
      <c r="G119" s="11" t="n">
        <v>1</v>
      </c>
      <c r="H119" s="14" t="s">
        <v>617</v>
      </c>
      <c r="I119" s="11" t="n">
        <v>1</v>
      </c>
      <c r="J119" s="14" t="s">
        <v>28</v>
      </c>
      <c r="K119" s="35" t="s">
        <v>134</v>
      </c>
      <c r="L119" s="11" t="n">
        <v>0</v>
      </c>
      <c r="M119" s="11" t="n">
        <v>0</v>
      </c>
      <c r="N119" s="11" t="s">
        <v>354</v>
      </c>
      <c r="O119" s="11" t="s">
        <v>125</v>
      </c>
      <c r="P119" s="14" t="s">
        <v>71</v>
      </c>
      <c r="Q119" s="14" t="s">
        <v>617</v>
      </c>
      <c r="R119" s="36" t="n">
        <v>37.9</v>
      </c>
      <c r="S119" s="36" t="n">
        <v>45</v>
      </c>
      <c r="T119" s="37" t="n">
        <v>0.9</v>
      </c>
      <c r="U119" s="14" t="s">
        <v>148</v>
      </c>
      <c r="V119" s="11" t="n">
        <v>1</v>
      </c>
      <c r="W119" s="11" t="n">
        <v>1</v>
      </c>
      <c r="X119" s="11" t="s">
        <v>317</v>
      </c>
      <c r="Y119" s="11" t="s">
        <v>317</v>
      </c>
      <c r="Z119" s="14" t="s">
        <v>137</v>
      </c>
      <c r="AA119" s="11" t="s">
        <v>129</v>
      </c>
      <c r="AB119" s="11" t="s">
        <v>12</v>
      </c>
      <c r="AC119" s="11" t="n">
        <v>5</v>
      </c>
      <c r="AD119" s="11" t="n">
        <v>6</v>
      </c>
      <c r="AE119" s="11" t="n">
        <v>4</v>
      </c>
      <c r="AF119" s="11" t="n">
        <v>3</v>
      </c>
      <c r="AG119" s="14"/>
      <c r="AH119" s="14" t="s">
        <v>618</v>
      </c>
    </row>
    <row r="120" customFormat="false" ht="15" hidden="false" customHeight="false" outlineLevel="0" collapsed="false">
      <c r="A120" s="17" t="s">
        <v>619</v>
      </c>
      <c r="B120" s="30" t="n">
        <f aca="false">MIN(10, IF(N120="ativa",5,IF(N120="nova",4,IF(N120="esfriando",2,0)))+IF(L120&gt;=9,3,IF(L120&gt;=3,2,IF(L120&gt;=1,1,0)))+IF(M120&gt;=60,1.5,IF(M120&gt;=30,1,IF(M120&gt;=14,0.5,0)))+IF(V120&gt;=50,1.5,IF(V120&gt;=10,1,IF(V120&gt;=1,0.5,0)))+IF(W120&gt;=4,0.5,0))</f>
        <v>2.5</v>
      </c>
      <c r="C120" s="18" t="n">
        <f aca="false">ROUND(AC120*0.15+AD120*0.25+AE120*0.4+AF120*0.2,1)</f>
        <v>2.7</v>
      </c>
      <c r="D120" s="30" t="n">
        <f aca="false">ROUND(B120*0.45+C120*0.55,1)</f>
        <v>2.6</v>
      </c>
      <c r="E120" s="16" t="str">
        <f aca="false">IF(D120&gt;=7,"Alta",IF(D120&gt;=5,"Media","Baixa"))</f>
        <v>Baixa</v>
      </c>
      <c r="F120" s="19" t="s">
        <v>620</v>
      </c>
      <c r="G120" s="16" t="n">
        <v>1</v>
      </c>
      <c r="H120" s="19" t="s">
        <v>209</v>
      </c>
      <c r="I120" s="16" t="n">
        <v>3</v>
      </c>
      <c r="J120" s="19" t="s">
        <v>28</v>
      </c>
      <c r="K120" s="31" t="s">
        <v>134</v>
      </c>
      <c r="L120" s="16" t="n">
        <v>0</v>
      </c>
      <c r="M120" s="16" t="n">
        <v>6</v>
      </c>
      <c r="N120" s="16" t="s">
        <v>275</v>
      </c>
      <c r="O120" s="16" t="s">
        <v>184</v>
      </c>
      <c r="P120" s="19" t="s">
        <v>54</v>
      </c>
      <c r="Q120" s="19" t="s">
        <v>209</v>
      </c>
      <c r="R120" s="32" t="n">
        <v>25.9</v>
      </c>
      <c r="S120" s="32" t="n">
        <v>56</v>
      </c>
      <c r="T120" s="33" t="n">
        <v>0.95</v>
      </c>
      <c r="U120" s="19" t="s">
        <v>210</v>
      </c>
      <c r="V120" s="16" t="n">
        <v>2</v>
      </c>
      <c r="W120" s="16" t="n">
        <v>3</v>
      </c>
      <c r="X120" s="16" t="s">
        <v>299</v>
      </c>
      <c r="Y120" s="16" t="s">
        <v>377</v>
      </c>
      <c r="Z120" s="19" t="s">
        <v>213</v>
      </c>
      <c r="AA120" s="16" t="s">
        <v>129</v>
      </c>
      <c r="AB120" s="16" t="s">
        <v>12</v>
      </c>
      <c r="AC120" s="16" t="n">
        <v>5</v>
      </c>
      <c r="AD120" s="16" t="n">
        <v>3</v>
      </c>
      <c r="AE120" s="16" t="n">
        <v>2</v>
      </c>
      <c r="AF120" s="16" t="n">
        <v>2</v>
      </c>
      <c r="AG120" s="19"/>
      <c r="AH120" s="19" t="s">
        <v>621</v>
      </c>
    </row>
    <row r="121" customFormat="false" ht="15" hidden="false" customHeight="false" outlineLevel="0" collapsed="false">
      <c r="A121" s="12" t="s">
        <v>622</v>
      </c>
      <c r="B121" s="34" t="n">
        <f aca="false">MIN(10, IF(N121="ativa",5,IF(N121="nova",4,IF(N121="esfriando",2,0)))+IF(L121&gt;=9,3,IF(L121&gt;=3,2,IF(L121&gt;=1,1,0)))+IF(M121&gt;=60,1.5,IF(M121&gt;=30,1,IF(M121&gt;=14,0.5,0)))+IF(V121&gt;=50,1.5,IF(V121&gt;=10,1,IF(V121&gt;=1,0.5,0)))+IF(W121&gt;=4,0.5,0))</f>
        <v>0.5</v>
      </c>
      <c r="C121" s="13" t="n">
        <f aca="false">ROUND(AC121*0.15+AD121*0.25+AE121*0.4+AF121*0.2,1)</f>
        <v>4.3</v>
      </c>
      <c r="D121" s="34" t="n">
        <f aca="false">ROUND(B121*0.45+C121*0.55,1)</f>
        <v>2.6</v>
      </c>
      <c r="E121" s="11" t="str">
        <f aca="false">IF(D121&gt;=7,"Alta",IF(D121&gt;=5,"Media","Baixa"))</f>
        <v>Baixa</v>
      </c>
      <c r="F121" s="14" t="s">
        <v>623</v>
      </c>
      <c r="G121" s="11" t="n">
        <v>1</v>
      </c>
      <c r="H121" s="14" t="s">
        <v>624</v>
      </c>
      <c r="I121" s="11" t="n">
        <v>1</v>
      </c>
      <c r="J121" s="14" t="s">
        <v>28</v>
      </c>
      <c r="K121" s="35" t="s">
        <v>134</v>
      </c>
      <c r="L121" s="11" t="n">
        <v>0</v>
      </c>
      <c r="M121" s="11" t="n">
        <v>0</v>
      </c>
      <c r="N121" s="11" t="s">
        <v>354</v>
      </c>
      <c r="O121" s="11" t="s">
        <v>184</v>
      </c>
      <c r="P121" s="14" t="s">
        <v>54</v>
      </c>
      <c r="Q121" s="14" t="s">
        <v>624</v>
      </c>
      <c r="R121" s="36" t="n">
        <v>62</v>
      </c>
      <c r="S121" s="36" t="n">
        <v>62</v>
      </c>
      <c r="T121" s="37" t="n">
        <v>0.85</v>
      </c>
      <c r="U121" s="14" t="s">
        <v>298</v>
      </c>
      <c r="V121" s="11" t="n">
        <v>1</v>
      </c>
      <c r="W121" s="11" t="n">
        <v>1</v>
      </c>
      <c r="X121" s="11" t="s">
        <v>277</v>
      </c>
      <c r="Y121" s="11" t="s">
        <v>277</v>
      </c>
      <c r="Z121" s="14" t="s">
        <v>213</v>
      </c>
      <c r="AA121" s="11" t="s">
        <v>129</v>
      </c>
      <c r="AB121" s="11" t="s">
        <v>12</v>
      </c>
      <c r="AC121" s="11" t="n">
        <v>7</v>
      </c>
      <c r="AD121" s="11" t="n">
        <v>5</v>
      </c>
      <c r="AE121" s="11" t="n">
        <v>3</v>
      </c>
      <c r="AF121" s="11" t="n">
        <v>4</v>
      </c>
      <c r="AG121" s="14"/>
      <c r="AH121" s="14" t="s">
        <v>625</v>
      </c>
    </row>
    <row r="122" customFormat="false" ht="15" hidden="false" customHeight="false" outlineLevel="0" collapsed="false">
      <c r="A122" s="17" t="s">
        <v>626</v>
      </c>
      <c r="B122" s="30" t="n">
        <f aca="false">MIN(10, IF(N122="ativa",5,IF(N122="nova",4,IF(N122="esfriando",2,0)))+IF(L122&gt;=9,3,IF(L122&gt;=3,2,IF(L122&gt;=1,1,0)))+IF(M122&gt;=60,1.5,IF(M122&gt;=30,1,IF(M122&gt;=14,0.5,0)))+IF(V122&gt;=50,1.5,IF(V122&gt;=10,1,IF(V122&gt;=1,0.5,0)))+IF(W122&gt;=4,0.5,0))</f>
        <v>0.5</v>
      </c>
      <c r="C122" s="18" t="n">
        <f aca="false">ROUND(AC122*0.15+AD122*0.25+AE122*0.4+AF122*0.2,1)</f>
        <v>4.2</v>
      </c>
      <c r="D122" s="30" t="n">
        <f aca="false">ROUND(B122*0.45+C122*0.55,1)</f>
        <v>2.5</v>
      </c>
      <c r="E122" s="16" t="str">
        <f aca="false">IF(D122&gt;=7,"Alta",IF(D122&gt;=5,"Media","Baixa"))</f>
        <v>Baixa</v>
      </c>
      <c r="F122" s="19" t="s">
        <v>627</v>
      </c>
      <c r="G122" s="16" t="n">
        <v>1</v>
      </c>
      <c r="H122" s="19" t="s">
        <v>628</v>
      </c>
      <c r="I122" s="16" t="n">
        <v>1</v>
      </c>
      <c r="J122" s="31" t="s">
        <v>122</v>
      </c>
      <c r="K122" s="31" t="s">
        <v>134</v>
      </c>
      <c r="L122" s="16" t="n">
        <v>0</v>
      </c>
      <c r="M122" s="16" t="n">
        <v>0</v>
      </c>
      <c r="N122" s="16" t="s">
        <v>354</v>
      </c>
      <c r="O122" s="16" t="s">
        <v>184</v>
      </c>
      <c r="P122" s="19" t="s">
        <v>67</v>
      </c>
      <c r="Q122" s="19" t="s">
        <v>628</v>
      </c>
      <c r="R122" s="32" t="n">
        <v>20</v>
      </c>
      <c r="S122" s="32" t="n">
        <v>20</v>
      </c>
      <c r="T122" s="33" t="n">
        <v>0.85</v>
      </c>
      <c r="U122" s="19" t="s">
        <v>316</v>
      </c>
      <c r="V122" s="16" t="n">
        <v>2</v>
      </c>
      <c r="W122" s="16" t="n">
        <v>2</v>
      </c>
      <c r="X122" s="16" t="s">
        <v>277</v>
      </c>
      <c r="Y122" s="16" t="s">
        <v>317</v>
      </c>
      <c r="Z122" s="19" t="s">
        <v>213</v>
      </c>
      <c r="AA122" s="16" t="s">
        <v>129</v>
      </c>
      <c r="AB122" s="16" t="s">
        <v>12</v>
      </c>
      <c r="AC122" s="16" t="n">
        <v>3</v>
      </c>
      <c r="AD122" s="16" t="n">
        <v>6</v>
      </c>
      <c r="AE122" s="16" t="n">
        <v>3</v>
      </c>
      <c r="AF122" s="16" t="n">
        <v>5</v>
      </c>
      <c r="AG122" s="19"/>
      <c r="AH122" s="19" t="s">
        <v>629</v>
      </c>
    </row>
    <row r="123" customFormat="false" ht="15" hidden="false" customHeight="false" outlineLevel="0" collapsed="false">
      <c r="A123" s="12" t="s">
        <v>630</v>
      </c>
      <c r="B123" s="34" t="n">
        <f aca="false">MIN(10, IF(N123="ativa",5,IF(N123="nova",4,IF(N123="esfriando",2,0)))+IF(L123&gt;=9,3,IF(L123&gt;=3,2,IF(L123&gt;=1,1,0)))+IF(M123&gt;=60,1.5,IF(M123&gt;=30,1,IF(M123&gt;=14,0.5,0)))+IF(V123&gt;=50,1.5,IF(V123&gt;=10,1,IF(V123&gt;=1,0.5,0)))+IF(W123&gt;=4,0.5,0))</f>
        <v>0.5</v>
      </c>
      <c r="C123" s="13" t="n">
        <f aca="false">ROUND(AC123*0.15+AD123*0.25+AE123*0.4+AF123*0.2,1)</f>
        <v>3.7</v>
      </c>
      <c r="D123" s="34" t="n">
        <f aca="false">ROUND(B123*0.45+C123*0.55,1)</f>
        <v>2.3</v>
      </c>
      <c r="E123" s="11" t="str">
        <f aca="false">IF(D123&gt;=7,"Alta",IF(D123&gt;=5,"Media","Baixa"))</f>
        <v>Baixa</v>
      </c>
      <c r="F123" s="14" t="s">
        <v>631</v>
      </c>
      <c r="G123" s="11" t="n">
        <v>1</v>
      </c>
      <c r="H123" s="14" t="s">
        <v>632</v>
      </c>
      <c r="I123" s="11" t="n">
        <v>1</v>
      </c>
      <c r="J123" s="14" t="s">
        <v>28</v>
      </c>
      <c r="K123" s="35" t="s">
        <v>134</v>
      </c>
      <c r="L123" s="11" t="n">
        <v>0</v>
      </c>
      <c r="M123" s="11" t="n">
        <v>0</v>
      </c>
      <c r="N123" s="11" t="s">
        <v>354</v>
      </c>
      <c r="O123" s="11" t="s">
        <v>184</v>
      </c>
      <c r="P123" s="14" t="s">
        <v>54</v>
      </c>
      <c r="Q123" s="14" t="s">
        <v>632</v>
      </c>
      <c r="R123" s="36" t="n">
        <v>37</v>
      </c>
      <c r="S123" s="36" t="n">
        <v>37</v>
      </c>
      <c r="T123" s="37" t="n">
        <v>0.85</v>
      </c>
      <c r="U123" s="14" t="s">
        <v>135</v>
      </c>
      <c r="V123" s="11" t="n">
        <v>1</v>
      </c>
      <c r="W123" s="11" t="n">
        <v>1</v>
      </c>
      <c r="X123" s="11" t="s">
        <v>277</v>
      </c>
      <c r="Y123" s="11" t="s">
        <v>277</v>
      </c>
      <c r="Z123" s="14" t="s">
        <v>128</v>
      </c>
      <c r="AA123" s="11" t="s">
        <v>129</v>
      </c>
      <c r="AB123" s="11" t="s">
        <v>12</v>
      </c>
      <c r="AC123" s="11" t="n">
        <v>4</v>
      </c>
      <c r="AD123" s="11" t="n">
        <v>5</v>
      </c>
      <c r="AE123" s="11" t="n">
        <v>3</v>
      </c>
      <c r="AF123" s="11" t="n">
        <v>3</v>
      </c>
      <c r="AG123" s="14"/>
      <c r="AH123" s="14" t="s">
        <v>633</v>
      </c>
    </row>
    <row r="124" customFormat="false" ht="15" hidden="false" customHeight="false" outlineLevel="0" collapsed="false">
      <c r="A124" s="17" t="s">
        <v>634</v>
      </c>
      <c r="B124" s="30" t="n">
        <f aca="false">MIN(10, IF(N124="ativa",5,IF(N124="nova",4,IF(N124="esfriando",2,0)))+IF(L124&gt;=9,3,IF(L124&gt;=3,2,IF(L124&gt;=1,1,0)))+IF(M124&gt;=60,1.5,IF(M124&gt;=30,1,IF(M124&gt;=14,0.5,0)))+IF(V124&gt;=50,1.5,IF(V124&gt;=10,1,IF(V124&gt;=1,0.5,0)))+IF(W124&gt;=4,0.5,0))</f>
        <v>2.5</v>
      </c>
      <c r="C124" s="18" t="n">
        <f aca="false">ROUND(AC124*0.15+AD124*0.25+AE124*0.4+AF124*0.2,1)</f>
        <v>2</v>
      </c>
      <c r="D124" s="30" t="n">
        <f aca="false">ROUND(B124*0.45+C124*0.55,1)</f>
        <v>2.2</v>
      </c>
      <c r="E124" s="16" t="str">
        <f aca="false">IF(D124&gt;=7,"Alta",IF(D124&gt;=5,"Media","Baixa"))</f>
        <v>Baixa</v>
      </c>
      <c r="F124" s="19" t="s">
        <v>635</v>
      </c>
      <c r="G124" s="16" t="n">
        <v>1</v>
      </c>
      <c r="H124" s="19" t="s">
        <v>636</v>
      </c>
      <c r="I124" s="16" t="n">
        <v>1</v>
      </c>
      <c r="J124" s="19" t="s">
        <v>28</v>
      </c>
      <c r="K124" s="31" t="s">
        <v>134</v>
      </c>
      <c r="L124" s="16" t="n">
        <v>0</v>
      </c>
      <c r="M124" s="16" t="n">
        <v>0</v>
      </c>
      <c r="N124" s="16" t="s">
        <v>275</v>
      </c>
      <c r="O124" s="16" t="s">
        <v>184</v>
      </c>
      <c r="P124" s="19" t="s">
        <v>89</v>
      </c>
      <c r="Q124" s="19" t="s">
        <v>636</v>
      </c>
      <c r="R124" s="32" t="n">
        <v>0</v>
      </c>
      <c r="S124" s="32" t="n">
        <v>0</v>
      </c>
      <c r="T124" s="33" t="n">
        <v>0.7</v>
      </c>
      <c r="U124" s="19" t="s">
        <v>135</v>
      </c>
      <c r="V124" s="16" t="n">
        <v>1</v>
      </c>
      <c r="W124" s="16" t="n">
        <v>2</v>
      </c>
      <c r="X124" s="16" t="s">
        <v>377</v>
      </c>
      <c r="Y124" s="16" t="s">
        <v>232</v>
      </c>
      <c r="Z124" s="19" t="s">
        <v>213</v>
      </c>
      <c r="AA124" s="16" t="s">
        <v>129</v>
      </c>
      <c r="AB124" s="16" t="s">
        <v>12</v>
      </c>
      <c r="AC124" s="16" t="n">
        <v>0</v>
      </c>
      <c r="AD124" s="16" t="n">
        <v>3</v>
      </c>
      <c r="AE124" s="16" t="n">
        <v>2</v>
      </c>
      <c r="AF124" s="16" t="n">
        <v>2</v>
      </c>
      <c r="AG124" s="19"/>
      <c r="AH124" s="19" t="s">
        <v>637</v>
      </c>
    </row>
  </sheetData>
  <autoFilter ref="A1:AH124"/>
  <conditionalFormatting sqref="B2:B124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C2:C124">
    <cfRule type="colorScale" priority="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D2:D124">
    <cfRule type="colorScale" priority="4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L2:L124">
    <cfRule type="colorScale" priority="5">
      <colorScale>
        <cfvo type="num" val="0"/>
        <cfvo type="num" val="4"/>
        <cfvo type="num" val="12"/>
        <color rgb="FFFFFFFF"/>
        <color rgb="FFBDD7EE"/>
        <color rgb="FF2E6BE6"/>
      </colorScale>
    </cfRule>
  </conditionalFormatting>
  <conditionalFormatting sqref="E2:E124">
    <cfRule type="cellIs" priority="6" operator="equal" aboveAverage="0" equalAverage="0" bottom="0" percent="0" rank="0" text="" dxfId="80">
      <formula>"Alta"</formula>
    </cfRule>
    <cfRule type="cellIs" priority="7" operator="equal" aboveAverage="0" equalAverage="0" bottom="0" percent="0" rank="0" text="" dxfId="81">
      <formula>"Media"</formula>
    </cfRule>
    <cfRule type="cellIs" priority="8" operator="equal" aboveAverage="0" equalAverage="0" bottom="0" percent="0" rank="0" text="" dxfId="82">
      <formula>"Baixa"</formula>
    </cfRule>
  </conditionalFormatting>
  <conditionalFormatting sqref="N2:N124">
    <cfRule type="cellIs" priority="9" operator="equal" aboveAverage="0" equalAverage="0" bottom="0" percent="0" rank="0" text="" dxfId="80">
      <formula>"ativa"</formula>
    </cfRule>
    <cfRule type="cellIs" priority="10" operator="equal" aboveAverage="0" equalAverage="0" bottom="0" percent="0" rank="0" text="" dxfId="83">
      <formula>"nova"</formula>
    </cfRule>
    <cfRule type="cellIs" priority="11" operator="equal" aboveAverage="0" equalAverage="0" bottom="0" percent="0" rank="0" text="" dxfId="81">
      <formula>"esfriando"</formula>
    </cfRule>
    <cfRule type="cellIs" priority="12" operator="equal" aboveAverage="0" equalAverage="0" bottom="0" percent="0" rank="0" text="" dxfId="84">
      <formula>"morta"</formula>
    </cfRule>
  </conditionalFormatting>
  <conditionalFormatting sqref="O2:O124">
    <cfRule type="cellIs" priority="13" operator="equal" aboveAverage="0" equalAverage="0" bottom="0" percent="0" rank="0" text="" dxfId="80">
      <formula>"replicar"</formula>
    </cfRule>
    <cfRule type="cellIs" priority="14" operator="equal" aboveAverage="0" equalAverage="0" bottom="0" percent="0" rank="0" text="" dxfId="85">
      <formula>"observar"</formula>
    </cfRule>
    <cfRule type="cellIs" priority="15" operator="equal" aboveAverage="0" equalAverage="0" bottom="0" percent="0" rank="0" text="" dxfId="84">
      <formula>"descartar"</formula>
    </cfRule>
  </conditionalFormatting>
  <conditionalFormatting sqref="A2:A124">
    <cfRule type="expression" priority="16" aboveAverage="0" equalAverage="0" bottom="0" percent="0" rank="0" text="" dxfId="86">
      <formula>OR($G2&gt;1,$I2&gt;1)</formula>
    </cfRule>
  </conditionalFormatting>
  <conditionalFormatting sqref="G2:G124">
    <cfRule type="cellIs" priority="17" operator="greaterThan" aboveAverage="0" equalAverage="0" bottom="0" percent="0" rank="0" text="" dxfId="87">
      <formula>1</formula>
    </cfRule>
  </conditionalFormatting>
  <conditionalFormatting sqref="I2:I124">
    <cfRule type="cellIs" priority="18" operator="greaterThan" aboveAverage="0" equalAverage="0" bottom="0" percent="0" rank="0" text="" dxfId="87">
      <formula>1</formula>
    </cfRule>
  </conditionalFormatting>
  <hyperlinks>
    <hyperlink ref="J2" r:id="rId1" display="abrir pagina"/>
    <hyperlink ref="K2" r:id="rId2" display="anuncio 9 criativo(s)"/>
    <hyperlink ref="J3" r:id="rId3" display="abrir pagina"/>
    <hyperlink ref="K3" r:id="rId4" display="buscar na biblioteca"/>
    <hyperlink ref="J4" r:id="rId5" display="abrir pagina"/>
    <hyperlink ref="K4" r:id="rId6" display="buscar na biblioteca"/>
    <hyperlink ref="J5" r:id="rId7" display="abrir pagina"/>
    <hyperlink ref="K5" r:id="rId8" display="buscar na biblioteca"/>
    <hyperlink ref="J6" r:id="rId9" display="abrir pagina"/>
    <hyperlink ref="K6" r:id="rId10" display="buscar na biblioteca"/>
    <hyperlink ref="K7" r:id="rId11" display="buscar na biblioteca"/>
    <hyperlink ref="K8" r:id="rId12" display="buscar na biblioteca"/>
    <hyperlink ref="J9" r:id="rId13" display="abrir pagina"/>
    <hyperlink ref="K9" r:id="rId14" display="anuncio 11 criativo(s)"/>
    <hyperlink ref="K10" r:id="rId15" display="buscar na biblioteca"/>
    <hyperlink ref="J11" r:id="rId16" display="abrir pagina"/>
    <hyperlink ref="K11" r:id="rId17" display="buscar na biblioteca"/>
    <hyperlink ref="K12" r:id="rId18" display="buscar na biblioteca"/>
    <hyperlink ref="J13" r:id="rId19" display="abrir pagina"/>
    <hyperlink ref="K13" r:id="rId20" display="buscar na biblioteca"/>
    <hyperlink ref="J14" r:id="rId21" display="abrir pagina"/>
    <hyperlink ref="K14" r:id="rId22" display="anuncio 2 criativo(s)"/>
    <hyperlink ref="J15" r:id="rId23" display="abrir pagina"/>
    <hyperlink ref="K15" r:id="rId24" display="anuncio 3 criativo(s)"/>
    <hyperlink ref="J16" r:id="rId25" display="abrir pagina"/>
    <hyperlink ref="K16" r:id="rId26" display="buscar na biblioteca"/>
    <hyperlink ref="J17" r:id="rId27" display="abrir pagina"/>
    <hyperlink ref="K17" r:id="rId28" display="anuncio 1 criativo(s)"/>
    <hyperlink ref="J18" r:id="rId29" display="abrir pagina"/>
    <hyperlink ref="K18" r:id="rId30" display="buscar na biblioteca"/>
    <hyperlink ref="K19" r:id="rId31" display="buscar na biblioteca"/>
    <hyperlink ref="J20" r:id="rId32" display="abrir pagina"/>
    <hyperlink ref="K20" r:id="rId33" display="buscar na biblioteca"/>
    <hyperlink ref="J21" r:id="rId34" display="abrir pagina"/>
    <hyperlink ref="K21" r:id="rId35" display="buscar na biblioteca"/>
    <hyperlink ref="J22" r:id="rId36" display="abrir pagina"/>
    <hyperlink ref="K22" r:id="rId37" display="buscar na biblioteca"/>
    <hyperlink ref="J23" r:id="rId38" display="abrir pagina"/>
    <hyperlink ref="K23" r:id="rId39" display="buscar na biblioteca"/>
    <hyperlink ref="K24" r:id="rId40" display="buscar na biblioteca"/>
    <hyperlink ref="J25" r:id="rId41" display="abrir pagina"/>
    <hyperlink ref="K25" r:id="rId42" display="anuncio 3 criativo(s)"/>
    <hyperlink ref="J26" r:id="rId43" display="abrir pagina"/>
    <hyperlink ref="K26" r:id="rId44" display="anuncio 3 criativo(s)"/>
    <hyperlink ref="J27" r:id="rId45" display="abrir pagina"/>
    <hyperlink ref="K27" r:id="rId46" display="buscar na biblioteca"/>
    <hyperlink ref="K28" r:id="rId47" display="buscar na biblioteca"/>
    <hyperlink ref="J29" r:id="rId48" display="abrir pagina"/>
    <hyperlink ref="K29" r:id="rId49" display="buscar na biblioteca"/>
    <hyperlink ref="K30" r:id="rId50" display="buscar na biblioteca"/>
    <hyperlink ref="J31" r:id="rId51" display="abrir pagina"/>
    <hyperlink ref="K31" r:id="rId52" display="anuncio 2 criativo(s)"/>
    <hyperlink ref="J32" r:id="rId53" display="abrir pagina"/>
    <hyperlink ref="K32" r:id="rId54" display="buscar na biblioteca"/>
    <hyperlink ref="J33" r:id="rId55" display="abrir pagina"/>
    <hyperlink ref="K33" r:id="rId56" display="anuncio 1 criativo(s)"/>
    <hyperlink ref="K34" r:id="rId57" display="buscar na biblioteca"/>
    <hyperlink ref="K35" r:id="rId58" display="buscar na biblioteca"/>
    <hyperlink ref="K36" r:id="rId59" display="buscar na biblioteca"/>
    <hyperlink ref="K37" r:id="rId60" display="buscar na biblioteca"/>
    <hyperlink ref="J38" r:id="rId61" display="abrir pagina"/>
    <hyperlink ref="K38" r:id="rId62" display="anuncio 2 criativo(s)"/>
    <hyperlink ref="K39" r:id="rId63" display="buscar na biblioteca"/>
    <hyperlink ref="K40" r:id="rId64" display="buscar na biblioteca"/>
    <hyperlink ref="K41" r:id="rId65" display="buscar na biblioteca"/>
    <hyperlink ref="K42" r:id="rId66" display="buscar na biblioteca"/>
    <hyperlink ref="J43" r:id="rId67" display="abrir pagina"/>
    <hyperlink ref="K43" r:id="rId68" display="buscar na biblioteca"/>
    <hyperlink ref="K44" r:id="rId69" display="buscar na biblioteca"/>
    <hyperlink ref="K45" r:id="rId70" display="buscar na biblioteca"/>
    <hyperlink ref="K46" r:id="rId71" display="buscar na biblioteca"/>
    <hyperlink ref="K47" r:id="rId72" display="buscar na biblioteca"/>
    <hyperlink ref="J48" r:id="rId73" display="abrir pagina"/>
    <hyperlink ref="K48" r:id="rId74" display="anuncio 2 criativo(s)"/>
    <hyperlink ref="K49" r:id="rId75" display="buscar na biblioteca"/>
    <hyperlink ref="J50" r:id="rId76" display="abrir pagina"/>
    <hyperlink ref="K50" r:id="rId77" display="buscar na biblioteca"/>
    <hyperlink ref="J51" r:id="rId78" display="abrir pagina"/>
    <hyperlink ref="K51" r:id="rId79" display="buscar na biblioteca"/>
    <hyperlink ref="K52" r:id="rId80" display="buscar na biblioteca"/>
    <hyperlink ref="K53" r:id="rId81" display="buscar na biblioteca"/>
    <hyperlink ref="K54" r:id="rId82" display="buscar na biblioteca"/>
    <hyperlink ref="K55" r:id="rId83" display="buscar na biblioteca"/>
    <hyperlink ref="K56" r:id="rId84" display="buscar na biblioteca"/>
    <hyperlink ref="K57" r:id="rId85" display="buscar na biblioteca"/>
    <hyperlink ref="J58" r:id="rId86" display="abrir pagina"/>
    <hyperlink ref="K58" r:id="rId87" display="buscar na biblioteca"/>
    <hyperlink ref="K59" r:id="rId88" display="buscar na biblioteca"/>
    <hyperlink ref="K60" r:id="rId89" display="buscar na biblioteca"/>
    <hyperlink ref="K61" r:id="rId90" display="buscar na biblioteca"/>
    <hyperlink ref="K62" r:id="rId91" display="buscar na biblioteca"/>
    <hyperlink ref="J63" r:id="rId92" display="abrir pagina"/>
    <hyperlink ref="K63" r:id="rId93" display="buscar na biblioteca"/>
    <hyperlink ref="K64" r:id="rId94" display="buscar na biblioteca"/>
    <hyperlink ref="J65" r:id="rId95" display="abrir pagina"/>
    <hyperlink ref="K65" r:id="rId96" display="buscar na biblioteca"/>
    <hyperlink ref="K66" r:id="rId97" display="buscar na biblioteca"/>
    <hyperlink ref="K67" r:id="rId98" display="buscar na biblioteca"/>
    <hyperlink ref="K68" r:id="rId99" display="buscar na biblioteca"/>
    <hyperlink ref="K69" r:id="rId100" display="buscar na biblioteca"/>
    <hyperlink ref="K70" r:id="rId101" display="buscar na biblioteca"/>
    <hyperlink ref="J71" r:id="rId102" display="abrir pagina"/>
    <hyperlink ref="K71" r:id="rId103" display="buscar na biblioteca"/>
    <hyperlink ref="K72" r:id="rId104" display="buscar na biblioteca"/>
    <hyperlink ref="K73" r:id="rId105" display="buscar na biblioteca"/>
    <hyperlink ref="K74" r:id="rId106" display="buscar na biblioteca"/>
    <hyperlink ref="J75" r:id="rId107" display="abrir pagina"/>
    <hyperlink ref="K75" r:id="rId108" display="buscar na biblioteca"/>
    <hyperlink ref="J76" r:id="rId109" display="abrir pagina"/>
    <hyperlink ref="K76" r:id="rId110" display="buscar na biblioteca"/>
    <hyperlink ref="J77" r:id="rId111" display="abrir pagina"/>
    <hyperlink ref="K77" r:id="rId112" display="buscar na biblioteca"/>
    <hyperlink ref="J78" r:id="rId113" display="abrir pagina"/>
    <hyperlink ref="K78" r:id="rId114" display="buscar na biblioteca"/>
    <hyperlink ref="K79" r:id="rId115" display="buscar na biblioteca"/>
    <hyperlink ref="K80" r:id="rId116" display="buscar na biblioteca"/>
    <hyperlink ref="K81" r:id="rId117" display="buscar na biblioteca"/>
    <hyperlink ref="K82" r:id="rId118" display="buscar na biblioteca"/>
    <hyperlink ref="J83" r:id="rId119" display="abrir pagina"/>
    <hyperlink ref="K83" r:id="rId120" display="buscar na biblioteca"/>
    <hyperlink ref="J84" r:id="rId121" display="abrir pagina"/>
    <hyperlink ref="K84" r:id="rId122" display="buscar na biblioteca"/>
    <hyperlink ref="J85" r:id="rId123" display="abrir pagina"/>
    <hyperlink ref="K85" r:id="rId124" display="buscar na biblioteca"/>
    <hyperlink ref="J86" r:id="rId125" display="abrir pagina"/>
    <hyperlink ref="K86" r:id="rId126" display="buscar na biblioteca"/>
    <hyperlink ref="J87" r:id="rId127" display="abrir pagina"/>
    <hyperlink ref="K87" r:id="rId128" display="buscar na biblioteca"/>
    <hyperlink ref="J88" r:id="rId129" display="abrir pagina"/>
    <hyperlink ref="K88" r:id="rId130" display="buscar na biblioteca"/>
    <hyperlink ref="J89" r:id="rId131" display="abrir pagina"/>
    <hyperlink ref="K89" r:id="rId132" display="buscar na biblioteca"/>
    <hyperlink ref="J90" r:id="rId133" display="abrir pagina"/>
    <hyperlink ref="K90" r:id="rId134" display="buscar na biblioteca"/>
    <hyperlink ref="K91" r:id="rId135" display="buscar na biblioteca"/>
    <hyperlink ref="J92" r:id="rId136" display="abrir pagina"/>
    <hyperlink ref="K92" r:id="rId137" display="buscar na biblioteca"/>
    <hyperlink ref="J93" r:id="rId138" display="abrir pagina"/>
    <hyperlink ref="K93" r:id="rId139" display="buscar na biblioteca"/>
    <hyperlink ref="J94" r:id="rId140" display="abrir pagina"/>
    <hyperlink ref="K94" r:id="rId141" display="buscar na biblioteca"/>
    <hyperlink ref="J95" r:id="rId142" display="abrir pagina"/>
    <hyperlink ref="K95" r:id="rId143" display="buscar na biblioteca"/>
    <hyperlink ref="K96" r:id="rId144" display="buscar na biblioteca"/>
    <hyperlink ref="K97" r:id="rId145" display="buscar na biblioteca"/>
    <hyperlink ref="K98" r:id="rId146" display="buscar na biblioteca"/>
    <hyperlink ref="K99" r:id="rId147" display="buscar na biblioteca"/>
    <hyperlink ref="K100" r:id="rId148" display="buscar na biblioteca"/>
    <hyperlink ref="J101" r:id="rId149" display="abrir pagina"/>
    <hyperlink ref="K101" r:id="rId150" display="buscar na biblioteca"/>
    <hyperlink ref="J102" r:id="rId151" display="abrir pagina"/>
    <hyperlink ref="K102" r:id="rId152" display="buscar na biblioteca"/>
    <hyperlink ref="J103" r:id="rId153" display="abrir pagina"/>
    <hyperlink ref="K103" r:id="rId154" display="buscar na biblioteca"/>
    <hyperlink ref="J104" r:id="rId155" display="abrir pagina"/>
    <hyperlink ref="K104" r:id="rId156" display="buscar na biblioteca"/>
    <hyperlink ref="J105" r:id="rId157" display="abrir pagina"/>
    <hyperlink ref="K105" r:id="rId158" display="buscar na biblioteca"/>
    <hyperlink ref="K106" r:id="rId159" display="buscar na biblioteca"/>
    <hyperlink ref="K107" r:id="rId160" display="buscar na biblioteca"/>
    <hyperlink ref="J108" r:id="rId161" display="abrir pagina"/>
    <hyperlink ref="K108" r:id="rId162" display="buscar na biblioteca"/>
    <hyperlink ref="K109" r:id="rId163" display="buscar na biblioteca"/>
    <hyperlink ref="J110" r:id="rId164" display="abrir pagina"/>
    <hyperlink ref="K110" r:id="rId165" display="buscar na biblioteca"/>
    <hyperlink ref="J111" r:id="rId166" display="abrir pagina"/>
    <hyperlink ref="K111" r:id="rId167" display="buscar na biblioteca"/>
    <hyperlink ref="J112" r:id="rId168" display="abrir pagina"/>
    <hyperlink ref="K112" r:id="rId169" display="buscar na biblioteca"/>
    <hyperlink ref="J113" r:id="rId170" display="abrir pagina"/>
    <hyperlink ref="K113" r:id="rId171" display="buscar na biblioteca"/>
    <hyperlink ref="K114" r:id="rId172" display="buscar na biblioteca"/>
    <hyperlink ref="J115" r:id="rId173" display="abrir pagina"/>
    <hyperlink ref="K115" r:id="rId174" display="buscar na biblioteca"/>
    <hyperlink ref="J116" r:id="rId175" display="abrir pagina"/>
    <hyperlink ref="K116" r:id="rId176" display="buscar na biblioteca"/>
    <hyperlink ref="J117" r:id="rId177" display="abrir pagina"/>
    <hyperlink ref="K117" r:id="rId178" display="buscar na biblioteca"/>
    <hyperlink ref="K118" r:id="rId179" display="buscar na biblioteca"/>
    <hyperlink ref="K119" r:id="rId180" display="buscar na biblioteca"/>
    <hyperlink ref="K120" r:id="rId181" display="buscar na biblioteca"/>
    <hyperlink ref="K121" r:id="rId182" display="buscar na biblioteca"/>
    <hyperlink ref="J122" r:id="rId183" display="abrir pagina"/>
    <hyperlink ref="K122" r:id="rId184" display="buscar na biblioteca"/>
    <hyperlink ref="K123" r:id="rId185" display="buscar na biblioteca"/>
    <hyperlink ref="K124" r:id="rId186" display="buscar na bibliote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5" min="5" style="0" width="95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38" t="s">
        <v>638</v>
      </c>
      <c r="B1" s="38"/>
      <c r="C1" s="38"/>
      <c r="D1" s="38"/>
      <c r="E1" s="38"/>
      <c r="F1" s="38"/>
    </row>
    <row r="3" customFormat="false" ht="15" hidden="false" customHeight="false" outlineLevel="0" collapsed="false">
      <c r="A3" s="39" t="s">
        <v>639</v>
      </c>
    </row>
    <row r="4" customFormat="false" ht="15" hidden="false" customHeight="false" outlineLevel="0" collapsed="false">
      <c r="A4" s="40" t="s">
        <v>640</v>
      </c>
      <c r="B4" s="40" t="s">
        <v>37</v>
      </c>
      <c r="C4" s="40" t="s">
        <v>641</v>
      </c>
      <c r="D4" s="40" t="s">
        <v>642</v>
      </c>
      <c r="E4" s="40" t="s">
        <v>643</v>
      </c>
      <c r="F4" s="40" t="s">
        <v>644</v>
      </c>
    </row>
    <row r="5" customFormat="false" ht="15" hidden="false" customHeight="false" outlineLevel="0" collapsed="false">
      <c r="A5" s="41" t="s">
        <v>447</v>
      </c>
      <c r="B5" s="42" t="n">
        <v>5</v>
      </c>
      <c r="C5" s="43" t="n">
        <v>3.8</v>
      </c>
      <c r="D5" s="43" t="n">
        <f aca="false">IFERROR(ROUND(AVERAGEIF(Ofertas!$H$2:$H$124,$A5,Ofertas!$D$2:$D$124),1),"")</f>
        <v>3.5</v>
      </c>
      <c r="E5" s="42" t="n">
        <f aca="false">SUMIF(Ofertas!$H$2:$H$124,$A5,Ofertas!$L$2:$L$124)</f>
        <v>0</v>
      </c>
      <c r="F5" s="44" t="s">
        <v>645</v>
      </c>
    </row>
    <row r="6" customFormat="false" ht="15" hidden="false" customHeight="false" outlineLevel="0" collapsed="false">
      <c r="A6" s="45" t="s">
        <v>133</v>
      </c>
      <c r="B6" s="46" t="n">
        <v>4</v>
      </c>
      <c r="C6" s="47" t="n">
        <v>7.4</v>
      </c>
      <c r="D6" s="47" t="n">
        <f aca="false">IFERROR(ROUND(AVERAGEIF(Ofertas!$H$2:$H$124,$A6,Ofertas!$D$2:$D$124),1),"")</f>
        <v>6.3</v>
      </c>
      <c r="E6" s="46" t="n">
        <f aca="false">SUMIF(Ofertas!$H$2:$H$124,$A6,Ofertas!$L$2:$L$124)</f>
        <v>12</v>
      </c>
      <c r="F6" s="48" t="s">
        <v>646</v>
      </c>
    </row>
    <row r="7" customFormat="false" ht="15" hidden="false" customHeight="false" outlineLevel="0" collapsed="false">
      <c r="A7" s="41" t="s">
        <v>146</v>
      </c>
      <c r="B7" s="42" t="n">
        <v>4</v>
      </c>
      <c r="C7" s="43" t="n">
        <v>7.1</v>
      </c>
      <c r="D7" s="43" t="n">
        <f aca="false">IFERROR(ROUND(AVERAGEIF(Ofertas!$H$2:$H$124,$A7,Ofertas!$D$2:$D$124),1),"")</f>
        <v>6</v>
      </c>
      <c r="E7" s="42" t="n">
        <f aca="false">SUMIF(Ofertas!$H$2:$H$124,$A7,Ofertas!$L$2:$L$124)</f>
        <v>10</v>
      </c>
      <c r="F7" s="44" t="s">
        <v>647</v>
      </c>
    </row>
    <row r="8" customFormat="false" ht="15" hidden="false" customHeight="false" outlineLevel="0" collapsed="false">
      <c r="A8" s="45" t="s">
        <v>155</v>
      </c>
      <c r="B8" s="46" t="n">
        <v>4</v>
      </c>
      <c r="C8" s="47" t="n">
        <v>6.9</v>
      </c>
      <c r="D8" s="47" t="n">
        <f aca="false">IFERROR(ROUND(AVERAGEIF(Ofertas!$H$2:$H$124,$A8,Ofertas!$D$2:$D$124),1),"")</f>
        <v>5.2</v>
      </c>
      <c r="E8" s="46" t="n">
        <f aca="false">SUMIF(Ofertas!$H$2:$H$124,$A8,Ofertas!$L$2:$L$124)</f>
        <v>12</v>
      </c>
      <c r="F8" s="48" t="s">
        <v>648</v>
      </c>
    </row>
    <row r="9" customFormat="false" ht="15" hidden="false" customHeight="false" outlineLevel="0" collapsed="false">
      <c r="A9" s="41" t="s">
        <v>205</v>
      </c>
      <c r="B9" s="42" t="n">
        <v>4</v>
      </c>
      <c r="C9" s="43" t="n">
        <v>6.1</v>
      </c>
      <c r="D9" s="43" t="n">
        <f aca="false">IFERROR(ROUND(AVERAGEIF(Ofertas!$H$2:$H$124,$A9,Ofertas!$D$2:$D$124),1),"")</f>
        <v>5.6</v>
      </c>
      <c r="E9" s="42" t="n">
        <f aca="false">SUMIF(Ofertas!$H$2:$H$124,$A9,Ofertas!$L$2:$L$124)</f>
        <v>0</v>
      </c>
      <c r="F9" s="44" t="s">
        <v>649</v>
      </c>
    </row>
    <row r="10" customFormat="false" ht="15" hidden="false" customHeight="false" outlineLevel="0" collapsed="false">
      <c r="A10" s="45" t="s">
        <v>140</v>
      </c>
      <c r="B10" s="46" t="n">
        <v>3</v>
      </c>
      <c r="C10" s="47" t="n">
        <v>7.2</v>
      </c>
      <c r="D10" s="47" t="n">
        <f aca="false">IFERROR(ROUND(AVERAGEIF(Ofertas!$H$2:$H$124,$A10,Ofertas!$D$2:$D$124),1),"")</f>
        <v>6.2</v>
      </c>
      <c r="E10" s="46" t="n">
        <f aca="false">SUMIF(Ofertas!$H$2:$H$124,$A10,Ofertas!$L$2:$L$124)</f>
        <v>0</v>
      </c>
      <c r="F10" s="48" t="s">
        <v>650</v>
      </c>
    </row>
    <row r="11" customFormat="false" ht="15" hidden="false" customHeight="false" outlineLevel="0" collapsed="false">
      <c r="A11" s="41" t="s">
        <v>209</v>
      </c>
      <c r="B11" s="42" t="n">
        <v>3</v>
      </c>
      <c r="C11" s="43" t="n">
        <v>6</v>
      </c>
      <c r="D11" s="43" t="n">
        <f aca="false">IFERROR(ROUND(AVERAGEIF(Ofertas!$H$2:$H$124,$A11,Ofertas!$D$2:$D$124),1),"")</f>
        <v>4.8</v>
      </c>
      <c r="E11" s="42" t="n">
        <f aca="false">SUMIF(Ofertas!$H$2:$H$124,$A11,Ofertas!$L$2:$L$124)</f>
        <v>0</v>
      </c>
      <c r="F11" s="44" t="s">
        <v>651</v>
      </c>
    </row>
    <row r="12" customFormat="false" ht="15" hidden="false" customHeight="false" outlineLevel="0" collapsed="false">
      <c r="A12" s="45" t="s">
        <v>236</v>
      </c>
      <c r="B12" s="46" t="n">
        <v>3</v>
      </c>
      <c r="C12" s="47" t="n">
        <v>5.8</v>
      </c>
      <c r="D12" s="47" t="n">
        <f aca="false">IFERROR(ROUND(AVERAGEIF(Ofertas!$H$2:$H$124,$A12,Ofertas!$D$2:$D$124),1),"")</f>
        <v>5.5</v>
      </c>
      <c r="E12" s="46" t="n">
        <f aca="false">SUMIF(Ofertas!$H$2:$H$124,$A12,Ofertas!$L$2:$L$124)</f>
        <v>6</v>
      </c>
      <c r="F12" s="48" t="s">
        <v>652</v>
      </c>
    </row>
    <row r="13" customFormat="false" ht="15" hidden="false" customHeight="false" outlineLevel="0" collapsed="false">
      <c r="A13" s="41" t="s">
        <v>421</v>
      </c>
      <c r="B13" s="42" t="n">
        <v>3</v>
      </c>
      <c r="C13" s="43" t="n">
        <v>3.9</v>
      </c>
      <c r="D13" s="43" t="n">
        <f aca="false">IFERROR(ROUND(AVERAGEIF(Ofertas!$H$2:$H$124,$A13,Ofertas!$D$2:$D$124),1),"")</f>
        <v>3.5</v>
      </c>
      <c r="E13" s="42" t="n">
        <f aca="false">SUMIF(Ofertas!$H$2:$H$124,$A13,Ofertas!$L$2:$L$124)</f>
        <v>0</v>
      </c>
      <c r="F13" s="44" t="s">
        <v>653</v>
      </c>
    </row>
    <row r="14" customFormat="false" ht="15" hidden="false" customHeight="false" outlineLevel="0" collapsed="false">
      <c r="A14" s="45" t="s">
        <v>435</v>
      </c>
      <c r="B14" s="46" t="n">
        <v>3</v>
      </c>
      <c r="C14" s="47" t="n">
        <v>3.9</v>
      </c>
      <c r="D14" s="47" t="n">
        <f aca="false">IFERROR(ROUND(AVERAGEIF(Ofertas!$H$2:$H$124,$A14,Ofertas!$D$2:$D$124),1),"")</f>
        <v>3.8</v>
      </c>
      <c r="E14" s="46" t="n">
        <f aca="false">SUMIF(Ofertas!$H$2:$H$124,$A14,Ofertas!$L$2:$L$124)</f>
        <v>0</v>
      </c>
      <c r="F14" s="48" t="s">
        <v>654</v>
      </c>
    </row>
    <row r="15" customFormat="false" ht="15" hidden="false" customHeight="false" outlineLevel="0" collapsed="false">
      <c r="A15" s="41" t="s">
        <v>163</v>
      </c>
      <c r="B15" s="42" t="n">
        <v>2</v>
      </c>
      <c r="C15" s="43" t="n">
        <v>6.6</v>
      </c>
      <c r="D15" s="43" t="n">
        <f aca="false">IFERROR(ROUND(AVERAGEIF(Ofertas!$H$2:$H$124,$A15,Ofertas!$D$2:$D$124),1),"")</f>
        <v>6.1</v>
      </c>
      <c r="E15" s="42" t="n">
        <f aca="false">SUMIF(Ofertas!$H$2:$H$124,$A15,Ofertas!$L$2:$L$124)</f>
        <v>13</v>
      </c>
      <c r="F15" s="44" t="s">
        <v>655</v>
      </c>
    </row>
    <row r="16" customFormat="false" ht="15" hidden="false" customHeight="false" outlineLevel="0" collapsed="false">
      <c r="A16" s="45" t="s">
        <v>178</v>
      </c>
      <c r="B16" s="46" t="n">
        <v>2</v>
      </c>
      <c r="C16" s="47" t="n">
        <v>6.3</v>
      </c>
      <c r="D16" s="47" t="n">
        <f aca="false">IFERROR(ROUND(AVERAGEIF(Ofertas!$H$2:$H$124,$A16,Ofertas!$D$2:$D$124),1),"")</f>
        <v>6.1</v>
      </c>
      <c r="E16" s="46" t="n">
        <f aca="false">SUMIF(Ofertas!$H$2:$H$124,$A16,Ofertas!$L$2:$L$124)</f>
        <v>2</v>
      </c>
      <c r="F16" s="48" t="s">
        <v>656</v>
      </c>
    </row>
    <row r="17" customFormat="false" ht="15" hidden="false" customHeight="false" outlineLevel="0" collapsed="false">
      <c r="A17" s="41" t="s">
        <v>182</v>
      </c>
      <c r="B17" s="42" t="n">
        <v>2</v>
      </c>
      <c r="C17" s="43" t="n">
        <v>6.2</v>
      </c>
      <c r="D17" s="43" t="n">
        <f aca="false">IFERROR(ROUND(AVERAGEIF(Ofertas!$H$2:$H$124,$A17,Ofertas!$D$2:$D$124),1),"")</f>
        <v>6.3</v>
      </c>
      <c r="E17" s="42" t="n">
        <f aca="false">SUMIF(Ofertas!$H$2:$H$124,$A17,Ofertas!$L$2:$L$124)</f>
        <v>5</v>
      </c>
      <c r="F17" s="44" t="s">
        <v>657</v>
      </c>
    </row>
    <row r="18" customFormat="false" ht="15" hidden="false" customHeight="false" outlineLevel="0" collapsed="false">
      <c r="A18" s="45" t="s">
        <v>252</v>
      </c>
      <c r="B18" s="46" t="n">
        <v>2</v>
      </c>
      <c r="C18" s="47" t="n">
        <v>5.7</v>
      </c>
      <c r="D18" s="47" t="n">
        <f aca="false">IFERROR(ROUND(AVERAGEIF(Ofertas!$H$2:$H$124,$A18,Ofertas!$D$2:$D$124),1),"")</f>
        <v>5.4</v>
      </c>
      <c r="E18" s="46" t="n">
        <f aca="false">SUMIF(Ofertas!$H$2:$H$124,$A18,Ofertas!$L$2:$L$124)</f>
        <v>0</v>
      </c>
      <c r="F18" s="48" t="s">
        <v>658</v>
      </c>
    </row>
    <row r="19" customFormat="false" ht="15" hidden="false" customHeight="false" outlineLevel="0" collapsed="false">
      <c r="A19" s="41" t="s">
        <v>335</v>
      </c>
      <c r="B19" s="42" t="n">
        <v>2</v>
      </c>
      <c r="C19" s="43" t="n">
        <v>4.5</v>
      </c>
      <c r="D19" s="43" t="n">
        <f aca="false">IFERROR(ROUND(AVERAGEIF(Ofertas!$H$2:$H$124,$A19,Ofertas!$D$2:$D$124),1),"")</f>
        <v>4.5</v>
      </c>
      <c r="E19" s="42" t="n">
        <f aca="false">SUMIF(Ofertas!$H$2:$H$124,$A19,Ofertas!$L$2:$L$124)</f>
        <v>2</v>
      </c>
      <c r="F19" s="44" t="s">
        <v>659</v>
      </c>
    </row>
    <row r="20" customFormat="false" ht="15" hidden="false" customHeight="false" outlineLevel="0" collapsed="false">
      <c r="A20" s="45" t="s">
        <v>353</v>
      </c>
      <c r="B20" s="46" t="n">
        <v>2</v>
      </c>
      <c r="C20" s="47" t="n">
        <v>4.3</v>
      </c>
      <c r="D20" s="47" t="n">
        <f aca="false">IFERROR(ROUND(AVERAGEIF(Ofertas!$H$2:$H$124,$A20,Ofertas!$D$2:$D$124),1),"")</f>
        <v>4</v>
      </c>
      <c r="E20" s="46" t="n">
        <f aca="false">SUMIF(Ofertas!$H$2:$H$124,$A20,Ofertas!$L$2:$L$124)</f>
        <v>0</v>
      </c>
      <c r="F20" s="48" t="s">
        <v>660</v>
      </c>
    </row>
    <row r="21" customFormat="false" ht="15" hidden="false" customHeight="false" outlineLevel="0" collapsed="false">
      <c r="A21" s="41" t="s">
        <v>372</v>
      </c>
      <c r="B21" s="42" t="n">
        <v>2</v>
      </c>
      <c r="C21" s="43" t="n">
        <v>4.2</v>
      </c>
      <c r="D21" s="43" t="n">
        <f aca="false">IFERROR(ROUND(AVERAGEIF(Ofertas!$H$2:$H$124,$A21,Ofertas!$D$2:$D$124),1),"")</f>
        <v>3.8</v>
      </c>
      <c r="E21" s="42" t="n">
        <f aca="false">SUMIF(Ofertas!$H$2:$H$124,$A21,Ofertas!$L$2:$L$124)</f>
        <v>0</v>
      </c>
      <c r="F21" s="44" t="s">
        <v>661</v>
      </c>
    </row>
    <row r="22" customFormat="false" ht="15" hidden="false" customHeight="false" outlineLevel="0" collapsed="false">
      <c r="A22" s="45" t="s">
        <v>430</v>
      </c>
      <c r="B22" s="46" t="n">
        <v>2</v>
      </c>
      <c r="C22" s="47" t="n">
        <v>3.9</v>
      </c>
      <c r="D22" s="47" t="n">
        <f aca="false">IFERROR(ROUND(AVERAGEIF(Ofertas!$H$2:$H$124,$A22,Ofertas!$D$2:$D$124),1),"")</f>
        <v>3.5</v>
      </c>
      <c r="E22" s="46" t="n">
        <f aca="false">SUMIF(Ofertas!$H$2:$H$124,$A22,Ofertas!$L$2:$L$124)</f>
        <v>0</v>
      </c>
      <c r="F22" s="48" t="s">
        <v>662</v>
      </c>
    </row>
    <row r="23" customFormat="false" ht="15" hidden="false" customHeight="false" outlineLevel="0" collapsed="false">
      <c r="A23" s="41" t="s">
        <v>451</v>
      </c>
      <c r="B23" s="42" t="n">
        <v>2</v>
      </c>
      <c r="C23" s="43" t="n">
        <v>3.8</v>
      </c>
      <c r="D23" s="43" t="n">
        <f aca="false">IFERROR(ROUND(AVERAGEIF(Ofertas!$H$2:$H$124,$A23,Ofertas!$D$2:$D$124),1),"")</f>
        <v>3.8</v>
      </c>
      <c r="E23" s="42" t="n">
        <f aca="false">SUMIF(Ofertas!$H$2:$H$124,$A23,Ofertas!$L$2:$L$124)</f>
        <v>0</v>
      </c>
      <c r="F23" s="44" t="s">
        <v>663</v>
      </c>
    </row>
    <row r="24" customFormat="false" ht="15" hidden="false" customHeight="false" outlineLevel="0" collapsed="false">
      <c r="A24" s="45" t="s">
        <v>493</v>
      </c>
      <c r="B24" s="46" t="n">
        <v>2</v>
      </c>
      <c r="C24" s="47" t="n">
        <v>3.7</v>
      </c>
      <c r="D24" s="47" t="n">
        <f aca="false">IFERROR(ROUND(AVERAGEIF(Ofertas!$H$2:$H$124,$A24,Ofertas!$D$2:$D$124),1),"")</f>
        <v>3.7</v>
      </c>
      <c r="E24" s="46" t="n">
        <f aca="false">SUMIF(Ofertas!$H$2:$H$124,$A24,Ofertas!$L$2:$L$124)</f>
        <v>0</v>
      </c>
      <c r="F24" s="48" t="s">
        <v>664</v>
      </c>
    </row>
    <row r="26" customFormat="false" ht="15" hidden="false" customHeight="false" outlineLevel="0" collapsed="false">
      <c r="A26" s="39" t="s">
        <v>665</v>
      </c>
    </row>
    <row r="27" customFormat="false" ht="23.85" hidden="false" customHeight="false" outlineLevel="0" collapsed="false">
      <c r="A27" s="40" t="s">
        <v>666</v>
      </c>
      <c r="B27" s="40" t="s">
        <v>37</v>
      </c>
      <c r="C27" s="40" t="s">
        <v>641</v>
      </c>
      <c r="D27" s="40" t="s">
        <v>643</v>
      </c>
      <c r="E27" s="40" t="s">
        <v>644</v>
      </c>
      <c r="F27" s="40" t="s">
        <v>667</v>
      </c>
    </row>
    <row r="28" customFormat="false" ht="15" hidden="false" customHeight="false" outlineLevel="0" collapsed="false">
      <c r="A28" s="49" t="s">
        <v>492</v>
      </c>
      <c r="B28" s="50" t="n">
        <v>3</v>
      </c>
      <c r="C28" s="51" t="n">
        <v>3.7</v>
      </c>
      <c r="D28" s="50" t="n">
        <f aca="false">SUMIF(Ofertas!$F$2:$F$124,$A28,Ofertas!$L$2:$L$124)</f>
        <v>0</v>
      </c>
      <c r="E28" s="52" t="s">
        <v>668</v>
      </c>
      <c r="F28" s="52" t="s">
        <v>669</v>
      </c>
    </row>
    <row r="29" customFormat="false" ht="15" hidden="false" customHeight="false" outlineLevel="0" collapsed="false">
      <c r="A29" s="19" t="s">
        <v>120</v>
      </c>
      <c r="B29" s="16" t="n">
        <v>1</v>
      </c>
      <c r="C29" s="18" t="n">
        <v>7.5</v>
      </c>
      <c r="D29" s="16" t="n">
        <f aca="false">SUMIF(Ofertas!$F$2:$F$124,$A29,Ofertas!$L$2:$L$124)</f>
        <v>9</v>
      </c>
      <c r="E29" s="19" t="s">
        <v>21</v>
      </c>
      <c r="F29" s="19" t="s">
        <v>669</v>
      </c>
    </row>
    <row r="30" customFormat="false" ht="15" hidden="false" customHeight="false" outlineLevel="0" collapsed="false">
      <c r="A30" s="14" t="s">
        <v>132</v>
      </c>
      <c r="B30" s="11" t="n">
        <v>1</v>
      </c>
      <c r="C30" s="13" t="n">
        <v>7.4</v>
      </c>
      <c r="D30" s="11" t="n">
        <f aca="false">SUMIF(Ofertas!$F$2:$F$124,$A30,Ofertas!$L$2:$L$124)</f>
        <v>9</v>
      </c>
      <c r="E30" s="14" t="s">
        <v>23</v>
      </c>
      <c r="F30" s="14" t="s">
        <v>669</v>
      </c>
    </row>
    <row r="31" customFormat="false" ht="15" hidden="false" customHeight="false" outlineLevel="0" collapsed="false">
      <c r="A31" s="19" t="s">
        <v>139</v>
      </c>
      <c r="B31" s="16" t="n">
        <v>1</v>
      </c>
      <c r="C31" s="18" t="n">
        <v>7.2</v>
      </c>
      <c r="D31" s="16" t="n">
        <f aca="false">SUMIF(Ofertas!$F$2:$F$124,$A31,Ofertas!$L$2:$L$124)</f>
        <v>0</v>
      </c>
      <c r="E31" s="19" t="s">
        <v>24</v>
      </c>
      <c r="F31" s="19" t="s">
        <v>669</v>
      </c>
    </row>
    <row r="32" customFormat="false" ht="15" hidden="false" customHeight="false" outlineLevel="0" collapsed="false">
      <c r="A32" s="14" t="s">
        <v>145</v>
      </c>
      <c r="B32" s="11" t="n">
        <v>1</v>
      </c>
      <c r="C32" s="13" t="n">
        <v>7.1</v>
      </c>
      <c r="D32" s="11" t="n">
        <f aca="false">SUMIF(Ofertas!$F$2:$F$124,$A32,Ofertas!$L$2:$L$124)</f>
        <v>8</v>
      </c>
      <c r="E32" s="14" t="s">
        <v>25</v>
      </c>
      <c r="F32" s="14" t="s">
        <v>669</v>
      </c>
    </row>
    <row r="33" customFormat="false" ht="15" hidden="false" customHeight="false" outlineLevel="0" collapsed="false">
      <c r="A33" s="19" t="s">
        <v>150</v>
      </c>
      <c r="B33" s="16" t="n">
        <v>1</v>
      </c>
      <c r="C33" s="18" t="n">
        <v>7.1</v>
      </c>
      <c r="D33" s="16" t="n">
        <f aca="false">SUMIF(Ofertas!$F$2:$F$124,$A33,Ofertas!$L$2:$L$124)</f>
        <v>1</v>
      </c>
      <c r="E33" s="19" t="s">
        <v>26</v>
      </c>
      <c r="F33" s="19" t="s">
        <v>669</v>
      </c>
    </row>
    <row r="34" customFormat="false" ht="15" hidden="false" customHeight="false" outlineLevel="0" collapsed="false">
      <c r="A34" s="14" t="s">
        <v>154</v>
      </c>
      <c r="B34" s="11" t="n">
        <v>1</v>
      </c>
      <c r="C34" s="13" t="n">
        <v>6.9</v>
      </c>
      <c r="D34" s="11" t="n">
        <f aca="false">SUMIF(Ofertas!$F$2:$F$124,$A34,Ofertas!$L$2:$L$124)</f>
        <v>10</v>
      </c>
      <c r="E34" s="14" t="s">
        <v>27</v>
      </c>
      <c r="F34" s="14" t="s">
        <v>670</v>
      </c>
    </row>
    <row r="35" customFormat="false" ht="15" hidden="false" customHeight="false" outlineLevel="0" collapsed="false">
      <c r="A35" s="19" t="s">
        <v>158</v>
      </c>
      <c r="B35" s="16" t="n">
        <v>1</v>
      </c>
      <c r="C35" s="18" t="n">
        <v>6.8</v>
      </c>
      <c r="D35" s="16" t="n">
        <f aca="false">SUMIF(Ofertas!$F$2:$F$124,$A35,Ofertas!$L$2:$L$124)</f>
        <v>3</v>
      </c>
      <c r="E35" s="19" t="s">
        <v>29</v>
      </c>
      <c r="F35" s="19" t="s">
        <v>670</v>
      </c>
    </row>
    <row r="36" customFormat="false" ht="15" hidden="false" customHeight="false" outlineLevel="0" collapsed="false">
      <c r="A36" s="14" t="s">
        <v>162</v>
      </c>
      <c r="B36" s="11" t="n">
        <v>1</v>
      </c>
      <c r="C36" s="13" t="n">
        <v>6.6</v>
      </c>
      <c r="D36" s="11" t="n">
        <f aca="false">SUMIF(Ofertas!$F$2:$F$124,$A36,Ofertas!$L$2:$L$124)</f>
        <v>11</v>
      </c>
      <c r="E36" s="14" t="s">
        <v>30</v>
      </c>
      <c r="F36" s="14" t="s">
        <v>669</v>
      </c>
    </row>
    <row r="37" customFormat="false" ht="15" hidden="false" customHeight="false" outlineLevel="0" collapsed="false">
      <c r="A37" s="19" t="s">
        <v>168</v>
      </c>
      <c r="B37" s="16" t="n">
        <v>1</v>
      </c>
      <c r="C37" s="18" t="n">
        <v>6.6</v>
      </c>
      <c r="D37" s="16" t="n">
        <f aca="false">SUMIF(Ofertas!$F$2:$F$124,$A37,Ofertas!$L$2:$L$124)</f>
        <v>19</v>
      </c>
      <c r="E37" s="19" t="s">
        <v>31</v>
      </c>
      <c r="F37" s="19" t="s">
        <v>670</v>
      </c>
    </row>
    <row r="38" customFormat="false" ht="15" hidden="false" customHeight="false" outlineLevel="0" collapsed="false">
      <c r="A38" s="14" t="s">
        <v>172</v>
      </c>
      <c r="B38" s="11" t="n">
        <v>1</v>
      </c>
      <c r="C38" s="13" t="n">
        <v>6.5</v>
      </c>
      <c r="D38" s="11" t="n">
        <f aca="false">SUMIF(Ofertas!$F$2:$F$124,$A38,Ofertas!$L$2:$L$124)</f>
        <v>2</v>
      </c>
      <c r="E38" s="14" t="s">
        <v>32</v>
      </c>
      <c r="F38" s="14" t="s">
        <v>669</v>
      </c>
    </row>
    <row r="39" customFormat="false" ht="15" hidden="false" customHeight="false" outlineLevel="0" collapsed="false">
      <c r="A39" s="19" t="s">
        <v>175</v>
      </c>
      <c r="B39" s="16" t="n">
        <v>1</v>
      </c>
      <c r="C39" s="18" t="n">
        <v>6.3</v>
      </c>
      <c r="D39" s="16" t="n">
        <f aca="false">SUMIF(Ofertas!$F$2:$F$124,$A39,Ofertas!$L$2:$L$124)</f>
        <v>2</v>
      </c>
      <c r="E39" s="19" t="s">
        <v>33</v>
      </c>
      <c r="F39" s="19" t="s">
        <v>670</v>
      </c>
    </row>
    <row r="40" customFormat="false" ht="15" hidden="false" customHeight="false" outlineLevel="0" collapsed="false">
      <c r="A40" s="14" t="s">
        <v>177</v>
      </c>
      <c r="B40" s="11" t="n">
        <v>1</v>
      </c>
      <c r="C40" s="13" t="n">
        <v>6.3</v>
      </c>
      <c r="D40" s="11" t="n">
        <f aca="false">SUMIF(Ofertas!$F$2:$F$124,$A40,Ofertas!$L$2:$L$124)</f>
        <v>1</v>
      </c>
      <c r="E40" s="14" t="s">
        <v>34</v>
      </c>
      <c r="F40" s="14" t="s">
        <v>669</v>
      </c>
    </row>
    <row r="41" customFormat="false" ht="15" hidden="false" customHeight="false" outlineLevel="0" collapsed="false">
      <c r="A41" s="19" t="s">
        <v>181</v>
      </c>
      <c r="B41" s="16" t="n">
        <v>1</v>
      </c>
      <c r="C41" s="18" t="n">
        <v>6.2</v>
      </c>
      <c r="D41" s="16" t="n">
        <f aca="false">SUMIF(Ofertas!$F$2:$F$124,$A41,Ofertas!$L$2:$L$124)</f>
        <v>2</v>
      </c>
      <c r="E41" s="19" t="s">
        <v>180</v>
      </c>
      <c r="F41" s="19" t="s">
        <v>669</v>
      </c>
    </row>
    <row r="42" customFormat="false" ht="15" hidden="false" customHeight="false" outlineLevel="0" collapsed="false">
      <c r="A42" s="14" t="s">
        <v>188</v>
      </c>
      <c r="B42" s="11" t="n">
        <v>1</v>
      </c>
      <c r="C42" s="13" t="n">
        <v>6.2</v>
      </c>
      <c r="D42" s="11" t="n">
        <f aca="false">SUMIF(Ofertas!$F$2:$F$124,$A42,Ofertas!$L$2:$L$124)</f>
        <v>3</v>
      </c>
      <c r="E42" s="14" t="s">
        <v>187</v>
      </c>
      <c r="F42" s="14" t="s">
        <v>669</v>
      </c>
    </row>
    <row r="43" customFormat="false" ht="15" hidden="false" customHeight="false" outlineLevel="0" collapsed="false">
      <c r="A43" s="19" t="s">
        <v>195</v>
      </c>
      <c r="B43" s="16" t="n">
        <v>1</v>
      </c>
      <c r="C43" s="18" t="n">
        <v>6.1</v>
      </c>
      <c r="D43" s="16" t="n">
        <f aca="false">SUMIF(Ofertas!$F$2:$F$124,$A43,Ofertas!$L$2:$L$124)</f>
        <v>1</v>
      </c>
      <c r="E43" s="19" t="s">
        <v>194</v>
      </c>
      <c r="F43" s="19" t="s">
        <v>669</v>
      </c>
    </row>
    <row r="44" customFormat="false" ht="15" hidden="false" customHeight="false" outlineLevel="0" collapsed="false">
      <c r="A44" s="14" t="s">
        <v>198</v>
      </c>
      <c r="B44" s="11" t="n">
        <v>1</v>
      </c>
      <c r="C44" s="13" t="n">
        <v>6.1</v>
      </c>
      <c r="D44" s="11" t="n">
        <f aca="false">SUMIF(Ofertas!$F$2:$F$124,$A44,Ofertas!$L$2:$L$124)</f>
        <v>1</v>
      </c>
      <c r="E44" s="14" t="s">
        <v>197</v>
      </c>
      <c r="F44" s="14" t="s">
        <v>669</v>
      </c>
    </row>
    <row r="45" customFormat="false" ht="15" hidden="false" customHeight="false" outlineLevel="0" collapsed="false">
      <c r="A45" s="19" t="s">
        <v>204</v>
      </c>
      <c r="B45" s="16" t="n">
        <v>1</v>
      </c>
      <c r="C45" s="18" t="n">
        <v>6.1</v>
      </c>
      <c r="D45" s="16" t="n">
        <f aca="false">SUMIF(Ofertas!$F$2:$F$124,$A45,Ofertas!$L$2:$L$124)</f>
        <v>0</v>
      </c>
      <c r="E45" s="19" t="s">
        <v>203</v>
      </c>
      <c r="F45" s="19" t="s">
        <v>669</v>
      </c>
    </row>
    <row r="46" customFormat="false" ht="15" hidden="false" customHeight="false" outlineLevel="0" collapsed="false">
      <c r="A46" s="14" t="s">
        <v>208</v>
      </c>
      <c r="B46" s="11" t="n">
        <v>1</v>
      </c>
      <c r="C46" s="13" t="n">
        <v>6</v>
      </c>
      <c r="D46" s="11" t="n">
        <f aca="false">SUMIF(Ofertas!$F$2:$F$124,$A46,Ofertas!$L$2:$L$124)</f>
        <v>0</v>
      </c>
      <c r="E46" s="14" t="s">
        <v>207</v>
      </c>
      <c r="F46" s="14" t="s">
        <v>670</v>
      </c>
    </row>
    <row r="47" customFormat="false" ht="15" hidden="false" customHeight="false" outlineLevel="0" collapsed="false">
      <c r="A47" s="19" t="s">
        <v>216</v>
      </c>
      <c r="B47" s="16" t="n">
        <v>1</v>
      </c>
      <c r="C47" s="18" t="n">
        <v>5.9</v>
      </c>
      <c r="D47" s="16" t="n">
        <f aca="false">SUMIF(Ofertas!$F$2:$F$124,$A47,Ofertas!$L$2:$L$124)</f>
        <v>0</v>
      </c>
      <c r="E47" s="19" t="s">
        <v>215</v>
      </c>
      <c r="F47" s="19" t="s">
        <v>669</v>
      </c>
    </row>
    <row r="48" customFormat="false" ht="15" hidden="false" customHeight="false" outlineLevel="0" collapsed="false">
      <c r="A48" s="14" t="s">
        <v>221</v>
      </c>
      <c r="B48" s="11" t="n">
        <v>1</v>
      </c>
      <c r="C48" s="13" t="n">
        <v>5.9</v>
      </c>
      <c r="D48" s="11" t="n">
        <f aca="false">SUMIF(Ofertas!$F$2:$F$124,$A48,Ofertas!$L$2:$L$124)</f>
        <v>1</v>
      </c>
      <c r="E48" s="14" t="s">
        <v>220</v>
      </c>
      <c r="F48" s="14" t="s">
        <v>669</v>
      </c>
    </row>
    <row r="49" customFormat="false" ht="15" hidden="false" customHeight="false" outlineLevel="0" collapsed="false">
      <c r="A49" s="19" t="s">
        <v>224</v>
      </c>
      <c r="B49" s="16" t="n">
        <v>1</v>
      </c>
      <c r="C49" s="18" t="n">
        <v>5.9</v>
      </c>
      <c r="D49" s="16" t="n">
        <f aca="false">SUMIF(Ofertas!$F$2:$F$124,$A49,Ofertas!$L$2:$L$124)</f>
        <v>1</v>
      </c>
      <c r="E49" s="19" t="s">
        <v>223</v>
      </c>
      <c r="F49" s="19" t="s">
        <v>669</v>
      </c>
    </row>
    <row r="50" customFormat="false" ht="15" hidden="false" customHeight="false" outlineLevel="0" collapsed="false">
      <c r="A50" s="14" t="s">
        <v>227</v>
      </c>
      <c r="B50" s="11" t="n">
        <v>1</v>
      </c>
      <c r="C50" s="13" t="n">
        <v>5.9</v>
      </c>
      <c r="D50" s="11" t="n">
        <f aca="false">SUMIF(Ofertas!$F$2:$F$124,$A50,Ofertas!$L$2:$L$124)</f>
        <v>2</v>
      </c>
      <c r="E50" s="14" t="s">
        <v>226</v>
      </c>
      <c r="F50" s="14" t="s">
        <v>669</v>
      </c>
    </row>
    <row r="51" customFormat="false" ht="15" hidden="false" customHeight="false" outlineLevel="0" collapsed="false">
      <c r="A51" s="19" t="s">
        <v>231</v>
      </c>
      <c r="B51" s="16" t="n">
        <v>1</v>
      </c>
      <c r="C51" s="18" t="n">
        <v>5.8</v>
      </c>
      <c r="D51" s="16" t="n">
        <f aca="false">SUMIF(Ofertas!$F$2:$F$124,$A51,Ofertas!$L$2:$L$124)</f>
        <v>0</v>
      </c>
      <c r="E51" s="19" t="s">
        <v>230</v>
      </c>
      <c r="F51" s="19" t="s">
        <v>670</v>
      </c>
    </row>
    <row r="52" customFormat="false" ht="15" hidden="false" customHeight="false" outlineLevel="0" collapsed="false">
      <c r="A52" s="14" t="s">
        <v>235</v>
      </c>
      <c r="B52" s="11" t="n">
        <v>1</v>
      </c>
      <c r="C52" s="13" t="n">
        <v>5.8</v>
      </c>
      <c r="D52" s="11" t="n">
        <f aca="false">SUMIF(Ofertas!$F$2:$F$124,$A52,Ofertas!$L$2:$L$124)</f>
        <v>3</v>
      </c>
      <c r="E52" s="14" t="s">
        <v>234</v>
      </c>
      <c r="F52" s="14" t="s">
        <v>669</v>
      </c>
    </row>
    <row r="53" customFormat="false" ht="15" hidden="false" customHeight="false" outlineLevel="0" collapsed="false">
      <c r="A53" s="19" t="s">
        <v>241</v>
      </c>
      <c r="B53" s="16" t="n">
        <v>1</v>
      </c>
      <c r="C53" s="18" t="n">
        <v>5.8</v>
      </c>
      <c r="D53" s="16" t="n">
        <f aca="false">SUMIF(Ofertas!$F$2:$F$124,$A53,Ofertas!$L$2:$L$124)</f>
        <v>3</v>
      </c>
      <c r="E53" s="19" t="s">
        <v>240</v>
      </c>
      <c r="F53" s="19" t="s">
        <v>669</v>
      </c>
    </row>
    <row r="54" customFormat="false" ht="15" hidden="false" customHeight="false" outlineLevel="0" collapsed="false">
      <c r="A54" s="14" t="s">
        <v>247</v>
      </c>
      <c r="B54" s="11" t="n">
        <v>1</v>
      </c>
      <c r="C54" s="13" t="n">
        <v>5.8</v>
      </c>
      <c r="D54" s="11" t="n">
        <f aca="false">SUMIF(Ofertas!$F$2:$F$124,$A54,Ofertas!$L$2:$L$124)</f>
        <v>0</v>
      </c>
      <c r="E54" s="14" t="s">
        <v>246</v>
      </c>
      <c r="F54" s="14" t="s">
        <v>669</v>
      </c>
    </row>
    <row r="55" customFormat="false" ht="15" hidden="false" customHeight="false" outlineLevel="0" collapsed="false">
      <c r="A55" s="19" t="s">
        <v>251</v>
      </c>
      <c r="B55" s="16" t="n">
        <v>1</v>
      </c>
      <c r="C55" s="18" t="n">
        <v>5.7</v>
      </c>
      <c r="D55" s="16" t="n">
        <f aca="false">SUMIF(Ofertas!$F$2:$F$124,$A55,Ofertas!$L$2:$L$124)</f>
        <v>0</v>
      </c>
      <c r="E55" s="19" t="s">
        <v>250</v>
      </c>
      <c r="F55" s="19" t="s">
        <v>670</v>
      </c>
    </row>
    <row r="56" customFormat="false" ht="15" hidden="false" customHeight="false" outlineLevel="0" collapsed="false">
      <c r="A56" s="14" t="s">
        <v>255</v>
      </c>
      <c r="B56" s="11" t="n">
        <v>1</v>
      </c>
      <c r="C56" s="13" t="n">
        <v>5.7</v>
      </c>
      <c r="D56" s="11" t="n">
        <f aca="false">SUMIF(Ofertas!$F$2:$F$124,$A56,Ofertas!$L$2:$L$124)</f>
        <v>0</v>
      </c>
      <c r="E56" s="14" t="s">
        <v>254</v>
      </c>
      <c r="F56" s="14" t="s">
        <v>669</v>
      </c>
    </row>
    <row r="57" customFormat="false" ht="15" hidden="false" customHeight="false" outlineLevel="0" collapsed="false">
      <c r="A57" s="19" t="s">
        <v>258</v>
      </c>
      <c r="B57" s="16" t="n">
        <v>1</v>
      </c>
      <c r="C57" s="18" t="n">
        <v>5.6</v>
      </c>
      <c r="D57" s="16" t="n">
        <f aca="false">SUMIF(Ofertas!$F$2:$F$124,$A57,Ofertas!$L$2:$L$124)</f>
        <v>1</v>
      </c>
      <c r="E57" s="19" t="s">
        <v>257</v>
      </c>
      <c r="F57" s="19" t="s">
        <v>670</v>
      </c>
    </row>
    <row r="58" customFormat="false" ht="15" hidden="false" customHeight="false" outlineLevel="0" collapsed="false">
      <c r="A58" s="14" t="s">
        <v>261</v>
      </c>
      <c r="B58" s="11" t="n">
        <v>1</v>
      </c>
      <c r="C58" s="13" t="n">
        <v>5.4</v>
      </c>
      <c r="D58" s="11" t="n">
        <f aca="false">SUMIF(Ofertas!$F$2:$F$124,$A58,Ofertas!$L$2:$L$124)</f>
        <v>2</v>
      </c>
      <c r="E58" s="14" t="s">
        <v>260</v>
      </c>
      <c r="F58" s="14" t="s">
        <v>669</v>
      </c>
    </row>
    <row r="59" customFormat="false" ht="15" hidden="false" customHeight="false" outlineLevel="0" collapsed="false">
      <c r="A59" s="19" t="s">
        <v>266</v>
      </c>
      <c r="B59" s="16" t="n">
        <v>1</v>
      </c>
      <c r="C59" s="18" t="n">
        <v>5.4</v>
      </c>
      <c r="D59" s="16" t="n">
        <f aca="false">SUMIF(Ofertas!$F$2:$F$124,$A59,Ofertas!$L$2:$L$124)</f>
        <v>0</v>
      </c>
      <c r="E59" s="19" t="s">
        <v>265</v>
      </c>
      <c r="F59" s="19" t="s">
        <v>669</v>
      </c>
    </row>
    <row r="60" customFormat="false" ht="15" hidden="false" customHeight="false" outlineLevel="0" collapsed="false">
      <c r="A60" s="14" t="s">
        <v>269</v>
      </c>
      <c r="B60" s="11" t="n">
        <v>1</v>
      </c>
      <c r="C60" s="13" t="n">
        <v>5.3</v>
      </c>
      <c r="D60" s="11" t="n">
        <f aca="false">SUMIF(Ofertas!$F$2:$F$124,$A60,Ofertas!$L$2:$L$124)</f>
        <v>1</v>
      </c>
      <c r="E60" s="14" t="s">
        <v>268</v>
      </c>
      <c r="F60" s="14" t="s">
        <v>669</v>
      </c>
    </row>
    <row r="61" customFormat="false" ht="15" hidden="false" customHeight="false" outlineLevel="0" collapsed="false">
      <c r="A61" s="19" t="s">
        <v>273</v>
      </c>
      <c r="B61" s="16" t="n">
        <v>1</v>
      </c>
      <c r="C61" s="18" t="n">
        <v>5.3</v>
      </c>
      <c r="D61" s="16" t="n">
        <f aca="false">SUMIF(Ofertas!$F$2:$F$124,$A61,Ofertas!$L$2:$L$124)</f>
        <v>0</v>
      </c>
      <c r="E61" s="19" t="s">
        <v>272</v>
      </c>
      <c r="F61" s="19" t="s">
        <v>670</v>
      </c>
    </row>
    <row r="62" customFormat="false" ht="15" hidden="false" customHeight="false" outlineLevel="0" collapsed="false">
      <c r="A62" s="14" t="s">
        <v>280</v>
      </c>
      <c r="B62" s="11" t="n">
        <v>1</v>
      </c>
      <c r="C62" s="13" t="n">
        <v>5.3</v>
      </c>
      <c r="D62" s="11" t="n">
        <f aca="false">SUMIF(Ofertas!$F$2:$F$124,$A62,Ofertas!$L$2:$L$124)</f>
        <v>0</v>
      </c>
      <c r="E62" s="14" t="s">
        <v>279</v>
      </c>
      <c r="F62" s="14" t="s">
        <v>670</v>
      </c>
    </row>
    <row r="63" customFormat="false" ht="15" hidden="false" customHeight="false" outlineLevel="0" collapsed="false">
      <c r="A63" s="19" t="s">
        <v>283</v>
      </c>
      <c r="B63" s="16" t="n">
        <v>1</v>
      </c>
      <c r="C63" s="18" t="n">
        <v>5.3</v>
      </c>
      <c r="D63" s="16" t="n">
        <f aca="false">SUMIF(Ofertas!$F$2:$F$124,$A63,Ofertas!$L$2:$L$124)</f>
        <v>0</v>
      </c>
      <c r="E63" s="19" t="s">
        <v>282</v>
      </c>
      <c r="F63" s="19" t="s">
        <v>670</v>
      </c>
    </row>
    <row r="64" customFormat="false" ht="15" hidden="false" customHeight="false" outlineLevel="0" collapsed="false">
      <c r="A64" s="14" t="s">
        <v>286</v>
      </c>
      <c r="B64" s="11" t="n">
        <v>1</v>
      </c>
      <c r="C64" s="13" t="n">
        <v>5.3</v>
      </c>
      <c r="D64" s="11" t="n">
        <f aca="false">SUMIF(Ofertas!$F$2:$F$124,$A64,Ofertas!$L$2:$L$124)</f>
        <v>0</v>
      </c>
      <c r="E64" s="14" t="s">
        <v>285</v>
      </c>
      <c r="F64" s="14" t="s">
        <v>670</v>
      </c>
    </row>
    <row r="65" customFormat="false" ht="15" hidden="false" customHeight="false" outlineLevel="0" collapsed="false">
      <c r="A65" s="19" t="s">
        <v>289</v>
      </c>
      <c r="B65" s="16" t="n">
        <v>1</v>
      </c>
      <c r="C65" s="18" t="n">
        <v>5.3</v>
      </c>
      <c r="D65" s="16" t="n">
        <f aca="false">SUMIF(Ofertas!$F$2:$F$124,$A65,Ofertas!$L$2:$L$124)</f>
        <v>2</v>
      </c>
      <c r="E65" s="19" t="s">
        <v>288</v>
      </c>
      <c r="F65" s="19" t="s">
        <v>669</v>
      </c>
    </row>
    <row r="66" customFormat="false" ht="15" hidden="false" customHeight="false" outlineLevel="0" collapsed="false">
      <c r="A66" s="14" t="s">
        <v>293</v>
      </c>
      <c r="B66" s="11" t="n">
        <v>1</v>
      </c>
      <c r="C66" s="13" t="n">
        <v>5.2</v>
      </c>
      <c r="D66" s="11" t="n">
        <f aca="false">SUMIF(Ofertas!$F$2:$F$124,$A66,Ofertas!$L$2:$L$124)</f>
        <v>0</v>
      </c>
      <c r="E66" s="14" t="s">
        <v>292</v>
      </c>
      <c r="F66" s="14" t="s">
        <v>670</v>
      </c>
    </row>
    <row r="67" customFormat="false" ht="15" hidden="false" customHeight="false" outlineLevel="0" collapsed="false">
      <c r="A67" s="19" t="s">
        <v>296</v>
      </c>
      <c r="B67" s="16" t="n">
        <v>1</v>
      </c>
      <c r="C67" s="18" t="n">
        <v>5.1</v>
      </c>
      <c r="D67" s="16" t="n">
        <f aca="false">SUMIF(Ofertas!$F$2:$F$124,$A67,Ofertas!$L$2:$L$124)</f>
        <v>0</v>
      </c>
      <c r="E67" s="19" t="s">
        <v>295</v>
      </c>
      <c r="F67" s="19" t="s">
        <v>670</v>
      </c>
    </row>
    <row r="68" customFormat="false" ht="15" hidden="false" customHeight="false" outlineLevel="0" collapsed="false">
      <c r="A68" s="14" t="s">
        <v>302</v>
      </c>
      <c r="B68" s="11" t="n">
        <v>1</v>
      </c>
      <c r="C68" s="13" t="n">
        <v>5.1</v>
      </c>
      <c r="D68" s="11" t="n">
        <f aca="false">SUMIF(Ofertas!$F$2:$F$124,$A68,Ofertas!$L$2:$L$124)</f>
        <v>0</v>
      </c>
      <c r="E68" s="14" t="s">
        <v>301</v>
      </c>
      <c r="F68" s="14" t="s">
        <v>670</v>
      </c>
    </row>
    <row r="69" customFormat="false" ht="15" hidden="false" customHeight="false" outlineLevel="0" collapsed="false">
      <c r="A69" s="19" t="s">
        <v>305</v>
      </c>
      <c r="B69" s="16" t="n">
        <v>1</v>
      </c>
      <c r="C69" s="18" t="n">
        <v>4.9</v>
      </c>
      <c r="D69" s="16" t="n">
        <f aca="false">SUMIF(Ofertas!$F$2:$F$124,$A69,Ofertas!$L$2:$L$124)</f>
        <v>0</v>
      </c>
      <c r="E69" s="19" t="s">
        <v>304</v>
      </c>
      <c r="F69" s="19" t="s">
        <v>670</v>
      </c>
    </row>
    <row r="70" customFormat="false" ht="15" hidden="false" customHeight="false" outlineLevel="0" collapsed="false">
      <c r="A70" s="14" t="s">
        <v>310</v>
      </c>
      <c r="B70" s="11" t="n">
        <v>1</v>
      </c>
      <c r="C70" s="13" t="n">
        <v>4.9</v>
      </c>
      <c r="D70" s="11" t="n">
        <f aca="false">SUMIF(Ofertas!$F$2:$F$124,$A70,Ofertas!$L$2:$L$124)</f>
        <v>0</v>
      </c>
      <c r="E70" s="14" t="s">
        <v>309</v>
      </c>
      <c r="F70" s="14" t="s">
        <v>669</v>
      </c>
    </row>
    <row r="71" customFormat="false" ht="15" hidden="false" customHeight="false" outlineLevel="0" collapsed="false">
      <c r="A71" s="19" t="s">
        <v>314</v>
      </c>
      <c r="B71" s="16" t="n">
        <v>1</v>
      </c>
      <c r="C71" s="18" t="n">
        <v>4.8</v>
      </c>
      <c r="D71" s="16" t="n">
        <f aca="false">SUMIF(Ofertas!$F$2:$F$124,$A71,Ofertas!$L$2:$L$124)</f>
        <v>0</v>
      </c>
      <c r="E71" s="19" t="s">
        <v>313</v>
      </c>
      <c r="F71" s="19" t="s">
        <v>670</v>
      </c>
    </row>
    <row r="72" customFormat="false" ht="15" hidden="false" customHeight="false" outlineLevel="0" collapsed="false">
      <c r="A72" s="14" t="s">
        <v>321</v>
      </c>
      <c r="B72" s="11" t="n">
        <v>1</v>
      </c>
      <c r="C72" s="13" t="n">
        <v>4.8</v>
      </c>
      <c r="D72" s="11" t="n">
        <f aca="false">SUMIF(Ofertas!$F$2:$F$124,$A72,Ofertas!$L$2:$L$124)</f>
        <v>0</v>
      </c>
      <c r="E72" s="14" t="s">
        <v>320</v>
      </c>
      <c r="F72" s="14" t="s">
        <v>670</v>
      </c>
    </row>
    <row r="73" customFormat="false" ht="15" hidden="false" customHeight="false" outlineLevel="0" collapsed="false">
      <c r="A73" s="19" t="s">
        <v>326</v>
      </c>
      <c r="B73" s="16" t="n">
        <v>1</v>
      </c>
      <c r="C73" s="18" t="n">
        <v>4.7</v>
      </c>
      <c r="D73" s="16" t="n">
        <f aca="false">SUMIF(Ofertas!$F$2:$F$124,$A73,Ofertas!$L$2:$L$124)</f>
        <v>0</v>
      </c>
      <c r="E73" s="19" t="s">
        <v>325</v>
      </c>
      <c r="F73" s="19" t="s">
        <v>670</v>
      </c>
    </row>
    <row r="74" customFormat="false" ht="15" hidden="false" customHeight="false" outlineLevel="0" collapsed="false">
      <c r="A74" s="14" t="s">
        <v>330</v>
      </c>
      <c r="B74" s="11" t="n">
        <v>1</v>
      </c>
      <c r="C74" s="13" t="n">
        <v>4.5</v>
      </c>
      <c r="D74" s="11" t="n">
        <f aca="false">SUMIF(Ofertas!$F$2:$F$124,$A74,Ofertas!$L$2:$L$124)</f>
        <v>0</v>
      </c>
      <c r="E74" s="14" t="s">
        <v>329</v>
      </c>
      <c r="F74" s="14" t="s">
        <v>670</v>
      </c>
    </row>
    <row r="75" customFormat="false" ht="15" hidden="false" customHeight="false" outlineLevel="0" collapsed="false">
      <c r="A75" s="19" t="s">
        <v>334</v>
      </c>
      <c r="B75" s="16" t="n">
        <v>1</v>
      </c>
      <c r="C75" s="18" t="n">
        <v>4.5</v>
      </c>
      <c r="D75" s="16" t="n">
        <f aca="false">SUMIF(Ofertas!$F$2:$F$124,$A75,Ofertas!$L$2:$L$124)</f>
        <v>2</v>
      </c>
      <c r="E75" s="19" t="s">
        <v>333</v>
      </c>
      <c r="F75" s="19" t="s">
        <v>669</v>
      </c>
    </row>
    <row r="76" customFormat="false" ht="15" hidden="false" customHeight="false" outlineLevel="0" collapsed="false">
      <c r="A76" s="14" t="s">
        <v>339</v>
      </c>
      <c r="B76" s="11" t="n">
        <v>1</v>
      </c>
      <c r="C76" s="13" t="n">
        <v>4.4</v>
      </c>
      <c r="D76" s="11" t="n">
        <f aca="false">SUMIF(Ofertas!$F$2:$F$124,$A76,Ofertas!$L$2:$L$124)</f>
        <v>0</v>
      </c>
      <c r="E76" s="14" t="s">
        <v>338</v>
      </c>
      <c r="F76" s="14" t="s">
        <v>670</v>
      </c>
    </row>
    <row r="77" customFormat="false" ht="15" hidden="false" customHeight="false" outlineLevel="0" collapsed="false">
      <c r="A77" s="19" t="s">
        <v>343</v>
      </c>
      <c r="B77" s="16" t="n">
        <v>1</v>
      </c>
      <c r="C77" s="18" t="n">
        <v>4.4</v>
      </c>
      <c r="D77" s="16" t="n">
        <f aca="false">SUMIF(Ofertas!$F$2:$F$124,$A77,Ofertas!$L$2:$L$124)</f>
        <v>0</v>
      </c>
      <c r="E77" s="19" t="s">
        <v>342</v>
      </c>
      <c r="F77" s="19" t="s">
        <v>669</v>
      </c>
    </row>
    <row r="78" customFormat="false" ht="15" hidden="false" customHeight="false" outlineLevel="0" collapsed="false">
      <c r="A78" s="14" t="s">
        <v>348</v>
      </c>
      <c r="B78" s="11" t="n">
        <v>1</v>
      </c>
      <c r="C78" s="13" t="n">
        <v>4.4</v>
      </c>
      <c r="D78" s="11" t="n">
        <f aca="false">SUMIF(Ofertas!$F$2:$F$124,$A78,Ofertas!$L$2:$L$124)</f>
        <v>0</v>
      </c>
      <c r="E78" s="14" t="s">
        <v>347</v>
      </c>
      <c r="F78" s="14" t="s">
        <v>669</v>
      </c>
    </row>
    <row r="79" customFormat="false" ht="15" hidden="false" customHeight="false" outlineLevel="0" collapsed="false">
      <c r="A79" s="19" t="s">
        <v>352</v>
      </c>
      <c r="B79" s="16" t="n">
        <v>1</v>
      </c>
      <c r="C79" s="18" t="n">
        <v>4.3</v>
      </c>
      <c r="D79" s="16" t="n">
        <f aca="false">SUMIF(Ofertas!$F$2:$F$124,$A79,Ofertas!$L$2:$L$124)</f>
        <v>0</v>
      </c>
      <c r="E79" s="19" t="s">
        <v>351</v>
      </c>
      <c r="F79" s="19" t="s">
        <v>670</v>
      </c>
    </row>
    <row r="80" customFormat="false" ht="15" hidden="false" customHeight="false" outlineLevel="0" collapsed="false">
      <c r="A80" s="14" t="s">
        <v>358</v>
      </c>
      <c r="B80" s="11" t="n">
        <v>1</v>
      </c>
      <c r="C80" s="13" t="n">
        <v>4.3</v>
      </c>
      <c r="D80" s="11" t="n">
        <f aca="false">SUMIF(Ofertas!$F$2:$F$124,$A80,Ofertas!$L$2:$L$124)</f>
        <v>0</v>
      </c>
      <c r="E80" s="14" t="s">
        <v>357</v>
      </c>
      <c r="F80" s="14" t="s">
        <v>670</v>
      </c>
    </row>
    <row r="81" customFormat="false" ht="15" hidden="false" customHeight="false" outlineLevel="0" collapsed="false">
      <c r="A81" s="19" t="s">
        <v>363</v>
      </c>
      <c r="B81" s="16" t="n">
        <v>1</v>
      </c>
      <c r="C81" s="18" t="n">
        <v>4.2</v>
      </c>
      <c r="D81" s="16" t="n">
        <f aca="false">SUMIF(Ofertas!$F$2:$F$124,$A81,Ofertas!$L$2:$L$124)</f>
        <v>0</v>
      </c>
      <c r="E81" s="19" t="s">
        <v>362</v>
      </c>
      <c r="F81" s="19" t="s">
        <v>670</v>
      </c>
    </row>
    <row r="82" customFormat="false" ht="15" hidden="false" customHeight="false" outlineLevel="0" collapsed="false">
      <c r="A82" s="14" t="s">
        <v>367</v>
      </c>
      <c r="B82" s="11" t="n">
        <v>1</v>
      </c>
      <c r="C82" s="13" t="n">
        <v>4.2</v>
      </c>
      <c r="D82" s="11" t="n">
        <f aca="false">SUMIF(Ofertas!$F$2:$F$124,$A82,Ofertas!$L$2:$L$124)</f>
        <v>0</v>
      </c>
      <c r="E82" s="14" t="s">
        <v>366</v>
      </c>
      <c r="F82" s="14" t="s">
        <v>670</v>
      </c>
    </row>
    <row r="83" customFormat="false" ht="15" hidden="false" customHeight="false" outlineLevel="0" collapsed="false">
      <c r="A83" s="19" t="s">
        <v>371</v>
      </c>
      <c r="B83" s="16" t="n">
        <v>1</v>
      </c>
      <c r="C83" s="18" t="n">
        <v>4.2</v>
      </c>
      <c r="D83" s="16" t="n">
        <f aca="false">SUMIF(Ofertas!$F$2:$F$124,$A83,Ofertas!$L$2:$L$124)</f>
        <v>0</v>
      </c>
      <c r="E83" s="19" t="s">
        <v>370</v>
      </c>
      <c r="F83" s="19" t="s">
        <v>670</v>
      </c>
    </row>
    <row r="84" customFormat="false" ht="15" hidden="false" customHeight="false" outlineLevel="0" collapsed="false">
      <c r="A84" s="14" t="s">
        <v>375</v>
      </c>
      <c r="B84" s="11" t="n">
        <v>1</v>
      </c>
      <c r="C84" s="13" t="n">
        <v>4.2</v>
      </c>
      <c r="D84" s="11" t="n">
        <f aca="false">SUMIF(Ofertas!$F$2:$F$124,$A84,Ofertas!$L$2:$L$124)</f>
        <v>0</v>
      </c>
      <c r="E84" s="14" t="s">
        <v>374</v>
      </c>
      <c r="F84" s="14" t="s">
        <v>670</v>
      </c>
    </row>
    <row r="85" customFormat="false" ht="15" hidden="false" customHeight="false" outlineLevel="0" collapsed="false">
      <c r="A85" s="19" t="s">
        <v>380</v>
      </c>
      <c r="B85" s="16" t="n">
        <v>1</v>
      </c>
      <c r="C85" s="18" t="n">
        <v>4.2</v>
      </c>
      <c r="D85" s="16" t="n">
        <f aca="false">SUMIF(Ofertas!$F$2:$F$124,$A85,Ofertas!$L$2:$L$124)</f>
        <v>0</v>
      </c>
      <c r="E85" s="19" t="s">
        <v>379</v>
      </c>
      <c r="F85" s="19" t="s">
        <v>669</v>
      </c>
    </row>
    <row r="86" customFormat="false" ht="15" hidden="false" customHeight="false" outlineLevel="0" collapsed="false">
      <c r="A86" s="14" t="s">
        <v>384</v>
      </c>
      <c r="B86" s="11" t="n">
        <v>1</v>
      </c>
      <c r="C86" s="13" t="n">
        <v>4.1</v>
      </c>
      <c r="D86" s="11" t="n">
        <f aca="false">SUMIF(Ofertas!$F$2:$F$124,$A86,Ofertas!$L$2:$L$124)</f>
        <v>0</v>
      </c>
      <c r="E86" s="14" t="s">
        <v>383</v>
      </c>
      <c r="F86" s="14" t="s">
        <v>670</v>
      </c>
    </row>
    <row r="87" customFormat="false" ht="15" hidden="false" customHeight="false" outlineLevel="0" collapsed="false">
      <c r="A87" s="19" t="s">
        <v>388</v>
      </c>
      <c r="B87" s="16" t="n">
        <v>1</v>
      </c>
      <c r="C87" s="18" t="n">
        <v>4.1</v>
      </c>
      <c r="D87" s="16" t="n">
        <f aca="false">SUMIF(Ofertas!$F$2:$F$124,$A87,Ofertas!$L$2:$L$124)</f>
        <v>0</v>
      </c>
      <c r="E87" s="19" t="s">
        <v>387</v>
      </c>
      <c r="F87" s="19" t="s">
        <v>670</v>
      </c>
    </row>
    <row r="88" customFormat="false" ht="15" hidden="false" customHeight="false" outlineLevel="0" collapsed="false">
      <c r="A88" s="14" t="s">
        <v>392</v>
      </c>
      <c r="B88" s="11" t="n">
        <v>1</v>
      </c>
      <c r="C88" s="13" t="n">
        <v>4.1</v>
      </c>
      <c r="D88" s="11" t="n">
        <f aca="false">SUMIF(Ofertas!$F$2:$F$124,$A88,Ofertas!$L$2:$L$124)</f>
        <v>0</v>
      </c>
      <c r="E88" s="14" t="s">
        <v>391</v>
      </c>
      <c r="F88" s="14" t="s">
        <v>670</v>
      </c>
    </row>
    <row r="89" customFormat="false" ht="15" hidden="false" customHeight="false" outlineLevel="0" collapsed="false">
      <c r="A89" s="19" t="s">
        <v>396</v>
      </c>
      <c r="B89" s="16" t="n">
        <v>1</v>
      </c>
      <c r="C89" s="18" t="n">
        <v>4.1</v>
      </c>
      <c r="D89" s="16" t="n">
        <f aca="false">SUMIF(Ofertas!$F$2:$F$124,$A89,Ofertas!$L$2:$L$124)</f>
        <v>0</v>
      </c>
      <c r="E89" s="19" t="s">
        <v>395</v>
      </c>
      <c r="F89" s="19" t="s">
        <v>670</v>
      </c>
    </row>
    <row r="90" customFormat="false" ht="15" hidden="false" customHeight="false" outlineLevel="0" collapsed="false">
      <c r="A90" s="14" t="s">
        <v>400</v>
      </c>
      <c r="B90" s="11" t="n">
        <v>1</v>
      </c>
      <c r="C90" s="13" t="n">
        <v>4.1</v>
      </c>
      <c r="D90" s="11" t="n">
        <f aca="false">SUMIF(Ofertas!$F$2:$F$124,$A90,Ofertas!$L$2:$L$124)</f>
        <v>0</v>
      </c>
      <c r="E90" s="14" t="s">
        <v>399</v>
      </c>
      <c r="F90" s="14" t="s">
        <v>669</v>
      </c>
    </row>
    <row r="91" customFormat="false" ht="15" hidden="false" customHeight="false" outlineLevel="0" collapsed="false">
      <c r="A91" s="19" t="s">
        <v>404</v>
      </c>
      <c r="B91" s="16" t="n">
        <v>1</v>
      </c>
      <c r="C91" s="18" t="n">
        <v>4</v>
      </c>
      <c r="D91" s="16" t="n">
        <f aca="false">SUMIF(Ofertas!$F$2:$F$124,$A91,Ofertas!$L$2:$L$124)</f>
        <v>0</v>
      </c>
      <c r="E91" s="19" t="s">
        <v>403</v>
      </c>
      <c r="F91" s="19" t="s">
        <v>670</v>
      </c>
    </row>
    <row r="92" customFormat="false" ht="15" hidden="false" customHeight="false" outlineLevel="0" collapsed="false">
      <c r="A92" s="14" t="s">
        <v>408</v>
      </c>
      <c r="B92" s="11" t="n">
        <v>1</v>
      </c>
      <c r="C92" s="13" t="n">
        <v>3.9</v>
      </c>
      <c r="D92" s="11" t="n">
        <f aca="false">SUMIF(Ofertas!$F$2:$F$124,$A92,Ofertas!$L$2:$L$124)</f>
        <v>0</v>
      </c>
      <c r="E92" s="14" t="s">
        <v>407</v>
      </c>
      <c r="F92" s="14" t="s">
        <v>669</v>
      </c>
    </row>
    <row r="93" customFormat="false" ht="15" hidden="false" customHeight="false" outlineLevel="0" collapsed="false">
      <c r="A93" s="19" t="s">
        <v>412</v>
      </c>
      <c r="B93" s="16" t="n">
        <v>1</v>
      </c>
      <c r="C93" s="18" t="n">
        <v>3.9</v>
      </c>
      <c r="D93" s="16" t="n">
        <f aca="false">SUMIF(Ofertas!$F$2:$F$124,$A93,Ofertas!$L$2:$L$124)</f>
        <v>0</v>
      </c>
      <c r="E93" s="19" t="s">
        <v>411</v>
      </c>
      <c r="F93" s="19" t="s">
        <v>670</v>
      </c>
    </row>
    <row r="94" customFormat="false" ht="15" hidden="false" customHeight="false" outlineLevel="0" collapsed="false">
      <c r="A94" s="14" t="s">
        <v>417</v>
      </c>
      <c r="B94" s="11" t="n">
        <v>1</v>
      </c>
      <c r="C94" s="13" t="n">
        <v>3.9</v>
      </c>
      <c r="D94" s="11" t="n">
        <f aca="false">SUMIF(Ofertas!$F$2:$F$124,$A94,Ofertas!$L$2:$L$124)</f>
        <v>0</v>
      </c>
      <c r="E94" s="14" t="s">
        <v>416</v>
      </c>
      <c r="F94" s="14" t="s">
        <v>670</v>
      </c>
    </row>
    <row r="95" customFormat="false" ht="15" hidden="false" customHeight="false" outlineLevel="0" collapsed="false">
      <c r="A95" s="19" t="s">
        <v>420</v>
      </c>
      <c r="B95" s="16" t="n">
        <v>1</v>
      </c>
      <c r="C95" s="18" t="n">
        <v>3.9</v>
      </c>
      <c r="D95" s="16" t="n">
        <f aca="false">SUMIF(Ofertas!$F$2:$F$124,$A95,Ofertas!$L$2:$L$124)</f>
        <v>0</v>
      </c>
      <c r="E95" s="19" t="s">
        <v>419</v>
      </c>
      <c r="F95" s="19" t="s">
        <v>670</v>
      </c>
    </row>
    <row r="96" customFormat="false" ht="15" hidden="false" customHeight="false" outlineLevel="0" collapsed="false">
      <c r="A96" s="14" t="s">
        <v>424</v>
      </c>
      <c r="B96" s="11" t="n">
        <v>1</v>
      </c>
      <c r="C96" s="13" t="n">
        <v>3.9</v>
      </c>
      <c r="D96" s="11" t="n">
        <f aca="false">SUMIF(Ofertas!$F$2:$F$124,$A96,Ofertas!$L$2:$L$124)</f>
        <v>0</v>
      </c>
      <c r="E96" s="14" t="s">
        <v>423</v>
      </c>
      <c r="F96" s="14" t="s">
        <v>670</v>
      </c>
    </row>
    <row r="97" customFormat="false" ht="15" hidden="false" customHeight="false" outlineLevel="0" collapsed="false">
      <c r="A97" s="19" t="s">
        <v>429</v>
      </c>
      <c r="B97" s="16" t="n">
        <v>1</v>
      </c>
      <c r="C97" s="18" t="n">
        <v>3.9</v>
      </c>
      <c r="D97" s="16" t="n">
        <f aca="false">SUMIF(Ofertas!$F$2:$F$124,$A97,Ofertas!$L$2:$L$124)</f>
        <v>0</v>
      </c>
      <c r="E97" s="19" t="s">
        <v>428</v>
      </c>
      <c r="F97" s="19" t="s">
        <v>670</v>
      </c>
    </row>
    <row r="98" customFormat="false" ht="15" hidden="false" customHeight="false" outlineLevel="0" collapsed="false">
      <c r="A98" s="14" t="s">
        <v>434</v>
      </c>
      <c r="B98" s="11" t="n">
        <v>1</v>
      </c>
      <c r="C98" s="13" t="n">
        <v>3.9</v>
      </c>
      <c r="D98" s="11" t="n">
        <f aca="false">SUMIF(Ofertas!$F$2:$F$124,$A98,Ofertas!$L$2:$L$124)</f>
        <v>0</v>
      </c>
      <c r="E98" s="14" t="s">
        <v>433</v>
      </c>
      <c r="F98" s="14" t="s">
        <v>669</v>
      </c>
    </row>
    <row r="99" customFormat="false" ht="15" hidden="false" customHeight="false" outlineLevel="0" collapsed="false">
      <c r="A99" s="19" t="s">
        <v>438</v>
      </c>
      <c r="B99" s="16" t="n">
        <v>1</v>
      </c>
      <c r="C99" s="18" t="n">
        <v>3.8</v>
      </c>
      <c r="D99" s="16" t="n">
        <f aca="false">SUMIF(Ofertas!$F$2:$F$124,$A99,Ofertas!$L$2:$L$124)</f>
        <v>0</v>
      </c>
      <c r="E99" s="19" t="s">
        <v>437</v>
      </c>
      <c r="F99" s="19" t="s">
        <v>670</v>
      </c>
    </row>
    <row r="100" customFormat="false" ht="15" hidden="false" customHeight="false" outlineLevel="0" collapsed="false">
      <c r="A100" s="14" t="s">
        <v>442</v>
      </c>
      <c r="B100" s="11" t="n">
        <v>1</v>
      </c>
      <c r="C100" s="13" t="n">
        <v>3.8</v>
      </c>
      <c r="D100" s="11" t="n">
        <f aca="false">SUMIF(Ofertas!$F$2:$F$124,$A100,Ofertas!$L$2:$L$124)</f>
        <v>0</v>
      </c>
      <c r="E100" s="14" t="s">
        <v>441</v>
      </c>
      <c r="F100" s="14" t="s">
        <v>670</v>
      </c>
    </row>
    <row r="101" customFormat="false" ht="15" hidden="false" customHeight="false" outlineLevel="0" collapsed="false">
      <c r="A101" s="19" t="s">
        <v>446</v>
      </c>
      <c r="B101" s="16" t="n">
        <v>1</v>
      </c>
      <c r="C101" s="18" t="n">
        <v>3.8</v>
      </c>
      <c r="D101" s="16" t="n">
        <f aca="false">SUMIF(Ofertas!$F$2:$F$124,$A101,Ofertas!$L$2:$L$124)</f>
        <v>0</v>
      </c>
      <c r="E101" s="19" t="s">
        <v>445</v>
      </c>
      <c r="F101" s="19" t="s">
        <v>670</v>
      </c>
    </row>
    <row r="102" customFormat="false" ht="15" hidden="false" customHeight="false" outlineLevel="0" collapsed="false">
      <c r="A102" s="14" t="s">
        <v>450</v>
      </c>
      <c r="B102" s="11" t="n">
        <v>1</v>
      </c>
      <c r="C102" s="13" t="n">
        <v>3.8</v>
      </c>
      <c r="D102" s="11" t="n">
        <f aca="false">SUMIF(Ofertas!$F$2:$F$124,$A102,Ofertas!$L$2:$L$124)</f>
        <v>0</v>
      </c>
      <c r="E102" s="14" t="s">
        <v>449</v>
      </c>
      <c r="F102" s="14" t="s">
        <v>669</v>
      </c>
    </row>
    <row r="103" customFormat="false" ht="15" hidden="false" customHeight="false" outlineLevel="0" collapsed="false">
      <c r="A103" s="19" t="s">
        <v>455</v>
      </c>
      <c r="B103" s="16" t="n">
        <v>1</v>
      </c>
      <c r="C103" s="18" t="n">
        <v>3.8</v>
      </c>
      <c r="D103" s="16" t="n">
        <f aca="false">SUMIF(Ofertas!$F$2:$F$124,$A103,Ofertas!$L$2:$L$124)</f>
        <v>0</v>
      </c>
      <c r="E103" s="19" t="s">
        <v>454</v>
      </c>
      <c r="F103" s="19" t="s">
        <v>669</v>
      </c>
    </row>
    <row r="104" customFormat="false" ht="15" hidden="false" customHeight="false" outlineLevel="0" collapsed="false">
      <c r="A104" s="14" t="s">
        <v>460</v>
      </c>
      <c r="B104" s="11" t="n">
        <v>1</v>
      </c>
      <c r="C104" s="13" t="n">
        <v>3.8</v>
      </c>
      <c r="D104" s="11" t="n">
        <f aca="false">SUMIF(Ofertas!$F$2:$F$124,$A104,Ofertas!$L$2:$L$124)</f>
        <v>0</v>
      </c>
      <c r="E104" s="14" t="s">
        <v>459</v>
      </c>
      <c r="F104" s="14" t="s">
        <v>669</v>
      </c>
    </row>
    <row r="105" customFormat="false" ht="15" hidden="false" customHeight="false" outlineLevel="0" collapsed="false">
      <c r="A105" s="19" t="s">
        <v>463</v>
      </c>
      <c r="B105" s="16" t="n">
        <v>1</v>
      </c>
      <c r="C105" s="18" t="n">
        <v>3.7</v>
      </c>
      <c r="D105" s="16" t="n">
        <f aca="false">SUMIF(Ofertas!$F$2:$F$124,$A105,Ofertas!$L$2:$L$124)</f>
        <v>0</v>
      </c>
      <c r="E105" s="19" t="s">
        <v>462</v>
      </c>
      <c r="F105" s="19" t="s">
        <v>669</v>
      </c>
    </row>
    <row r="106" customFormat="false" ht="15" hidden="false" customHeight="false" outlineLevel="0" collapsed="false">
      <c r="A106" s="14" t="s">
        <v>467</v>
      </c>
      <c r="B106" s="11" t="n">
        <v>1</v>
      </c>
      <c r="C106" s="13" t="n">
        <v>3.7</v>
      </c>
      <c r="D106" s="11" t="n">
        <f aca="false">SUMIF(Ofertas!$F$2:$F$124,$A106,Ofertas!$L$2:$L$124)</f>
        <v>0</v>
      </c>
      <c r="E106" s="14" t="s">
        <v>466</v>
      </c>
      <c r="F106" s="14" t="s">
        <v>670</v>
      </c>
    </row>
    <row r="107" customFormat="false" ht="15" hidden="false" customHeight="false" outlineLevel="0" collapsed="false">
      <c r="A107" s="19" t="s">
        <v>471</v>
      </c>
      <c r="B107" s="16" t="n">
        <v>1</v>
      </c>
      <c r="C107" s="18" t="n">
        <v>3.7</v>
      </c>
      <c r="D107" s="16" t="n">
        <f aca="false">SUMIF(Ofertas!$F$2:$F$124,$A107,Ofertas!$L$2:$L$124)</f>
        <v>0</v>
      </c>
      <c r="E107" s="19" t="s">
        <v>470</v>
      </c>
      <c r="F107" s="19" t="s">
        <v>670</v>
      </c>
    </row>
    <row r="108" customFormat="false" ht="15" hidden="false" customHeight="false" outlineLevel="0" collapsed="false">
      <c r="A108" s="14" t="s">
        <v>476</v>
      </c>
      <c r="B108" s="11" t="n">
        <v>1</v>
      </c>
      <c r="C108" s="13" t="n">
        <v>3.7</v>
      </c>
      <c r="D108" s="11" t="n">
        <f aca="false">SUMIF(Ofertas!$F$2:$F$124,$A108,Ofertas!$L$2:$L$124)</f>
        <v>0</v>
      </c>
      <c r="E108" s="14" t="s">
        <v>475</v>
      </c>
      <c r="F108" s="14" t="s">
        <v>670</v>
      </c>
    </row>
    <row r="109" customFormat="false" ht="15" hidden="false" customHeight="false" outlineLevel="0" collapsed="false">
      <c r="A109" s="19" t="s">
        <v>480</v>
      </c>
      <c r="B109" s="16" t="n">
        <v>1</v>
      </c>
      <c r="C109" s="18" t="n">
        <v>3.7</v>
      </c>
      <c r="D109" s="16" t="n">
        <f aca="false">SUMIF(Ofertas!$F$2:$F$124,$A109,Ofertas!$L$2:$L$124)</f>
        <v>0</v>
      </c>
      <c r="E109" s="19" t="s">
        <v>479</v>
      </c>
      <c r="F109" s="19" t="s">
        <v>670</v>
      </c>
    </row>
    <row r="110" customFormat="false" ht="15" hidden="false" customHeight="false" outlineLevel="0" collapsed="false">
      <c r="A110" s="14" t="s">
        <v>483</v>
      </c>
      <c r="B110" s="11" t="n">
        <v>1</v>
      </c>
      <c r="C110" s="13" t="n">
        <v>3.7</v>
      </c>
      <c r="D110" s="11" t="n">
        <f aca="false">SUMIF(Ofertas!$F$2:$F$124,$A110,Ofertas!$L$2:$L$124)</f>
        <v>0</v>
      </c>
      <c r="E110" s="14" t="s">
        <v>482</v>
      </c>
      <c r="F110" s="14" t="s">
        <v>669</v>
      </c>
    </row>
    <row r="111" customFormat="false" ht="15" hidden="false" customHeight="false" outlineLevel="0" collapsed="false">
      <c r="A111" s="19" t="s">
        <v>486</v>
      </c>
      <c r="B111" s="16" t="n">
        <v>1</v>
      </c>
      <c r="C111" s="18" t="n">
        <v>3.7</v>
      </c>
      <c r="D111" s="16" t="n">
        <f aca="false">SUMIF(Ofertas!$F$2:$F$124,$A111,Ofertas!$L$2:$L$124)</f>
        <v>0</v>
      </c>
      <c r="E111" s="19" t="s">
        <v>485</v>
      </c>
      <c r="F111" s="19" t="s">
        <v>669</v>
      </c>
    </row>
    <row r="112" customFormat="false" ht="15" hidden="false" customHeight="false" outlineLevel="0" collapsed="false">
      <c r="A112" s="14" t="s">
        <v>489</v>
      </c>
      <c r="B112" s="11" t="n">
        <v>1</v>
      </c>
      <c r="C112" s="13" t="n">
        <v>3.7</v>
      </c>
      <c r="D112" s="11" t="n">
        <f aca="false">SUMIF(Ofertas!$F$2:$F$124,$A112,Ofertas!$L$2:$L$124)</f>
        <v>0</v>
      </c>
      <c r="E112" s="14" t="s">
        <v>488</v>
      </c>
      <c r="F112" s="14" t="s">
        <v>669</v>
      </c>
    </row>
    <row r="113" customFormat="false" ht="15" hidden="false" customHeight="false" outlineLevel="0" collapsed="false">
      <c r="A113" s="19" t="s">
        <v>500</v>
      </c>
      <c r="B113" s="16" t="n">
        <v>1</v>
      </c>
      <c r="C113" s="18" t="n">
        <v>3.7</v>
      </c>
      <c r="D113" s="16" t="n">
        <f aca="false">SUMIF(Ofertas!$F$2:$F$124,$A113,Ofertas!$L$2:$L$124)</f>
        <v>0</v>
      </c>
      <c r="E113" s="19" t="s">
        <v>499</v>
      </c>
      <c r="F113" s="19" t="s">
        <v>669</v>
      </c>
    </row>
    <row r="114" customFormat="false" ht="15" hidden="false" customHeight="false" outlineLevel="0" collapsed="false">
      <c r="A114" s="14" t="s">
        <v>504</v>
      </c>
      <c r="B114" s="11" t="n">
        <v>1</v>
      </c>
      <c r="C114" s="13" t="n">
        <v>3.7</v>
      </c>
      <c r="D114" s="11" t="n">
        <f aca="false">SUMIF(Ofertas!$F$2:$F$124,$A114,Ofertas!$L$2:$L$124)</f>
        <v>0</v>
      </c>
      <c r="E114" s="14" t="s">
        <v>503</v>
      </c>
      <c r="F114" s="14" t="s">
        <v>669</v>
      </c>
    </row>
    <row r="115" customFormat="false" ht="15" hidden="false" customHeight="false" outlineLevel="0" collapsed="false">
      <c r="A115" s="19" t="s">
        <v>507</v>
      </c>
      <c r="B115" s="16" t="n">
        <v>1</v>
      </c>
      <c r="C115" s="18" t="n">
        <v>3.6</v>
      </c>
      <c r="D115" s="16" t="n">
        <f aca="false">SUMIF(Ofertas!$F$2:$F$124,$A115,Ofertas!$L$2:$L$124)</f>
        <v>0</v>
      </c>
      <c r="E115" s="19" t="s">
        <v>506</v>
      </c>
      <c r="F115" s="19" t="s">
        <v>670</v>
      </c>
    </row>
    <row r="116" customFormat="false" ht="15" hidden="false" customHeight="false" outlineLevel="0" collapsed="false">
      <c r="A116" s="14" t="s">
        <v>511</v>
      </c>
      <c r="B116" s="11" t="n">
        <v>1</v>
      </c>
      <c r="C116" s="13" t="n">
        <v>3.6</v>
      </c>
      <c r="D116" s="11" t="n">
        <f aca="false">SUMIF(Ofertas!$F$2:$F$124,$A116,Ofertas!$L$2:$L$124)</f>
        <v>0</v>
      </c>
      <c r="E116" s="14" t="s">
        <v>510</v>
      </c>
      <c r="F116" s="14" t="s">
        <v>669</v>
      </c>
    </row>
    <row r="117" customFormat="false" ht="15" hidden="false" customHeight="false" outlineLevel="0" collapsed="false">
      <c r="A117" s="19" t="s">
        <v>515</v>
      </c>
      <c r="B117" s="16" t="n">
        <v>1</v>
      </c>
      <c r="C117" s="18" t="n">
        <v>3.5</v>
      </c>
      <c r="D117" s="16" t="n">
        <f aca="false">SUMIF(Ofertas!$F$2:$F$124,$A117,Ofertas!$L$2:$L$124)</f>
        <v>0</v>
      </c>
      <c r="E117" s="19" t="s">
        <v>514</v>
      </c>
      <c r="F117" s="19" t="s">
        <v>669</v>
      </c>
    </row>
    <row r="118" customFormat="false" ht="15" hidden="false" customHeight="false" outlineLevel="0" collapsed="false">
      <c r="A118" s="14" t="s">
        <v>519</v>
      </c>
      <c r="B118" s="11" t="n">
        <v>1</v>
      </c>
      <c r="C118" s="13" t="n">
        <v>3.5</v>
      </c>
      <c r="D118" s="11" t="n">
        <f aca="false">SUMIF(Ofertas!$F$2:$F$124,$A118,Ofertas!$L$2:$L$124)</f>
        <v>0</v>
      </c>
      <c r="E118" s="14" t="s">
        <v>518</v>
      </c>
      <c r="F118" s="14" t="s">
        <v>669</v>
      </c>
    </row>
    <row r="119" customFormat="false" ht="15" hidden="false" customHeight="false" outlineLevel="0" collapsed="false">
      <c r="A119" s="19" t="s">
        <v>523</v>
      </c>
      <c r="B119" s="16" t="n">
        <v>1</v>
      </c>
      <c r="C119" s="18" t="n">
        <v>3.5</v>
      </c>
      <c r="D119" s="16" t="n">
        <f aca="false">SUMIF(Ofertas!$F$2:$F$124,$A119,Ofertas!$L$2:$L$124)</f>
        <v>0</v>
      </c>
      <c r="E119" s="19" t="s">
        <v>522</v>
      </c>
      <c r="F119" s="19" t="s">
        <v>669</v>
      </c>
    </row>
    <row r="120" customFormat="false" ht="15" hidden="false" customHeight="false" outlineLevel="0" collapsed="false">
      <c r="A120" s="14" t="s">
        <v>527</v>
      </c>
      <c r="B120" s="11" t="n">
        <v>1</v>
      </c>
      <c r="C120" s="13" t="n">
        <v>3.4</v>
      </c>
      <c r="D120" s="11" t="n">
        <f aca="false">SUMIF(Ofertas!$F$2:$F$124,$A120,Ofertas!$L$2:$L$124)</f>
        <v>0</v>
      </c>
      <c r="E120" s="14" t="s">
        <v>526</v>
      </c>
      <c r="F120" s="14" t="s">
        <v>670</v>
      </c>
    </row>
    <row r="121" customFormat="false" ht="15" hidden="false" customHeight="false" outlineLevel="0" collapsed="false">
      <c r="A121" s="19" t="s">
        <v>531</v>
      </c>
      <c r="B121" s="16" t="n">
        <v>1</v>
      </c>
      <c r="C121" s="18" t="n">
        <v>3.4</v>
      </c>
      <c r="D121" s="16" t="n">
        <f aca="false">SUMIF(Ofertas!$F$2:$F$124,$A121,Ofertas!$L$2:$L$124)</f>
        <v>0</v>
      </c>
      <c r="E121" s="19" t="s">
        <v>530</v>
      </c>
      <c r="F121" s="19" t="s">
        <v>670</v>
      </c>
    </row>
    <row r="122" customFormat="false" ht="15" hidden="false" customHeight="false" outlineLevel="0" collapsed="false">
      <c r="A122" s="14" t="s">
        <v>535</v>
      </c>
      <c r="B122" s="11" t="n">
        <v>1</v>
      </c>
      <c r="C122" s="13" t="n">
        <v>3.4</v>
      </c>
      <c r="D122" s="11" t="n">
        <f aca="false">SUMIF(Ofertas!$F$2:$F$124,$A122,Ofertas!$L$2:$L$124)</f>
        <v>0</v>
      </c>
      <c r="E122" s="14" t="s">
        <v>534</v>
      </c>
      <c r="F122" s="14" t="s">
        <v>670</v>
      </c>
    </row>
    <row r="123" customFormat="false" ht="15" hidden="false" customHeight="false" outlineLevel="0" collapsed="false">
      <c r="A123" s="19" t="s">
        <v>539</v>
      </c>
      <c r="B123" s="16" t="n">
        <v>1</v>
      </c>
      <c r="C123" s="18" t="n">
        <v>3.4</v>
      </c>
      <c r="D123" s="16" t="n">
        <f aca="false">SUMIF(Ofertas!$F$2:$F$124,$A123,Ofertas!$L$2:$L$124)</f>
        <v>0</v>
      </c>
      <c r="E123" s="19" t="s">
        <v>538</v>
      </c>
      <c r="F123" s="19" t="s">
        <v>670</v>
      </c>
    </row>
    <row r="124" customFormat="false" ht="15" hidden="false" customHeight="false" outlineLevel="0" collapsed="false">
      <c r="A124" s="14" t="s">
        <v>543</v>
      </c>
      <c r="B124" s="11" t="n">
        <v>1</v>
      </c>
      <c r="C124" s="13" t="n">
        <v>3.4</v>
      </c>
      <c r="D124" s="11" t="n">
        <f aca="false">SUMIF(Ofertas!$F$2:$F$124,$A124,Ofertas!$L$2:$L$124)</f>
        <v>0</v>
      </c>
      <c r="E124" s="14" t="s">
        <v>542</v>
      </c>
      <c r="F124" s="14" t="s">
        <v>670</v>
      </c>
    </row>
    <row r="125" customFormat="false" ht="15" hidden="false" customHeight="false" outlineLevel="0" collapsed="false">
      <c r="A125" s="19" t="s">
        <v>547</v>
      </c>
      <c r="B125" s="16" t="n">
        <v>1</v>
      </c>
      <c r="C125" s="18" t="n">
        <v>3.4</v>
      </c>
      <c r="D125" s="16" t="n">
        <f aca="false">SUMIF(Ofertas!$F$2:$F$124,$A125,Ofertas!$L$2:$L$124)</f>
        <v>0</v>
      </c>
      <c r="E125" s="19" t="s">
        <v>546</v>
      </c>
      <c r="F125" s="19" t="s">
        <v>669</v>
      </c>
    </row>
    <row r="126" customFormat="false" ht="15" hidden="false" customHeight="false" outlineLevel="0" collapsed="false">
      <c r="A126" s="14" t="s">
        <v>550</v>
      </c>
      <c r="B126" s="11" t="n">
        <v>1</v>
      </c>
      <c r="C126" s="13" t="n">
        <v>3.4</v>
      </c>
      <c r="D126" s="11" t="n">
        <f aca="false">SUMIF(Ofertas!$F$2:$F$124,$A126,Ofertas!$L$2:$L$124)</f>
        <v>0</v>
      </c>
      <c r="E126" s="14" t="s">
        <v>549</v>
      </c>
      <c r="F126" s="14" t="s">
        <v>669</v>
      </c>
    </row>
    <row r="127" customFormat="false" ht="15" hidden="false" customHeight="false" outlineLevel="0" collapsed="false">
      <c r="A127" s="19" t="s">
        <v>554</v>
      </c>
      <c r="B127" s="16" t="n">
        <v>1</v>
      </c>
      <c r="C127" s="18" t="n">
        <v>3.4</v>
      </c>
      <c r="D127" s="16" t="n">
        <f aca="false">SUMIF(Ofertas!$F$2:$F$124,$A127,Ofertas!$L$2:$L$124)</f>
        <v>0</v>
      </c>
      <c r="E127" s="19" t="s">
        <v>553</v>
      </c>
      <c r="F127" s="19" t="s">
        <v>669</v>
      </c>
    </row>
    <row r="128" customFormat="false" ht="15" hidden="false" customHeight="false" outlineLevel="0" collapsed="false">
      <c r="A128" s="14" t="s">
        <v>557</v>
      </c>
      <c r="B128" s="11" t="n">
        <v>1</v>
      </c>
      <c r="C128" s="13" t="n">
        <v>3.3</v>
      </c>
      <c r="D128" s="11" t="n">
        <f aca="false">SUMIF(Ofertas!$F$2:$F$124,$A128,Ofertas!$L$2:$L$124)</f>
        <v>0</v>
      </c>
      <c r="E128" s="14" t="s">
        <v>556</v>
      </c>
      <c r="F128" s="14" t="s">
        <v>669</v>
      </c>
    </row>
    <row r="129" customFormat="false" ht="15" hidden="false" customHeight="false" outlineLevel="0" collapsed="false">
      <c r="A129" s="19" t="s">
        <v>560</v>
      </c>
      <c r="B129" s="16" t="n">
        <v>1</v>
      </c>
      <c r="C129" s="18" t="n">
        <v>3.1</v>
      </c>
      <c r="D129" s="16" t="n">
        <f aca="false">SUMIF(Ofertas!$F$2:$F$124,$A129,Ofertas!$L$2:$L$124)</f>
        <v>0</v>
      </c>
      <c r="E129" s="19" t="s">
        <v>559</v>
      </c>
      <c r="F129" s="19" t="s">
        <v>669</v>
      </c>
    </row>
    <row r="130" customFormat="false" ht="15" hidden="false" customHeight="false" outlineLevel="0" collapsed="false">
      <c r="A130" s="14" t="s">
        <v>564</v>
      </c>
      <c r="B130" s="11" t="n">
        <v>1</v>
      </c>
      <c r="C130" s="13" t="n">
        <v>3.1</v>
      </c>
      <c r="D130" s="11" t="n">
        <f aca="false">SUMIF(Ofertas!$F$2:$F$124,$A130,Ofertas!$L$2:$L$124)</f>
        <v>0</v>
      </c>
      <c r="E130" s="14" t="s">
        <v>563</v>
      </c>
      <c r="F130" s="14" t="s">
        <v>670</v>
      </c>
    </row>
    <row r="131" customFormat="false" ht="15" hidden="false" customHeight="false" outlineLevel="0" collapsed="false">
      <c r="A131" s="19" t="s">
        <v>568</v>
      </c>
      <c r="B131" s="16" t="n">
        <v>1</v>
      </c>
      <c r="C131" s="18" t="n">
        <v>3.1</v>
      </c>
      <c r="D131" s="16" t="n">
        <f aca="false">SUMIF(Ofertas!$F$2:$F$124,$A131,Ofertas!$L$2:$L$124)</f>
        <v>0</v>
      </c>
      <c r="E131" s="19" t="s">
        <v>567</v>
      </c>
      <c r="F131" s="19" t="s">
        <v>670</v>
      </c>
    </row>
    <row r="132" customFormat="false" ht="15" hidden="false" customHeight="false" outlineLevel="0" collapsed="false">
      <c r="A132" s="14" t="s">
        <v>573</v>
      </c>
      <c r="B132" s="11" t="n">
        <v>1</v>
      </c>
      <c r="C132" s="13" t="n">
        <v>3.1</v>
      </c>
      <c r="D132" s="11" t="n">
        <f aca="false">SUMIF(Ofertas!$F$2:$F$124,$A132,Ofertas!$L$2:$L$124)</f>
        <v>0</v>
      </c>
      <c r="E132" s="14" t="s">
        <v>572</v>
      </c>
      <c r="F132" s="14" t="s">
        <v>669</v>
      </c>
    </row>
    <row r="133" customFormat="false" ht="15" hidden="false" customHeight="false" outlineLevel="0" collapsed="false">
      <c r="A133" s="19" t="s">
        <v>577</v>
      </c>
      <c r="B133" s="16" t="n">
        <v>1</v>
      </c>
      <c r="C133" s="18" t="n">
        <v>3</v>
      </c>
      <c r="D133" s="16" t="n">
        <f aca="false">SUMIF(Ofertas!$F$2:$F$124,$A133,Ofertas!$L$2:$L$124)</f>
        <v>0</v>
      </c>
      <c r="E133" s="19" t="s">
        <v>576</v>
      </c>
      <c r="F133" s="19" t="s">
        <v>670</v>
      </c>
    </row>
    <row r="134" customFormat="false" ht="15" hidden="false" customHeight="false" outlineLevel="0" collapsed="false">
      <c r="A134" s="14" t="s">
        <v>581</v>
      </c>
      <c r="B134" s="11" t="n">
        <v>1</v>
      </c>
      <c r="C134" s="13" t="n">
        <v>3</v>
      </c>
      <c r="D134" s="11" t="n">
        <f aca="false">SUMIF(Ofertas!$F$2:$F$124,$A134,Ofertas!$L$2:$L$124)</f>
        <v>0</v>
      </c>
      <c r="E134" s="14" t="s">
        <v>580</v>
      </c>
      <c r="F134" s="14" t="s">
        <v>669</v>
      </c>
    </row>
    <row r="135" customFormat="false" ht="15" hidden="false" customHeight="false" outlineLevel="0" collapsed="false">
      <c r="A135" s="19" t="s">
        <v>585</v>
      </c>
      <c r="B135" s="16" t="n">
        <v>1</v>
      </c>
      <c r="C135" s="18" t="n">
        <v>3</v>
      </c>
      <c r="D135" s="16" t="n">
        <f aca="false">SUMIF(Ofertas!$F$2:$F$124,$A135,Ofertas!$L$2:$L$124)</f>
        <v>0</v>
      </c>
      <c r="E135" s="19" t="s">
        <v>584</v>
      </c>
      <c r="F135" s="19" t="s">
        <v>669</v>
      </c>
    </row>
    <row r="136" customFormat="false" ht="15" hidden="false" customHeight="false" outlineLevel="0" collapsed="false">
      <c r="A136" s="14" t="s">
        <v>589</v>
      </c>
      <c r="B136" s="11" t="n">
        <v>1</v>
      </c>
      <c r="C136" s="13" t="n">
        <v>3</v>
      </c>
      <c r="D136" s="11" t="n">
        <f aca="false">SUMIF(Ofertas!$F$2:$F$124,$A136,Ofertas!$L$2:$L$124)</f>
        <v>0</v>
      </c>
      <c r="E136" s="14" t="s">
        <v>588</v>
      </c>
      <c r="F136" s="14" t="s">
        <v>669</v>
      </c>
    </row>
    <row r="137" customFormat="false" ht="15" hidden="false" customHeight="false" outlineLevel="0" collapsed="false">
      <c r="A137" s="19" t="s">
        <v>593</v>
      </c>
      <c r="B137" s="16" t="n">
        <v>1</v>
      </c>
      <c r="C137" s="18" t="n">
        <v>2.9</v>
      </c>
      <c r="D137" s="16" t="n">
        <f aca="false">SUMIF(Ofertas!$F$2:$F$124,$A137,Ofertas!$L$2:$L$124)</f>
        <v>0</v>
      </c>
      <c r="E137" s="19" t="s">
        <v>592</v>
      </c>
      <c r="F137" s="19" t="s">
        <v>669</v>
      </c>
    </row>
    <row r="138" customFormat="false" ht="15" hidden="false" customHeight="false" outlineLevel="0" collapsed="false">
      <c r="A138" s="14" t="s">
        <v>597</v>
      </c>
      <c r="B138" s="11" t="n">
        <v>1</v>
      </c>
      <c r="C138" s="13" t="n">
        <v>2.9</v>
      </c>
      <c r="D138" s="11" t="n">
        <f aca="false">SUMIF(Ofertas!$F$2:$F$124,$A138,Ofertas!$L$2:$L$124)</f>
        <v>0</v>
      </c>
      <c r="E138" s="14" t="s">
        <v>596</v>
      </c>
      <c r="F138" s="14" t="s">
        <v>670</v>
      </c>
    </row>
    <row r="139" customFormat="false" ht="15" hidden="false" customHeight="false" outlineLevel="0" collapsed="false">
      <c r="A139" s="19" t="s">
        <v>601</v>
      </c>
      <c r="B139" s="16" t="n">
        <v>1</v>
      </c>
      <c r="C139" s="18" t="n">
        <v>2.9</v>
      </c>
      <c r="D139" s="16" t="n">
        <f aca="false">SUMIF(Ofertas!$F$2:$F$124,$A139,Ofertas!$L$2:$L$124)</f>
        <v>0</v>
      </c>
      <c r="E139" s="19" t="s">
        <v>600</v>
      </c>
      <c r="F139" s="19" t="s">
        <v>669</v>
      </c>
    </row>
    <row r="140" customFormat="false" ht="15" hidden="false" customHeight="false" outlineLevel="0" collapsed="false">
      <c r="A140" s="14" t="s">
        <v>605</v>
      </c>
      <c r="B140" s="11" t="n">
        <v>1</v>
      </c>
      <c r="C140" s="13" t="n">
        <v>2.8</v>
      </c>
      <c r="D140" s="11" t="n">
        <f aca="false">SUMIF(Ofertas!$F$2:$F$124,$A140,Ofertas!$L$2:$L$124)</f>
        <v>0</v>
      </c>
      <c r="E140" s="14" t="s">
        <v>604</v>
      </c>
      <c r="F140" s="14" t="s">
        <v>669</v>
      </c>
    </row>
    <row r="141" customFormat="false" ht="15" hidden="false" customHeight="false" outlineLevel="0" collapsed="false">
      <c r="A141" s="19" t="s">
        <v>608</v>
      </c>
      <c r="B141" s="16" t="n">
        <v>1</v>
      </c>
      <c r="C141" s="18" t="n">
        <v>2.8</v>
      </c>
      <c r="D141" s="16" t="n">
        <f aca="false">SUMIF(Ofertas!$F$2:$F$124,$A141,Ofertas!$L$2:$L$124)</f>
        <v>0</v>
      </c>
      <c r="E141" s="19" t="s">
        <v>607</v>
      </c>
      <c r="F141" s="19" t="s">
        <v>669</v>
      </c>
    </row>
    <row r="142" customFormat="false" ht="15" hidden="false" customHeight="false" outlineLevel="0" collapsed="false">
      <c r="A142" s="14" t="s">
        <v>612</v>
      </c>
      <c r="B142" s="11" t="n">
        <v>1</v>
      </c>
      <c r="C142" s="13" t="n">
        <v>2.7</v>
      </c>
      <c r="D142" s="11" t="n">
        <f aca="false">SUMIF(Ofertas!$F$2:$F$124,$A142,Ofertas!$L$2:$L$124)</f>
        <v>0</v>
      </c>
      <c r="E142" s="14" t="s">
        <v>611</v>
      </c>
      <c r="F142" s="14" t="s">
        <v>670</v>
      </c>
    </row>
    <row r="143" customFormat="false" ht="15" hidden="false" customHeight="false" outlineLevel="0" collapsed="false">
      <c r="A143" s="19" t="s">
        <v>616</v>
      </c>
      <c r="B143" s="16" t="n">
        <v>1</v>
      </c>
      <c r="C143" s="18" t="n">
        <v>2.7</v>
      </c>
      <c r="D143" s="16" t="n">
        <f aca="false">SUMIF(Ofertas!$F$2:$F$124,$A143,Ofertas!$L$2:$L$124)</f>
        <v>0</v>
      </c>
      <c r="E143" s="19" t="s">
        <v>615</v>
      </c>
      <c r="F143" s="19" t="s">
        <v>670</v>
      </c>
    </row>
    <row r="144" customFormat="false" ht="15" hidden="false" customHeight="false" outlineLevel="0" collapsed="false">
      <c r="A144" s="14" t="s">
        <v>620</v>
      </c>
      <c r="B144" s="11" t="n">
        <v>1</v>
      </c>
      <c r="C144" s="13" t="n">
        <v>2.6</v>
      </c>
      <c r="D144" s="11" t="n">
        <f aca="false">SUMIF(Ofertas!$F$2:$F$124,$A144,Ofertas!$L$2:$L$124)</f>
        <v>0</v>
      </c>
      <c r="E144" s="14" t="s">
        <v>619</v>
      </c>
      <c r="F144" s="14" t="s">
        <v>670</v>
      </c>
    </row>
    <row r="145" customFormat="false" ht="15" hidden="false" customHeight="false" outlineLevel="0" collapsed="false">
      <c r="A145" s="19" t="s">
        <v>623</v>
      </c>
      <c r="B145" s="16" t="n">
        <v>1</v>
      </c>
      <c r="C145" s="18" t="n">
        <v>2.6</v>
      </c>
      <c r="D145" s="16" t="n">
        <f aca="false">SUMIF(Ofertas!$F$2:$F$124,$A145,Ofertas!$L$2:$L$124)</f>
        <v>0</v>
      </c>
      <c r="E145" s="19" t="s">
        <v>622</v>
      </c>
      <c r="F145" s="19" t="s">
        <v>670</v>
      </c>
    </row>
    <row r="146" customFormat="false" ht="15" hidden="false" customHeight="false" outlineLevel="0" collapsed="false">
      <c r="A146" s="14" t="s">
        <v>627</v>
      </c>
      <c r="B146" s="11" t="n">
        <v>1</v>
      </c>
      <c r="C146" s="13" t="n">
        <v>2.5</v>
      </c>
      <c r="D146" s="11" t="n">
        <f aca="false">SUMIF(Ofertas!$F$2:$F$124,$A146,Ofertas!$L$2:$L$124)</f>
        <v>0</v>
      </c>
      <c r="E146" s="14" t="s">
        <v>626</v>
      </c>
      <c r="F146" s="14" t="s">
        <v>669</v>
      </c>
    </row>
    <row r="147" customFormat="false" ht="15" hidden="false" customHeight="false" outlineLevel="0" collapsed="false">
      <c r="A147" s="19" t="s">
        <v>631</v>
      </c>
      <c r="B147" s="16" t="n">
        <v>1</v>
      </c>
      <c r="C147" s="18" t="n">
        <v>2.3</v>
      </c>
      <c r="D147" s="16" t="n">
        <f aca="false">SUMIF(Ofertas!$F$2:$F$124,$A147,Ofertas!$L$2:$L$124)</f>
        <v>0</v>
      </c>
      <c r="E147" s="19" t="s">
        <v>630</v>
      </c>
      <c r="F147" s="19" t="s">
        <v>670</v>
      </c>
    </row>
    <row r="148" customFormat="false" ht="15" hidden="false" customHeight="false" outlineLevel="0" collapsed="false">
      <c r="A148" s="14" t="s">
        <v>635</v>
      </c>
      <c r="B148" s="11" t="n">
        <v>1</v>
      </c>
      <c r="C148" s="13" t="n">
        <v>2.2</v>
      </c>
      <c r="D148" s="11" t="n">
        <f aca="false">SUMIF(Ofertas!$F$2:$F$124,$A148,Ofertas!$L$2:$L$124)</f>
        <v>0</v>
      </c>
      <c r="E148" s="14" t="s">
        <v>634</v>
      </c>
      <c r="F148" s="14" t="s">
        <v>670</v>
      </c>
    </row>
  </sheetData>
  <autoFilter ref="A27:F148"/>
  <mergeCells count="1">
    <mergeCell ref="A1:F1"/>
  </mergeCells>
  <conditionalFormatting sqref="C5:D24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3.75" hidden="false" customHeight="true" outlineLevel="0" collapsed="false">
      <c r="A1" s="29" t="s">
        <v>12</v>
      </c>
      <c r="B1" s="29" t="s">
        <v>118</v>
      </c>
      <c r="C1" s="29" t="s">
        <v>671</v>
      </c>
      <c r="D1" s="29" t="s">
        <v>672</v>
      </c>
      <c r="E1" s="29" t="s">
        <v>673</v>
      </c>
      <c r="F1" s="29" t="s">
        <v>98</v>
      </c>
      <c r="G1" s="29" t="s">
        <v>15</v>
      </c>
    </row>
    <row r="2" customFormat="false" ht="15" hidden="false" customHeight="false" outlineLevel="0" collapsed="false">
      <c r="A2" s="19" t="s">
        <v>21</v>
      </c>
      <c r="B2" s="19" t="s">
        <v>130</v>
      </c>
      <c r="C2" s="16" t="s">
        <v>674</v>
      </c>
      <c r="D2" s="20" t="s">
        <v>675</v>
      </c>
      <c r="E2" s="16" t="s">
        <v>676</v>
      </c>
      <c r="F2" s="20" t="s">
        <v>22</v>
      </c>
      <c r="G2" s="18" t="n">
        <v>7.5</v>
      </c>
    </row>
    <row r="3" customFormat="false" ht="15" hidden="false" customHeight="false" outlineLevel="0" collapsed="false">
      <c r="A3" s="14" t="s">
        <v>21</v>
      </c>
      <c r="B3" s="14" t="s">
        <v>130</v>
      </c>
      <c r="C3" s="11" t="s">
        <v>677</v>
      </c>
      <c r="D3" s="15" t="s">
        <v>675</v>
      </c>
      <c r="E3" s="11" t="s">
        <v>676</v>
      </c>
      <c r="F3" s="15" t="s">
        <v>22</v>
      </c>
      <c r="G3" s="13" t="n">
        <v>7.5</v>
      </c>
    </row>
    <row r="4" customFormat="false" ht="15" hidden="false" customHeight="false" outlineLevel="0" collapsed="false">
      <c r="A4" s="19" t="s">
        <v>21</v>
      </c>
      <c r="B4" s="19" t="s">
        <v>130</v>
      </c>
      <c r="C4" s="16" t="s">
        <v>678</v>
      </c>
      <c r="D4" s="20" t="s">
        <v>675</v>
      </c>
      <c r="E4" s="16" t="s">
        <v>676</v>
      </c>
      <c r="F4" s="20" t="s">
        <v>22</v>
      </c>
      <c r="G4" s="18" t="n">
        <v>7.5</v>
      </c>
    </row>
    <row r="5" customFormat="false" ht="15" hidden="false" customHeight="false" outlineLevel="0" collapsed="false">
      <c r="A5" s="14" t="s">
        <v>21</v>
      </c>
      <c r="B5" s="14" t="s">
        <v>130</v>
      </c>
      <c r="C5" s="11" t="s">
        <v>679</v>
      </c>
      <c r="D5" s="15" t="s">
        <v>675</v>
      </c>
      <c r="E5" s="11" t="s">
        <v>680</v>
      </c>
      <c r="F5" s="15" t="s">
        <v>22</v>
      </c>
      <c r="G5" s="13" t="n">
        <v>7.5</v>
      </c>
    </row>
    <row r="6" customFormat="false" ht="15" hidden="false" customHeight="false" outlineLevel="0" collapsed="false">
      <c r="A6" s="19" t="s">
        <v>21</v>
      </c>
      <c r="B6" s="19" t="s">
        <v>130</v>
      </c>
      <c r="C6" s="16" t="s">
        <v>681</v>
      </c>
      <c r="D6" s="20" t="s">
        <v>675</v>
      </c>
      <c r="E6" s="16" t="s">
        <v>682</v>
      </c>
      <c r="F6" s="20" t="s">
        <v>22</v>
      </c>
      <c r="G6" s="18" t="n">
        <v>7.5</v>
      </c>
    </row>
    <row r="7" customFormat="false" ht="15" hidden="false" customHeight="false" outlineLevel="0" collapsed="false">
      <c r="A7" s="14" t="s">
        <v>21</v>
      </c>
      <c r="B7" s="14" t="s">
        <v>130</v>
      </c>
      <c r="C7" s="11" t="s">
        <v>683</v>
      </c>
      <c r="D7" s="15" t="s">
        <v>675</v>
      </c>
      <c r="E7" s="11" t="s">
        <v>684</v>
      </c>
      <c r="F7" s="15" t="s">
        <v>22</v>
      </c>
      <c r="G7" s="13" t="n">
        <v>7.5</v>
      </c>
    </row>
    <row r="8" customFormat="false" ht="15" hidden="false" customHeight="false" outlineLevel="0" collapsed="false">
      <c r="A8" s="19" t="s">
        <v>21</v>
      </c>
      <c r="B8" s="19" t="s">
        <v>130</v>
      </c>
      <c r="C8" s="16" t="s">
        <v>685</v>
      </c>
      <c r="D8" s="20" t="s">
        <v>675</v>
      </c>
      <c r="E8" s="16" t="s">
        <v>686</v>
      </c>
      <c r="F8" s="20" t="s">
        <v>22</v>
      </c>
      <c r="G8" s="18" t="n">
        <v>7.5</v>
      </c>
    </row>
    <row r="9" customFormat="false" ht="15" hidden="false" customHeight="false" outlineLevel="0" collapsed="false">
      <c r="A9" s="14" t="s">
        <v>21</v>
      </c>
      <c r="B9" s="14" t="s">
        <v>130</v>
      </c>
      <c r="C9" s="11" t="s">
        <v>687</v>
      </c>
      <c r="D9" s="15" t="s">
        <v>675</v>
      </c>
      <c r="E9" s="11" t="s">
        <v>688</v>
      </c>
      <c r="F9" s="15" t="s">
        <v>22</v>
      </c>
      <c r="G9" s="13" t="n">
        <v>7.5</v>
      </c>
    </row>
    <row r="10" customFormat="false" ht="15" hidden="false" customHeight="false" outlineLevel="0" collapsed="false">
      <c r="A10" s="19" t="s">
        <v>21</v>
      </c>
      <c r="B10" s="19" t="s">
        <v>130</v>
      </c>
      <c r="C10" s="16" t="s">
        <v>689</v>
      </c>
      <c r="D10" s="20" t="s">
        <v>675</v>
      </c>
      <c r="E10" s="16" t="s">
        <v>688</v>
      </c>
      <c r="F10" s="20" t="s">
        <v>22</v>
      </c>
      <c r="G10" s="18" t="n">
        <v>7.5</v>
      </c>
    </row>
    <row r="11" customFormat="false" ht="15" hidden="false" customHeight="false" outlineLevel="0" collapsed="false">
      <c r="A11" s="14" t="s">
        <v>23</v>
      </c>
      <c r="B11" s="14"/>
      <c r="C11" s="11" t="s">
        <v>28</v>
      </c>
      <c r="D11" s="15" t="s">
        <v>134</v>
      </c>
      <c r="E11" s="11"/>
      <c r="F11" s="15" t="s">
        <v>22</v>
      </c>
      <c r="G11" s="13" t="n">
        <v>7.4</v>
      </c>
    </row>
    <row r="12" customFormat="false" ht="15" hidden="false" customHeight="false" outlineLevel="0" collapsed="false">
      <c r="A12" s="19" t="s">
        <v>24</v>
      </c>
      <c r="B12" s="19"/>
      <c r="C12" s="16" t="s">
        <v>28</v>
      </c>
      <c r="D12" s="20" t="s">
        <v>134</v>
      </c>
      <c r="E12" s="16"/>
      <c r="F12" s="20" t="s">
        <v>22</v>
      </c>
      <c r="G12" s="18" t="n">
        <v>7.2</v>
      </c>
    </row>
    <row r="13" customFormat="false" ht="15" hidden="false" customHeight="false" outlineLevel="0" collapsed="false">
      <c r="A13" s="14" t="s">
        <v>25</v>
      </c>
      <c r="B13" s="14"/>
      <c r="C13" s="11" t="s">
        <v>28</v>
      </c>
      <c r="D13" s="15" t="s">
        <v>134</v>
      </c>
      <c r="E13" s="11"/>
      <c r="F13" s="15" t="s">
        <v>22</v>
      </c>
      <c r="G13" s="13" t="n">
        <v>7.1</v>
      </c>
    </row>
    <row r="14" customFormat="false" ht="15" hidden="false" customHeight="false" outlineLevel="0" collapsed="false">
      <c r="A14" s="19" t="s">
        <v>26</v>
      </c>
      <c r="B14" s="19"/>
      <c r="C14" s="16" t="s">
        <v>28</v>
      </c>
      <c r="D14" s="20" t="s">
        <v>134</v>
      </c>
      <c r="E14" s="16"/>
      <c r="F14" s="20" t="s">
        <v>22</v>
      </c>
      <c r="G14" s="18" t="n">
        <v>7.1</v>
      </c>
    </row>
    <row r="15" customFormat="false" ht="15" hidden="false" customHeight="false" outlineLevel="0" collapsed="false">
      <c r="A15" s="14" t="s">
        <v>27</v>
      </c>
      <c r="B15" s="14"/>
      <c r="C15" s="11" t="s">
        <v>28</v>
      </c>
      <c r="D15" s="15" t="s">
        <v>134</v>
      </c>
      <c r="E15" s="11"/>
      <c r="F15" s="11" t="s">
        <v>28</v>
      </c>
      <c r="G15" s="13" t="n">
        <v>6.9</v>
      </c>
    </row>
    <row r="16" customFormat="false" ht="15" hidden="false" customHeight="false" outlineLevel="0" collapsed="false">
      <c r="A16" s="19" t="s">
        <v>29</v>
      </c>
      <c r="B16" s="19"/>
      <c r="C16" s="16" t="s">
        <v>28</v>
      </c>
      <c r="D16" s="20" t="s">
        <v>134</v>
      </c>
      <c r="E16" s="16"/>
      <c r="F16" s="16" t="s">
        <v>28</v>
      </c>
      <c r="G16" s="18" t="n">
        <v>6.8</v>
      </c>
    </row>
    <row r="17" customFormat="false" ht="15" hidden="false" customHeight="false" outlineLevel="0" collapsed="false">
      <c r="A17" s="14" t="s">
        <v>30</v>
      </c>
      <c r="B17" s="14" t="s">
        <v>166</v>
      </c>
      <c r="C17" s="11" t="s">
        <v>690</v>
      </c>
      <c r="D17" s="15" t="s">
        <v>675</v>
      </c>
      <c r="E17" s="11" t="s">
        <v>691</v>
      </c>
      <c r="F17" s="15" t="s">
        <v>22</v>
      </c>
      <c r="G17" s="13" t="n">
        <v>6.6</v>
      </c>
    </row>
    <row r="18" customFormat="false" ht="15" hidden="false" customHeight="false" outlineLevel="0" collapsed="false">
      <c r="A18" s="19" t="s">
        <v>30</v>
      </c>
      <c r="B18" s="19" t="s">
        <v>166</v>
      </c>
      <c r="C18" s="16" t="s">
        <v>692</v>
      </c>
      <c r="D18" s="20" t="s">
        <v>675</v>
      </c>
      <c r="E18" s="16" t="s">
        <v>691</v>
      </c>
      <c r="F18" s="20" t="s">
        <v>22</v>
      </c>
      <c r="G18" s="18" t="n">
        <v>6.6</v>
      </c>
    </row>
    <row r="19" customFormat="false" ht="15" hidden="false" customHeight="false" outlineLevel="0" collapsed="false">
      <c r="A19" s="14" t="s">
        <v>30</v>
      </c>
      <c r="B19" s="14" t="s">
        <v>166</v>
      </c>
      <c r="C19" s="11" t="s">
        <v>693</v>
      </c>
      <c r="D19" s="15" t="s">
        <v>675</v>
      </c>
      <c r="E19" s="11" t="s">
        <v>691</v>
      </c>
      <c r="F19" s="15" t="s">
        <v>22</v>
      </c>
      <c r="G19" s="13" t="n">
        <v>6.6</v>
      </c>
    </row>
    <row r="20" customFormat="false" ht="15" hidden="false" customHeight="false" outlineLevel="0" collapsed="false">
      <c r="A20" s="19" t="s">
        <v>30</v>
      </c>
      <c r="B20" s="19" t="s">
        <v>166</v>
      </c>
      <c r="C20" s="16" t="s">
        <v>694</v>
      </c>
      <c r="D20" s="20" t="s">
        <v>675</v>
      </c>
      <c r="E20" s="16" t="s">
        <v>691</v>
      </c>
      <c r="F20" s="20" t="s">
        <v>22</v>
      </c>
      <c r="G20" s="18" t="n">
        <v>6.6</v>
      </c>
    </row>
    <row r="21" customFormat="false" ht="15" hidden="false" customHeight="false" outlineLevel="0" collapsed="false">
      <c r="A21" s="14" t="s">
        <v>30</v>
      </c>
      <c r="B21" s="14" t="s">
        <v>166</v>
      </c>
      <c r="C21" s="11" t="s">
        <v>695</v>
      </c>
      <c r="D21" s="15" t="s">
        <v>675</v>
      </c>
      <c r="E21" s="11" t="s">
        <v>696</v>
      </c>
      <c r="F21" s="15" t="s">
        <v>22</v>
      </c>
      <c r="G21" s="13" t="n">
        <v>6.6</v>
      </c>
    </row>
    <row r="22" customFormat="false" ht="15" hidden="false" customHeight="false" outlineLevel="0" collapsed="false">
      <c r="A22" s="19" t="s">
        <v>30</v>
      </c>
      <c r="B22" s="19" t="s">
        <v>166</v>
      </c>
      <c r="C22" s="16" t="s">
        <v>697</v>
      </c>
      <c r="D22" s="20" t="s">
        <v>675</v>
      </c>
      <c r="E22" s="16" t="s">
        <v>696</v>
      </c>
      <c r="F22" s="20" t="s">
        <v>22</v>
      </c>
      <c r="G22" s="18" t="n">
        <v>6.6</v>
      </c>
    </row>
    <row r="23" customFormat="false" ht="15" hidden="false" customHeight="false" outlineLevel="0" collapsed="false">
      <c r="A23" s="14" t="s">
        <v>30</v>
      </c>
      <c r="B23" s="14" t="s">
        <v>166</v>
      </c>
      <c r="C23" s="11" t="s">
        <v>698</v>
      </c>
      <c r="D23" s="15" t="s">
        <v>675</v>
      </c>
      <c r="E23" s="11" t="s">
        <v>696</v>
      </c>
      <c r="F23" s="15" t="s">
        <v>22</v>
      </c>
      <c r="G23" s="13" t="n">
        <v>6.6</v>
      </c>
    </row>
    <row r="24" customFormat="false" ht="15" hidden="false" customHeight="false" outlineLevel="0" collapsed="false">
      <c r="A24" s="19" t="s">
        <v>30</v>
      </c>
      <c r="B24" s="19" t="s">
        <v>166</v>
      </c>
      <c r="C24" s="16" t="s">
        <v>699</v>
      </c>
      <c r="D24" s="20" t="s">
        <v>675</v>
      </c>
      <c r="E24" s="16" t="s">
        <v>700</v>
      </c>
      <c r="F24" s="20" t="s">
        <v>22</v>
      </c>
      <c r="G24" s="18" t="n">
        <v>6.6</v>
      </c>
    </row>
    <row r="25" customFormat="false" ht="15" hidden="false" customHeight="false" outlineLevel="0" collapsed="false">
      <c r="A25" s="14" t="s">
        <v>30</v>
      </c>
      <c r="B25" s="14" t="s">
        <v>166</v>
      </c>
      <c r="C25" s="11" t="s">
        <v>701</v>
      </c>
      <c r="D25" s="15" t="s">
        <v>675</v>
      </c>
      <c r="E25" s="11" t="s">
        <v>700</v>
      </c>
      <c r="F25" s="15" t="s">
        <v>22</v>
      </c>
      <c r="G25" s="13" t="n">
        <v>6.6</v>
      </c>
    </row>
    <row r="26" customFormat="false" ht="15" hidden="false" customHeight="false" outlineLevel="0" collapsed="false">
      <c r="A26" s="19" t="s">
        <v>30</v>
      </c>
      <c r="B26" s="19" t="s">
        <v>166</v>
      </c>
      <c r="C26" s="16" t="s">
        <v>702</v>
      </c>
      <c r="D26" s="20" t="s">
        <v>675</v>
      </c>
      <c r="E26" s="16" t="s">
        <v>700</v>
      </c>
      <c r="F26" s="20" t="s">
        <v>22</v>
      </c>
      <c r="G26" s="18" t="n">
        <v>6.6</v>
      </c>
    </row>
    <row r="27" customFormat="false" ht="15" hidden="false" customHeight="false" outlineLevel="0" collapsed="false">
      <c r="A27" s="14" t="s">
        <v>30</v>
      </c>
      <c r="B27" s="14" t="s">
        <v>166</v>
      </c>
      <c r="C27" s="11" t="s">
        <v>703</v>
      </c>
      <c r="D27" s="15" t="s">
        <v>675</v>
      </c>
      <c r="E27" s="11" t="s">
        <v>704</v>
      </c>
      <c r="F27" s="15" t="s">
        <v>22</v>
      </c>
      <c r="G27" s="13" t="n">
        <v>6.6</v>
      </c>
    </row>
    <row r="28" customFormat="false" ht="15" hidden="false" customHeight="false" outlineLevel="0" collapsed="false">
      <c r="A28" s="19" t="s">
        <v>31</v>
      </c>
      <c r="B28" s="19"/>
      <c r="C28" s="16" t="s">
        <v>28</v>
      </c>
      <c r="D28" s="20" t="s">
        <v>134</v>
      </c>
      <c r="E28" s="16"/>
      <c r="F28" s="16" t="s">
        <v>28</v>
      </c>
      <c r="G28" s="18" t="n">
        <v>6.6</v>
      </c>
    </row>
    <row r="29" customFormat="false" ht="15" hidden="false" customHeight="false" outlineLevel="0" collapsed="false">
      <c r="A29" s="14" t="s">
        <v>32</v>
      </c>
      <c r="B29" s="14" t="s">
        <v>173</v>
      </c>
      <c r="C29" s="11" t="s">
        <v>28</v>
      </c>
      <c r="D29" s="15" t="s">
        <v>134</v>
      </c>
      <c r="E29" s="11"/>
      <c r="F29" s="15" t="s">
        <v>22</v>
      </c>
      <c r="G29" s="13" t="n">
        <v>6.5</v>
      </c>
    </row>
    <row r="30" customFormat="false" ht="15" hidden="false" customHeight="false" outlineLevel="0" collapsed="false">
      <c r="A30" s="19" t="s">
        <v>33</v>
      </c>
      <c r="B30" s="19"/>
      <c r="C30" s="16" t="s">
        <v>28</v>
      </c>
      <c r="D30" s="20" t="s">
        <v>134</v>
      </c>
      <c r="E30" s="16"/>
      <c r="F30" s="16" t="s">
        <v>28</v>
      </c>
      <c r="G30" s="18" t="n">
        <v>6.3</v>
      </c>
    </row>
    <row r="31" customFormat="false" ht="15" hidden="false" customHeight="false" outlineLevel="0" collapsed="false">
      <c r="A31" s="14" t="s">
        <v>34</v>
      </c>
      <c r="B31" s="14"/>
      <c r="C31" s="11" t="s">
        <v>28</v>
      </c>
      <c r="D31" s="15" t="s">
        <v>134</v>
      </c>
      <c r="E31" s="11"/>
      <c r="F31" s="15" t="s">
        <v>22</v>
      </c>
      <c r="G31" s="13" t="n">
        <v>6.3</v>
      </c>
    </row>
    <row r="32" customFormat="false" ht="15" hidden="false" customHeight="false" outlineLevel="0" collapsed="false">
      <c r="A32" s="19" t="s">
        <v>180</v>
      </c>
      <c r="B32" s="19" t="s">
        <v>185</v>
      </c>
      <c r="C32" s="16" t="s">
        <v>705</v>
      </c>
      <c r="D32" s="20" t="s">
        <v>675</v>
      </c>
      <c r="E32" s="16" t="s">
        <v>706</v>
      </c>
      <c r="F32" s="20" t="s">
        <v>22</v>
      </c>
      <c r="G32" s="18" t="n">
        <v>6.2</v>
      </c>
    </row>
    <row r="33" customFormat="false" ht="15" hidden="false" customHeight="false" outlineLevel="0" collapsed="false">
      <c r="A33" s="14" t="s">
        <v>180</v>
      </c>
      <c r="B33" s="14" t="s">
        <v>185</v>
      </c>
      <c r="C33" s="11" t="s">
        <v>707</v>
      </c>
      <c r="D33" s="15" t="s">
        <v>675</v>
      </c>
      <c r="E33" s="11" t="s">
        <v>708</v>
      </c>
      <c r="F33" s="15" t="s">
        <v>22</v>
      </c>
      <c r="G33" s="13" t="n">
        <v>6.2</v>
      </c>
    </row>
    <row r="34" customFormat="false" ht="15" hidden="false" customHeight="false" outlineLevel="0" collapsed="false">
      <c r="A34" s="19" t="s">
        <v>187</v>
      </c>
      <c r="B34" s="19" t="s">
        <v>192</v>
      </c>
      <c r="C34" s="16" t="s">
        <v>709</v>
      </c>
      <c r="D34" s="20" t="s">
        <v>675</v>
      </c>
      <c r="E34" s="16" t="s">
        <v>710</v>
      </c>
      <c r="F34" s="20" t="s">
        <v>22</v>
      </c>
      <c r="G34" s="18" t="n">
        <v>6.2</v>
      </c>
    </row>
    <row r="35" customFormat="false" ht="15" hidden="false" customHeight="false" outlineLevel="0" collapsed="false">
      <c r="A35" s="14" t="s">
        <v>187</v>
      </c>
      <c r="B35" s="14" t="s">
        <v>192</v>
      </c>
      <c r="C35" s="11" t="s">
        <v>711</v>
      </c>
      <c r="D35" s="15" t="s">
        <v>675</v>
      </c>
      <c r="E35" s="11" t="s">
        <v>712</v>
      </c>
      <c r="F35" s="15" t="s">
        <v>22</v>
      </c>
      <c r="G35" s="13" t="n">
        <v>6.2</v>
      </c>
    </row>
    <row r="36" customFormat="false" ht="15" hidden="false" customHeight="false" outlineLevel="0" collapsed="false">
      <c r="A36" s="19" t="s">
        <v>187</v>
      </c>
      <c r="B36" s="19" t="s">
        <v>192</v>
      </c>
      <c r="C36" s="16" t="s">
        <v>713</v>
      </c>
      <c r="D36" s="20" t="s">
        <v>675</v>
      </c>
      <c r="E36" s="16" t="s">
        <v>712</v>
      </c>
      <c r="F36" s="20" t="s">
        <v>22</v>
      </c>
      <c r="G36" s="18" t="n">
        <v>6.2</v>
      </c>
    </row>
    <row r="37" customFormat="false" ht="15" hidden="false" customHeight="false" outlineLevel="0" collapsed="false">
      <c r="A37" s="14" t="s">
        <v>194</v>
      </c>
      <c r="B37" s="14"/>
      <c r="C37" s="11" t="s">
        <v>28</v>
      </c>
      <c r="D37" s="15" t="s">
        <v>134</v>
      </c>
      <c r="E37" s="11"/>
      <c r="F37" s="15" t="s">
        <v>22</v>
      </c>
      <c r="G37" s="13" t="n">
        <v>6.1</v>
      </c>
    </row>
    <row r="38" customFormat="false" ht="15" hidden="false" customHeight="false" outlineLevel="0" collapsed="false">
      <c r="A38" s="19" t="s">
        <v>197</v>
      </c>
      <c r="B38" s="19" t="s">
        <v>201</v>
      </c>
      <c r="C38" s="16" t="s">
        <v>714</v>
      </c>
      <c r="D38" s="20" t="s">
        <v>675</v>
      </c>
      <c r="E38" s="16" t="s">
        <v>715</v>
      </c>
      <c r="F38" s="20" t="s">
        <v>22</v>
      </c>
      <c r="G38" s="18" t="n">
        <v>6.1</v>
      </c>
    </row>
    <row r="39" customFormat="false" ht="15" hidden="false" customHeight="false" outlineLevel="0" collapsed="false">
      <c r="A39" s="14" t="s">
        <v>203</v>
      </c>
      <c r="B39" s="14"/>
      <c r="C39" s="11" t="s">
        <v>28</v>
      </c>
      <c r="D39" s="15" t="s">
        <v>134</v>
      </c>
      <c r="E39" s="11"/>
      <c r="F39" s="15" t="s">
        <v>22</v>
      </c>
      <c r="G39" s="13" t="n">
        <v>6.1</v>
      </c>
    </row>
    <row r="40" customFormat="false" ht="15" hidden="false" customHeight="false" outlineLevel="0" collapsed="false">
      <c r="A40" s="19" t="s">
        <v>207</v>
      </c>
      <c r="B40" s="19"/>
      <c r="C40" s="16" t="s">
        <v>28</v>
      </c>
      <c r="D40" s="20" t="s">
        <v>134</v>
      </c>
      <c r="E40" s="16"/>
      <c r="F40" s="16" t="s">
        <v>28</v>
      </c>
      <c r="G40" s="18" t="n">
        <v>6</v>
      </c>
    </row>
    <row r="41" customFormat="false" ht="15" hidden="false" customHeight="false" outlineLevel="0" collapsed="false">
      <c r="A41" s="14" t="s">
        <v>215</v>
      </c>
      <c r="B41" s="14"/>
      <c r="C41" s="11" t="s">
        <v>28</v>
      </c>
      <c r="D41" s="15" t="s">
        <v>134</v>
      </c>
      <c r="E41" s="11"/>
      <c r="F41" s="15" t="s">
        <v>22</v>
      </c>
      <c r="G41" s="13" t="n">
        <v>5.9</v>
      </c>
    </row>
    <row r="42" customFormat="false" ht="15" hidden="false" customHeight="false" outlineLevel="0" collapsed="false">
      <c r="A42" s="19" t="s">
        <v>220</v>
      </c>
      <c r="B42" s="19"/>
      <c r="C42" s="16" t="s">
        <v>28</v>
      </c>
      <c r="D42" s="20" t="s">
        <v>134</v>
      </c>
      <c r="E42" s="16"/>
      <c r="F42" s="20" t="s">
        <v>22</v>
      </c>
      <c r="G42" s="18" t="n">
        <v>5.9</v>
      </c>
    </row>
    <row r="43" customFormat="false" ht="15" hidden="false" customHeight="false" outlineLevel="0" collapsed="false">
      <c r="A43" s="14" t="s">
        <v>223</v>
      </c>
      <c r="B43" s="14"/>
      <c r="C43" s="11" t="s">
        <v>28</v>
      </c>
      <c r="D43" s="15" t="s">
        <v>134</v>
      </c>
      <c r="E43" s="11"/>
      <c r="F43" s="15" t="s">
        <v>22</v>
      </c>
      <c r="G43" s="13" t="n">
        <v>5.9</v>
      </c>
    </row>
    <row r="44" customFormat="false" ht="15" hidden="false" customHeight="false" outlineLevel="0" collapsed="false">
      <c r="A44" s="19" t="s">
        <v>226</v>
      </c>
      <c r="B44" s="19"/>
      <c r="C44" s="16" t="s">
        <v>28</v>
      </c>
      <c r="D44" s="20" t="s">
        <v>134</v>
      </c>
      <c r="E44" s="16"/>
      <c r="F44" s="20" t="s">
        <v>22</v>
      </c>
      <c r="G44" s="18" t="n">
        <v>5.9</v>
      </c>
    </row>
    <row r="45" customFormat="false" ht="15" hidden="false" customHeight="false" outlineLevel="0" collapsed="false">
      <c r="A45" s="14" t="s">
        <v>230</v>
      </c>
      <c r="B45" s="14"/>
      <c r="C45" s="11" t="s">
        <v>28</v>
      </c>
      <c r="D45" s="15" t="s">
        <v>134</v>
      </c>
      <c r="E45" s="11"/>
      <c r="F45" s="11" t="s">
        <v>28</v>
      </c>
      <c r="G45" s="13" t="n">
        <v>5.8</v>
      </c>
    </row>
    <row r="46" customFormat="false" ht="15" hidden="false" customHeight="false" outlineLevel="0" collapsed="false">
      <c r="A46" s="19" t="s">
        <v>234</v>
      </c>
      <c r="B46" s="19" t="s">
        <v>238</v>
      </c>
      <c r="C46" s="16" t="s">
        <v>716</v>
      </c>
      <c r="D46" s="20" t="s">
        <v>675</v>
      </c>
      <c r="E46" s="16" t="s">
        <v>717</v>
      </c>
      <c r="F46" s="20" t="s">
        <v>22</v>
      </c>
      <c r="G46" s="18" t="n">
        <v>5.8</v>
      </c>
    </row>
    <row r="47" customFormat="false" ht="15" hidden="false" customHeight="false" outlineLevel="0" collapsed="false">
      <c r="A47" s="14" t="s">
        <v>234</v>
      </c>
      <c r="B47" s="14" t="s">
        <v>238</v>
      </c>
      <c r="C47" s="11" t="s">
        <v>718</v>
      </c>
      <c r="D47" s="15" t="s">
        <v>675</v>
      </c>
      <c r="E47" s="11" t="s">
        <v>717</v>
      </c>
      <c r="F47" s="15" t="s">
        <v>22</v>
      </c>
      <c r="G47" s="13" t="n">
        <v>5.8</v>
      </c>
    </row>
    <row r="48" customFormat="false" ht="15" hidden="false" customHeight="false" outlineLevel="0" collapsed="false">
      <c r="A48" s="19" t="s">
        <v>234</v>
      </c>
      <c r="B48" s="19" t="s">
        <v>238</v>
      </c>
      <c r="C48" s="16" t="s">
        <v>719</v>
      </c>
      <c r="D48" s="20" t="s">
        <v>675</v>
      </c>
      <c r="E48" s="16" t="s">
        <v>696</v>
      </c>
      <c r="F48" s="20" t="s">
        <v>22</v>
      </c>
      <c r="G48" s="18" t="n">
        <v>5.8</v>
      </c>
    </row>
    <row r="49" customFormat="false" ht="15" hidden="false" customHeight="false" outlineLevel="0" collapsed="false">
      <c r="A49" s="14" t="s">
        <v>240</v>
      </c>
      <c r="B49" s="14" t="s">
        <v>244</v>
      </c>
      <c r="C49" s="11" t="s">
        <v>720</v>
      </c>
      <c r="D49" s="15" t="s">
        <v>675</v>
      </c>
      <c r="E49" s="11" t="s">
        <v>721</v>
      </c>
      <c r="F49" s="15" t="s">
        <v>22</v>
      </c>
      <c r="G49" s="13" t="n">
        <v>5.8</v>
      </c>
    </row>
    <row r="50" customFormat="false" ht="15" hidden="false" customHeight="false" outlineLevel="0" collapsed="false">
      <c r="A50" s="19" t="s">
        <v>240</v>
      </c>
      <c r="B50" s="19" t="s">
        <v>244</v>
      </c>
      <c r="C50" s="16" t="s">
        <v>722</v>
      </c>
      <c r="D50" s="20" t="s">
        <v>675</v>
      </c>
      <c r="E50" s="16" t="s">
        <v>721</v>
      </c>
      <c r="F50" s="20" t="s">
        <v>22</v>
      </c>
      <c r="G50" s="18" t="n">
        <v>5.8</v>
      </c>
    </row>
    <row r="51" customFormat="false" ht="15" hidden="false" customHeight="false" outlineLevel="0" collapsed="false">
      <c r="A51" s="14" t="s">
        <v>240</v>
      </c>
      <c r="B51" s="14" t="s">
        <v>244</v>
      </c>
      <c r="C51" s="11" t="s">
        <v>723</v>
      </c>
      <c r="D51" s="15" t="s">
        <v>675</v>
      </c>
      <c r="E51" s="11" t="s">
        <v>721</v>
      </c>
      <c r="F51" s="15" t="s">
        <v>22</v>
      </c>
      <c r="G51" s="13" t="n">
        <v>5.8</v>
      </c>
    </row>
    <row r="52" customFormat="false" ht="15" hidden="false" customHeight="false" outlineLevel="0" collapsed="false">
      <c r="A52" s="19" t="s">
        <v>246</v>
      </c>
      <c r="B52" s="19"/>
      <c r="C52" s="16" t="s">
        <v>28</v>
      </c>
      <c r="D52" s="20" t="s">
        <v>134</v>
      </c>
      <c r="E52" s="16"/>
      <c r="F52" s="20" t="s">
        <v>22</v>
      </c>
      <c r="G52" s="18" t="n">
        <v>5.8</v>
      </c>
    </row>
    <row r="53" customFormat="false" ht="15" hidden="false" customHeight="false" outlineLevel="0" collapsed="false">
      <c r="A53" s="14" t="s">
        <v>250</v>
      </c>
      <c r="B53" s="14"/>
      <c r="C53" s="11" t="s">
        <v>28</v>
      </c>
      <c r="D53" s="15" t="s">
        <v>134</v>
      </c>
      <c r="E53" s="11"/>
      <c r="F53" s="11" t="s">
        <v>28</v>
      </c>
      <c r="G53" s="13" t="n">
        <v>5.7</v>
      </c>
    </row>
    <row r="54" customFormat="false" ht="15" hidden="false" customHeight="false" outlineLevel="0" collapsed="false">
      <c r="A54" s="19" t="s">
        <v>254</v>
      </c>
      <c r="B54" s="19"/>
      <c r="C54" s="16" t="s">
        <v>28</v>
      </c>
      <c r="D54" s="20" t="s">
        <v>134</v>
      </c>
      <c r="E54" s="16"/>
      <c r="F54" s="20" t="s">
        <v>22</v>
      </c>
      <c r="G54" s="18" t="n">
        <v>5.7</v>
      </c>
    </row>
    <row r="55" customFormat="false" ht="15" hidden="false" customHeight="false" outlineLevel="0" collapsed="false">
      <c r="A55" s="14" t="s">
        <v>257</v>
      </c>
      <c r="B55" s="14"/>
      <c r="C55" s="11" t="s">
        <v>28</v>
      </c>
      <c r="D55" s="15" t="s">
        <v>134</v>
      </c>
      <c r="E55" s="11"/>
      <c r="F55" s="11" t="s">
        <v>28</v>
      </c>
      <c r="G55" s="13" t="n">
        <v>5.6</v>
      </c>
    </row>
    <row r="56" customFormat="false" ht="15" hidden="false" customHeight="false" outlineLevel="0" collapsed="false">
      <c r="A56" s="19" t="s">
        <v>260</v>
      </c>
      <c r="B56" s="19" t="s">
        <v>263</v>
      </c>
      <c r="C56" s="16" t="s">
        <v>724</v>
      </c>
      <c r="D56" s="20" t="s">
        <v>675</v>
      </c>
      <c r="E56" s="16" t="s">
        <v>691</v>
      </c>
      <c r="F56" s="20" t="s">
        <v>22</v>
      </c>
      <c r="G56" s="18" t="n">
        <v>5.4</v>
      </c>
    </row>
    <row r="57" customFormat="false" ht="15" hidden="false" customHeight="false" outlineLevel="0" collapsed="false">
      <c r="A57" s="14" t="s">
        <v>260</v>
      </c>
      <c r="B57" s="14" t="s">
        <v>263</v>
      </c>
      <c r="C57" s="11" t="s">
        <v>725</v>
      </c>
      <c r="D57" s="15" t="s">
        <v>675</v>
      </c>
      <c r="E57" s="11" t="s">
        <v>691</v>
      </c>
      <c r="F57" s="15" t="s">
        <v>22</v>
      </c>
      <c r="G57" s="13" t="n">
        <v>5.4</v>
      </c>
    </row>
    <row r="58" customFormat="false" ht="15" hidden="false" customHeight="false" outlineLevel="0" collapsed="false">
      <c r="A58" s="19" t="s">
        <v>265</v>
      </c>
      <c r="B58" s="19"/>
      <c r="C58" s="16" t="s">
        <v>28</v>
      </c>
      <c r="D58" s="20" t="s">
        <v>134</v>
      </c>
      <c r="E58" s="16"/>
      <c r="F58" s="20" t="s">
        <v>22</v>
      </c>
      <c r="G58" s="18" t="n">
        <v>5.4</v>
      </c>
    </row>
    <row r="59" customFormat="false" ht="15" hidden="false" customHeight="false" outlineLevel="0" collapsed="false">
      <c r="A59" s="14" t="s">
        <v>268</v>
      </c>
      <c r="B59" s="14" t="s">
        <v>270</v>
      </c>
      <c r="C59" s="11" t="s">
        <v>726</v>
      </c>
      <c r="D59" s="15" t="s">
        <v>675</v>
      </c>
      <c r="E59" s="11" t="s">
        <v>727</v>
      </c>
      <c r="F59" s="15" t="s">
        <v>22</v>
      </c>
      <c r="G59" s="13" t="n">
        <v>5.3</v>
      </c>
    </row>
    <row r="60" customFormat="false" ht="15" hidden="false" customHeight="false" outlineLevel="0" collapsed="false">
      <c r="A60" s="19" t="s">
        <v>272</v>
      </c>
      <c r="B60" s="19"/>
      <c r="C60" s="16" t="s">
        <v>28</v>
      </c>
      <c r="D60" s="20" t="s">
        <v>134</v>
      </c>
      <c r="E60" s="16"/>
      <c r="F60" s="16" t="s">
        <v>28</v>
      </c>
      <c r="G60" s="18" t="n">
        <v>5.3</v>
      </c>
    </row>
    <row r="61" customFormat="false" ht="15" hidden="false" customHeight="false" outlineLevel="0" collapsed="false">
      <c r="A61" s="14" t="s">
        <v>279</v>
      </c>
      <c r="B61" s="14"/>
      <c r="C61" s="11" t="s">
        <v>28</v>
      </c>
      <c r="D61" s="15" t="s">
        <v>134</v>
      </c>
      <c r="E61" s="11"/>
      <c r="F61" s="11" t="s">
        <v>28</v>
      </c>
      <c r="G61" s="13" t="n">
        <v>5.3</v>
      </c>
    </row>
    <row r="62" customFormat="false" ht="15" hidden="false" customHeight="false" outlineLevel="0" collapsed="false">
      <c r="A62" s="19" t="s">
        <v>282</v>
      </c>
      <c r="B62" s="19"/>
      <c r="C62" s="16" t="s">
        <v>28</v>
      </c>
      <c r="D62" s="20" t="s">
        <v>134</v>
      </c>
      <c r="E62" s="16"/>
      <c r="F62" s="16" t="s">
        <v>28</v>
      </c>
      <c r="G62" s="18" t="n">
        <v>5.3</v>
      </c>
    </row>
    <row r="63" customFormat="false" ht="15" hidden="false" customHeight="false" outlineLevel="0" collapsed="false">
      <c r="A63" s="14" t="s">
        <v>285</v>
      </c>
      <c r="B63" s="14"/>
      <c r="C63" s="11" t="s">
        <v>28</v>
      </c>
      <c r="D63" s="15" t="s">
        <v>134</v>
      </c>
      <c r="E63" s="11"/>
      <c r="F63" s="11" t="s">
        <v>28</v>
      </c>
      <c r="G63" s="13" t="n">
        <v>5.3</v>
      </c>
    </row>
    <row r="64" customFormat="false" ht="15" hidden="false" customHeight="false" outlineLevel="0" collapsed="false">
      <c r="A64" s="19" t="s">
        <v>288</v>
      </c>
      <c r="B64" s="19" t="s">
        <v>290</v>
      </c>
      <c r="C64" s="16" t="s">
        <v>728</v>
      </c>
      <c r="D64" s="20" t="s">
        <v>675</v>
      </c>
      <c r="E64" s="16" t="s">
        <v>704</v>
      </c>
      <c r="F64" s="20" t="s">
        <v>22</v>
      </c>
      <c r="G64" s="18" t="n">
        <v>5.3</v>
      </c>
    </row>
    <row r="65" customFormat="false" ht="15" hidden="false" customHeight="false" outlineLevel="0" collapsed="false">
      <c r="A65" s="14" t="s">
        <v>288</v>
      </c>
      <c r="B65" s="14" t="s">
        <v>290</v>
      </c>
      <c r="C65" s="11" t="s">
        <v>729</v>
      </c>
      <c r="D65" s="15" t="s">
        <v>675</v>
      </c>
      <c r="E65" s="11" t="s">
        <v>730</v>
      </c>
      <c r="F65" s="15" t="s">
        <v>22</v>
      </c>
      <c r="G65" s="13" t="n">
        <v>5.3</v>
      </c>
    </row>
    <row r="66" customFormat="false" ht="15" hidden="false" customHeight="false" outlineLevel="0" collapsed="false">
      <c r="A66" s="19" t="s">
        <v>292</v>
      </c>
      <c r="B66" s="19"/>
      <c r="C66" s="16" t="s">
        <v>28</v>
      </c>
      <c r="D66" s="20" t="s">
        <v>134</v>
      </c>
      <c r="E66" s="16"/>
      <c r="F66" s="16" t="s">
        <v>28</v>
      </c>
      <c r="G66" s="18" t="n">
        <v>5.2</v>
      </c>
    </row>
    <row r="67" customFormat="false" ht="15" hidden="false" customHeight="false" outlineLevel="0" collapsed="false">
      <c r="A67" s="14" t="s">
        <v>295</v>
      </c>
      <c r="B67" s="14"/>
      <c r="C67" s="11" t="s">
        <v>28</v>
      </c>
      <c r="D67" s="15" t="s">
        <v>134</v>
      </c>
      <c r="E67" s="11"/>
      <c r="F67" s="11" t="s">
        <v>28</v>
      </c>
      <c r="G67" s="13" t="n">
        <v>5.1</v>
      </c>
    </row>
    <row r="68" customFormat="false" ht="15" hidden="false" customHeight="false" outlineLevel="0" collapsed="false">
      <c r="A68" s="19" t="s">
        <v>301</v>
      </c>
      <c r="B68" s="19"/>
      <c r="C68" s="16" t="s">
        <v>28</v>
      </c>
      <c r="D68" s="20" t="s">
        <v>134</v>
      </c>
      <c r="E68" s="16"/>
      <c r="F68" s="16" t="s">
        <v>28</v>
      </c>
      <c r="G68" s="18" t="n">
        <v>5.1</v>
      </c>
    </row>
    <row r="69" customFormat="false" ht="15" hidden="false" customHeight="false" outlineLevel="0" collapsed="false">
      <c r="A69" s="14" t="s">
        <v>304</v>
      </c>
      <c r="B69" s="14"/>
      <c r="C69" s="11" t="s">
        <v>28</v>
      </c>
      <c r="D69" s="15" t="s">
        <v>134</v>
      </c>
      <c r="E69" s="11"/>
      <c r="F69" s="11" t="s">
        <v>28</v>
      </c>
      <c r="G69" s="13" t="n">
        <v>4.9</v>
      </c>
    </row>
    <row r="70" customFormat="false" ht="15" hidden="false" customHeight="false" outlineLevel="0" collapsed="false">
      <c r="A70" s="19" t="s">
        <v>309</v>
      </c>
      <c r="B70" s="19"/>
      <c r="C70" s="16" t="s">
        <v>28</v>
      </c>
      <c r="D70" s="20" t="s">
        <v>134</v>
      </c>
      <c r="E70" s="16"/>
      <c r="F70" s="20" t="s">
        <v>22</v>
      </c>
      <c r="G70" s="18" t="n">
        <v>4.9</v>
      </c>
    </row>
    <row r="71" customFormat="false" ht="15" hidden="false" customHeight="false" outlineLevel="0" collapsed="false">
      <c r="A71" s="14" t="s">
        <v>313</v>
      </c>
      <c r="B71" s="14"/>
      <c r="C71" s="11" t="s">
        <v>28</v>
      </c>
      <c r="D71" s="15" t="s">
        <v>134</v>
      </c>
      <c r="E71" s="11"/>
      <c r="F71" s="11" t="s">
        <v>28</v>
      </c>
      <c r="G71" s="13" t="n">
        <v>4.8</v>
      </c>
    </row>
    <row r="72" customFormat="false" ht="15" hidden="false" customHeight="false" outlineLevel="0" collapsed="false">
      <c r="A72" s="19" t="s">
        <v>320</v>
      </c>
      <c r="B72" s="19"/>
      <c r="C72" s="16" t="s">
        <v>28</v>
      </c>
      <c r="D72" s="20" t="s">
        <v>134</v>
      </c>
      <c r="E72" s="16"/>
      <c r="F72" s="16" t="s">
        <v>28</v>
      </c>
      <c r="G72" s="18" t="n">
        <v>4.8</v>
      </c>
    </row>
    <row r="73" customFormat="false" ht="15" hidden="false" customHeight="false" outlineLevel="0" collapsed="false">
      <c r="A73" s="14" t="s">
        <v>325</v>
      </c>
      <c r="B73" s="14"/>
      <c r="C73" s="11" t="s">
        <v>28</v>
      </c>
      <c r="D73" s="15" t="s">
        <v>134</v>
      </c>
      <c r="E73" s="11"/>
      <c r="F73" s="11" t="s">
        <v>28</v>
      </c>
      <c r="G73" s="13" t="n">
        <v>4.7</v>
      </c>
    </row>
    <row r="74" customFormat="false" ht="15" hidden="false" customHeight="false" outlineLevel="0" collapsed="false">
      <c r="A74" s="19" t="s">
        <v>329</v>
      </c>
      <c r="B74" s="19"/>
      <c r="C74" s="16" t="s">
        <v>28</v>
      </c>
      <c r="D74" s="20" t="s">
        <v>134</v>
      </c>
      <c r="E74" s="16"/>
      <c r="F74" s="16" t="s">
        <v>28</v>
      </c>
      <c r="G74" s="18" t="n">
        <v>4.5</v>
      </c>
    </row>
    <row r="75" customFormat="false" ht="15" hidden="false" customHeight="false" outlineLevel="0" collapsed="false">
      <c r="A75" s="14" t="s">
        <v>333</v>
      </c>
      <c r="B75" s="14" t="s">
        <v>336</v>
      </c>
      <c r="C75" s="11" t="s">
        <v>731</v>
      </c>
      <c r="D75" s="15" t="s">
        <v>675</v>
      </c>
      <c r="E75" s="11" t="s">
        <v>732</v>
      </c>
      <c r="F75" s="15" t="s">
        <v>22</v>
      </c>
      <c r="G75" s="13" t="n">
        <v>4.5</v>
      </c>
    </row>
    <row r="76" customFormat="false" ht="15" hidden="false" customHeight="false" outlineLevel="0" collapsed="false">
      <c r="A76" s="19" t="s">
        <v>333</v>
      </c>
      <c r="B76" s="19" t="s">
        <v>336</v>
      </c>
      <c r="C76" s="16" t="s">
        <v>733</v>
      </c>
      <c r="D76" s="20" t="s">
        <v>675</v>
      </c>
      <c r="E76" s="16" t="s">
        <v>732</v>
      </c>
      <c r="F76" s="20" t="s">
        <v>22</v>
      </c>
      <c r="G76" s="18" t="n">
        <v>4.5</v>
      </c>
    </row>
    <row r="77" customFormat="false" ht="15" hidden="false" customHeight="false" outlineLevel="0" collapsed="false">
      <c r="A77" s="14" t="s">
        <v>338</v>
      </c>
      <c r="B77" s="14"/>
      <c r="C77" s="11" t="s">
        <v>28</v>
      </c>
      <c r="D77" s="15" t="s">
        <v>134</v>
      </c>
      <c r="E77" s="11"/>
      <c r="F77" s="11" t="s">
        <v>28</v>
      </c>
      <c r="G77" s="13" t="n">
        <v>4.4</v>
      </c>
    </row>
    <row r="78" customFormat="false" ht="15" hidden="false" customHeight="false" outlineLevel="0" collapsed="false">
      <c r="A78" s="19" t="s">
        <v>342</v>
      </c>
      <c r="B78" s="19"/>
      <c r="C78" s="16" t="s">
        <v>28</v>
      </c>
      <c r="D78" s="20" t="s">
        <v>134</v>
      </c>
      <c r="E78" s="16"/>
      <c r="F78" s="20" t="s">
        <v>22</v>
      </c>
      <c r="G78" s="18" t="n">
        <v>4.4</v>
      </c>
    </row>
    <row r="79" customFormat="false" ht="15" hidden="false" customHeight="false" outlineLevel="0" collapsed="false">
      <c r="A79" s="14" t="s">
        <v>347</v>
      </c>
      <c r="B79" s="14" t="s">
        <v>349</v>
      </c>
      <c r="C79" s="11" t="s">
        <v>28</v>
      </c>
      <c r="D79" s="15" t="s">
        <v>134</v>
      </c>
      <c r="E79" s="11"/>
      <c r="F79" s="15" t="s">
        <v>22</v>
      </c>
      <c r="G79" s="13" t="n">
        <v>4.4</v>
      </c>
    </row>
    <row r="80" customFormat="false" ht="15" hidden="false" customHeight="false" outlineLevel="0" collapsed="false">
      <c r="A80" s="19" t="s">
        <v>351</v>
      </c>
      <c r="B80" s="19"/>
      <c r="C80" s="16" t="s">
        <v>28</v>
      </c>
      <c r="D80" s="20" t="s">
        <v>134</v>
      </c>
      <c r="E80" s="16"/>
      <c r="F80" s="16" t="s">
        <v>28</v>
      </c>
      <c r="G80" s="18" t="n">
        <v>4.3</v>
      </c>
    </row>
    <row r="81" customFormat="false" ht="15" hidden="false" customHeight="false" outlineLevel="0" collapsed="false">
      <c r="A81" s="14" t="s">
        <v>357</v>
      </c>
      <c r="B81" s="14"/>
      <c r="C81" s="11" t="s">
        <v>28</v>
      </c>
      <c r="D81" s="15" t="s">
        <v>134</v>
      </c>
      <c r="E81" s="11"/>
      <c r="F81" s="11" t="s">
        <v>28</v>
      </c>
      <c r="G81" s="13" t="n">
        <v>4.3</v>
      </c>
    </row>
    <row r="82" customFormat="false" ht="15" hidden="false" customHeight="false" outlineLevel="0" collapsed="false">
      <c r="A82" s="19" t="s">
        <v>362</v>
      </c>
      <c r="B82" s="19"/>
      <c r="C82" s="16" t="s">
        <v>28</v>
      </c>
      <c r="D82" s="20" t="s">
        <v>134</v>
      </c>
      <c r="E82" s="16"/>
      <c r="F82" s="16" t="s">
        <v>28</v>
      </c>
      <c r="G82" s="18" t="n">
        <v>4.2</v>
      </c>
    </row>
    <row r="83" customFormat="false" ht="15" hidden="false" customHeight="false" outlineLevel="0" collapsed="false">
      <c r="A83" s="14" t="s">
        <v>366</v>
      </c>
      <c r="B83" s="14"/>
      <c r="C83" s="11" t="s">
        <v>28</v>
      </c>
      <c r="D83" s="15" t="s">
        <v>134</v>
      </c>
      <c r="E83" s="11"/>
      <c r="F83" s="11" t="s">
        <v>28</v>
      </c>
      <c r="G83" s="13" t="n">
        <v>4.2</v>
      </c>
    </row>
    <row r="84" customFormat="false" ht="15" hidden="false" customHeight="false" outlineLevel="0" collapsed="false">
      <c r="A84" s="19" t="s">
        <v>370</v>
      </c>
      <c r="B84" s="19"/>
      <c r="C84" s="16" t="s">
        <v>28</v>
      </c>
      <c r="D84" s="20" t="s">
        <v>134</v>
      </c>
      <c r="E84" s="16"/>
      <c r="F84" s="16" t="s">
        <v>28</v>
      </c>
      <c r="G84" s="18" t="n">
        <v>4.2</v>
      </c>
    </row>
    <row r="85" customFormat="false" ht="15" hidden="false" customHeight="false" outlineLevel="0" collapsed="false">
      <c r="A85" s="14" t="s">
        <v>374</v>
      </c>
      <c r="B85" s="14"/>
      <c r="C85" s="11" t="s">
        <v>28</v>
      </c>
      <c r="D85" s="15" t="s">
        <v>134</v>
      </c>
      <c r="E85" s="11"/>
      <c r="F85" s="11" t="s">
        <v>28</v>
      </c>
      <c r="G85" s="13" t="n">
        <v>4.2</v>
      </c>
    </row>
    <row r="86" customFormat="false" ht="15" hidden="false" customHeight="false" outlineLevel="0" collapsed="false">
      <c r="A86" s="19" t="s">
        <v>379</v>
      </c>
      <c r="B86" s="19"/>
      <c r="C86" s="16" t="s">
        <v>28</v>
      </c>
      <c r="D86" s="20" t="s">
        <v>134</v>
      </c>
      <c r="E86" s="16"/>
      <c r="F86" s="20" t="s">
        <v>22</v>
      </c>
      <c r="G86" s="18" t="n">
        <v>4.2</v>
      </c>
    </row>
    <row r="87" customFormat="false" ht="15" hidden="false" customHeight="false" outlineLevel="0" collapsed="false">
      <c r="A87" s="14" t="s">
        <v>383</v>
      </c>
      <c r="B87" s="14"/>
      <c r="C87" s="11" t="s">
        <v>28</v>
      </c>
      <c r="D87" s="15" t="s">
        <v>134</v>
      </c>
      <c r="E87" s="11"/>
      <c r="F87" s="11" t="s">
        <v>28</v>
      </c>
      <c r="G87" s="13" t="n">
        <v>4.1</v>
      </c>
    </row>
    <row r="88" customFormat="false" ht="15" hidden="false" customHeight="false" outlineLevel="0" collapsed="false">
      <c r="A88" s="19" t="s">
        <v>387</v>
      </c>
      <c r="B88" s="19"/>
      <c r="C88" s="16" t="s">
        <v>28</v>
      </c>
      <c r="D88" s="20" t="s">
        <v>134</v>
      </c>
      <c r="E88" s="16"/>
      <c r="F88" s="16" t="s">
        <v>28</v>
      </c>
      <c r="G88" s="18" t="n">
        <v>4.1</v>
      </c>
    </row>
    <row r="89" customFormat="false" ht="15" hidden="false" customHeight="false" outlineLevel="0" collapsed="false">
      <c r="A89" s="14" t="s">
        <v>391</v>
      </c>
      <c r="B89" s="14"/>
      <c r="C89" s="11" t="s">
        <v>28</v>
      </c>
      <c r="D89" s="15" t="s">
        <v>134</v>
      </c>
      <c r="E89" s="11"/>
      <c r="F89" s="11" t="s">
        <v>28</v>
      </c>
      <c r="G89" s="13" t="n">
        <v>4.1</v>
      </c>
    </row>
    <row r="90" customFormat="false" ht="15" hidden="false" customHeight="false" outlineLevel="0" collapsed="false">
      <c r="A90" s="19" t="s">
        <v>395</v>
      </c>
      <c r="B90" s="19"/>
      <c r="C90" s="16" t="s">
        <v>28</v>
      </c>
      <c r="D90" s="20" t="s">
        <v>134</v>
      </c>
      <c r="E90" s="16"/>
      <c r="F90" s="16" t="s">
        <v>28</v>
      </c>
      <c r="G90" s="18" t="n">
        <v>4.1</v>
      </c>
    </row>
    <row r="91" customFormat="false" ht="15" hidden="false" customHeight="false" outlineLevel="0" collapsed="false">
      <c r="A91" s="14" t="s">
        <v>399</v>
      </c>
      <c r="B91" s="14"/>
      <c r="C91" s="11" t="s">
        <v>28</v>
      </c>
      <c r="D91" s="15" t="s">
        <v>134</v>
      </c>
      <c r="E91" s="11"/>
      <c r="F91" s="15" t="s">
        <v>22</v>
      </c>
      <c r="G91" s="13" t="n">
        <v>4.1</v>
      </c>
    </row>
    <row r="92" customFormat="false" ht="15" hidden="false" customHeight="false" outlineLevel="0" collapsed="false">
      <c r="A92" s="19" t="s">
        <v>403</v>
      </c>
      <c r="B92" s="19"/>
      <c r="C92" s="16" t="s">
        <v>28</v>
      </c>
      <c r="D92" s="20" t="s">
        <v>134</v>
      </c>
      <c r="E92" s="16"/>
      <c r="F92" s="16" t="s">
        <v>28</v>
      </c>
      <c r="G92" s="18" t="n">
        <v>4</v>
      </c>
    </row>
    <row r="93" customFormat="false" ht="15" hidden="false" customHeight="false" outlineLevel="0" collapsed="false">
      <c r="A93" s="14" t="s">
        <v>407</v>
      </c>
      <c r="B93" s="14"/>
      <c r="C93" s="11" t="s">
        <v>28</v>
      </c>
      <c r="D93" s="15" t="s">
        <v>134</v>
      </c>
      <c r="E93" s="11"/>
      <c r="F93" s="15" t="s">
        <v>22</v>
      </c>
      <c r="G93" s="13" t="n">
        <v>3.9</v>
      </c>
    </row>
    <row r="94" customFormat="false" ht="15" hidden="false" customHeight="false" outlineLevel="0" collapsed="false">
      <c r="A94" s="19" t="s">
        <v>411</v>
      </c>
      <c r="B94" s="19"/>
      <c r="C94" s="16" t="s">
        <v>28</v>
      </c>
      <c r="D94" s="20" t="s">
        <v>134</v>
      </c>
      <c r="E94" s="16"/>
      <c r="F94" s="16" t="s">
        <v>28</v>
      </c>
      <c r="G94" s="18" t="n">
        <v>3.9</v>
      </c>
    </row>
    <row r="95" customFormat="false" ht="15" hidden="false" customHeight="false" outlineLevel="0" collapsed="false">
      <c r="A95" s="14" t="s">
        <v>416</v>
      </c>
      <c r="B95" s="14"/>
      <c r="C95" s="11" t="s">
        <v>28</v>
      </c>
      <c r="D95" s="15" t="s">
        <v>134</v>
      </c>
      <c r="E95" s="11"/>
      <c r="F95" s="11" t="s">
        <v>28</v>
      </c>
      <c r="G95" s="13" t="n">
        <v>3.9</v>
      </c>
    </row>
    <row r="96" customFormat="false" ht="15" hidden="false" customHeight="false" outlineLevel="0" collapsed="false">
      <c r="A96" s="19" t="s">
        <v>419</v>
      </c>
      <c r="B96" s="19"/>
      <c r="C96" s="16" t="s">
        <v>28</v>
      </c>
      <c r="D96" s="20" t="s">
        <v>134</v>
      </c>
      <c r="E96" s="16"/>
      <c r="F96" s="16" t="s">
        <v>28</v>
      </c>
      <c r="G96" s="18" t="n">
        <v>3.9</v>
      </c>
    </row>
    <row r="97" customFormat="false" ht="15" hidden="false" customHeight="false" outlineLevel="0" collapsed="false">
      <c r="A97" s="14" t="s">
        <v>423</v>
      </c>
      <c r="B97" s="14"/>
      <c r="C97" s="11" t="s">
        <v>28</v>
      </c>
      <c r="D97" s="15" t="s">
        <v>134</v>
      </c>
      <c r="E97" s="11"/>
      <c r="F97" s="11" t="s">
        <v>28</v>
      </c>
      <c r="G97" s="13" t="n">
        <v>3.9</v>
      </c>
    </row>
    <row r="98" customFormat="false" ht="15" hidden="false" customHeight="false" outlineLevel="0" collapsed="false">
      <c r="A98" s="19" t="s">
        <v>428</v>
      </c>
      <c r="B98" s="19"/>
      <c r="C98" s="16" t="s">
        <v>28</v>
      </c>
      <c r="D98" s="20" t="s">
        <v>134</v>
      </c>
      <c r="E98" s="16"/>
      <c r="F98" s="16" t="s">
        <v>28</v>
      </c>
      <c r="G98" s="18" t="n">
        <v>3.9</v>
      </c>
    </row>
    <row r="99" customFormat="false" ht="15" hidden="false" customHeight="false" outlineLevel="0" collapsed="false">
      <c r="A99" s="14" t="s">
        <v>433</v>
      </c>
      <c r="B99" s="14"/>
      <c r="C99" s="11" t="s">
        <v>28</v>
      </c>
      <c r="D99" s="15" t="s">
        <v>134</v>
      </c>
      <c r="E99" s="11"/>
      <c r="F99" s="15" t="s">
        <v>22</v>
      </c>
      <c r="G99" s="13" t="n">
        <v>3.9</v>
      </c>
    </row>
    <row r="100" customFormat="false" ht="15" hidden="false" customHeight="false" outlineLevel="0" collapsed="false">
      <c r="A100" s="19" t="s">
        <v>437</v>
      </c>
      <c r="B100" s="19"/>
      <c r="C100" s="16" t="s">
        <v>28</v>
      </c>
      <c r="D100" s="20" t="s">
        <v>134</v>
      </c>
      <c r="E100" s="16"/>
      <c r="F100" s="16" t="s">
        <v>28</v>
      </c>
      <c r="G100" s="18" t="n">
        <v>3.8</v>
      </c>
    </row>
    <row r="101" customFormat="false" ht="15" hidden="false" customHeight="false" outlineLevel="0" collapsed="false">
      <c r="A101" s="14" t="s">
        <v>441</v>
      </c>
      <c r="B101" s="14"/>
      <c r="C101" s="11" t="s">
        <v>28</v>
      </c>
      <c r="D101" s="15" t="s">
        <v>134</v>
      </c>
      <c r="E101" s="11"/>
      <c r="F101" s="11" t="s">
        <v>28</v>
      </c>
      <c r="G101" s="13" t="n">
        <v>3.8</v>
      </c>
    </row>
    <row r="102" customFormat="false" ht="15" hidden="false" customHeight="false" outlineLevel="0" collapsed="false">
      <c r="A102" s="19" t="s">
        <v>445</v>
      </c>
      <c r="B102" s="19"/>
      <c r="C102" s="16" t="s">
        <v>28</v>
      </c>
      <c r="D102" s="20" t="s">
        <v>134</v>
      </c>
      <c r="E102" s="16"/>
      <c r="F102" s="16" t="s">
        <v>28</v>
      </c>
      <c r="G102" s="18" t="n">
        <v>3.8</v>
      </c>
    </row>
    <row r="103" customFormat="false" ht="15" hidden="false" customHeight="false" outlineLevel="0" collapsed="false">
      <c r="A103" s="14" t="s">
        <v>449</v>
      </c>
      <c r="B103" s="14"/>
      <c r="C103" s="11" t="s">
        <v>28</v>
      </c>
      <c r="D103" s="15" t="s">
        <v>134</v>
      </c>
      <c r="E103" s="11"/>
      <c r="F103" s="15" t="s">
        <v>22</v>
      </c>
      <c r="G103" s="13" t="n">
        <v>3.8</v>
      </c>
    </row>
    <row r="104" customFormat="false" ht="15" hidden="false" customHeight="false" outlineLevel="0" collapsed="false">
      <c r="A104" s="19" t="s">
        <v>454</v>
      </c>
      <c r="B104" s="19"/>
      <c r="C104" s="16" t="s">
        <v>28</v>
      </c>
      <c r="D104" s="20" t="s">
        <v>134</v>
      </c>
      <c r="E104" s="16"/>
      <c r="F104" s="20" t="s">
        <v>22</v>
      </c>
      <c r="G104" s="18" t="n">
        <v>3.8</v>
      </c>
    </row>
    <row r="105" customFormat="false" ht="15" hidden="false" customHeight="false" outlineLevel="0" collapsed="false">
      <c r="A105" s="14" t="s">
        <v>459</v>
      </c>
      <c r="B105" s="14"/>
      <c r="C105" s="11" t="s">
        <v>28</v>
      </c>
      <c r="D105" s="15" t="s">
        <v>134</v>
      </c>
      <c r="E105" s="11"/>
      <c r="F105" s="15" t="s">
        <v>22</v>
      </c>
      <c r="G105" s="13" t="n">
        <v>3.8</v>
      </c>
    </row>
    <row r="106" customFormat="false" ht="15" hidden="false" customHeight="false" outlineLevel="0" collapsed="false">
      <c r="A106" s="19" t="s">
        <v>462</v>
      </c>
      <c r="B106" s="19"/>
      <c r="C106" s="16" t="s">
        <v>28</v>
      </c>
      <c r="D106" s="20" t="s">
        <v>134</v>
      </c>
      <c r="E106" s="16"/>
      <c r="F106" s="20" t="s">
        <v>22</v>
      </c>
      <c r="G106" s="18" t="n">
        <v>3.7</v>
      </c>
    </row>
    <row r="107" customFormat="false" ht="15" hidden="false" customHeight="false" outlineLevel="0" collapsed="false">
      <c r="A107" s="14" t="s">
        <v>466</v>
      </c>
      <c r="B107" s="14"/>
      <c r="C107" s="11" t="s">
        <v>28</v>
      </c>
      <c r="D107" s="15" t="s">
        <v>134</v>
      </c>
      <c r="E107" s="11"/>
      <c r="F107" s="11" t="s">
        <v>28</v>
      </c>
      <c r="G107" s="13" t="n">
        <v>3.7</v>
      </c>
    </row>
    <row r="108" customFormat="false" ht="15" hidden="false" customHeight="false" outlineLevel="0" collapsed="false">
      <c r="A108" s="19" t="s">
        <v>470</v>
      </c>
      <c r="B108" s="19"/>
      <c r="C108" s="16" t="s">
        <v>28</v>
      </c>
      <c r="D108" s="20" t="s">
        <v>134</v>
      </c>
      <c r="E108" s="16"/>
      <c r="F108" s="16" t="s">
        <v>28</v>
      </c>
      <c r="G108" s="18" t="n">
        <v>3.7</v>
      </c>
    </row>
    <row r="109" customFormat="false" ht="15" hidden="false" customHeight="false" outlineLevel="0" collapsed="false">
      <c r="A109" s="14" t="s">
        <v>475</v>
      </c>
      <c r="B109" s="14"/>
      <c r="C109" s="11" t="s">
        <v>28</v>
      </c>
      <c r="D109" s="15" t="s">
        <v>134</v>
      </c>
      <c r="E109" s="11"/>
      <c r="F109" s="11" t="s">
        <v>28</v>
      </c>
      <c r="G109" s="13" t="n">
        <v>3.7</v>
      </c>
    </row>
    <row r="110" customFormat="false" ht="15" hidden="false" customHeight="false" outlineLevel="0" collapsed="false">
      <c r="A110" s="19" t="s">
        <v>479</v>
      </c>
      <c r="B110" s="19"/>
      <c r="C110" s="16" t="s">
        <v>28</v>
      </c>
      <c r="D110" s="20" t="s">
        <v>134</v>
      </c>
      <c r="E110" s="16"/>
      <c r="F110" s="16" t="s">
        <v>28</v>
      </c>
      <c r="G110" s="18" t="n">
        <v>3.7</v>
      </c>
    </row>
    <row r="111" customFormat="false" ht="15" hidden="false" customHeight="false" outlineLevel="0" collapsed="false">
      <c r="A111" s="14" t="s">
        <v>482</v>
      </c>
      <c r="B111" s="14"/>
      <c r="C111" s="11" t="s">
        <v>28</v>
      </c>
      <c r="D111" s="15" t="s">
        <v>134</v>
      </c>
      <c r="E111" s="11"/>
      <c r="F111" s="15" t="s">
        <v>22</v>
      </c>
      <c r="G111" s="13" t="n">
        <v>3.7</v>
      </c>
    </row>
    <row r="112" customFormat="false" ht="15" hidden="false" customHeight="false" outlineLevel="0" collapsed="false">
      <c r="A112" s="19" t="s">
        <v>485</v>
      </c>
      <c r="B112" s="19"/>
      <c r="C112" s="16" t="s">
        <v>28</v>
      </c>
      <c r="D112" s="20" t="s">
        <v>134</v>
      </c>
      <c r="E112" s="16"/>
      <c r="F112" s="20" t="s">
        <v>22</v>
      </c>
      <c r="G112" s="18" t="n">
        <v>3.7</v>
      </c>
    </row>
    <row r="113" customFormat="false" ht="15" hidden="false" customHeight="false" outlineLevel="0" collapsed="false">
      <c r="A113" s="14" t="s">
        <v>488</v>
      </c>
      <c r="B113" s="14"/>
      <c r="C113" s="11" t="s">
        <v>28</v>
      </c>
      <c r="D113" s="15" t="s">
        <v>134</v>
      </c>
      <c r="E113" s="11"/>
      <c r="F113" s="15" t="s">
        <v>22</v>
      </c>
      <c r="G113" s="13" t="n">
        <v>3.7</v>
      </c>
    </row>
    <row r="114" customFormat="false" ht="15" hidden="false" customHeight="false" outlineLevel="0" collapsed="false">
      <c r="A114" s="19" t="s">
        <v>491</v>
      </c>
      <c r="B114" s="19"/>
      <c r="C114" s="16" t="s">
        <v>28</v>
      </c>
      <c r="D114" s="20" t="s">
        <v>134</v>
      </c>
      <c r="E114" s="16"/>
      <c r="F114" s="20" t="s">
        <v>22</v>
      </c>
      <c r="G114" s="18" t="n">
        <v>3.7</v>
      </c>
    </row>
    <row r="115" customFormat="false" ht="15" hidden="false" customHeight="false" outlineLevel="0" collapsed="false">
      <c r="A115" s="14" t="s">
        <v>495</v>
      </c>
      <c r="B115" s="14"/>
      <c r="C115" s="11" t="s">
        <v>28</v>
      </c>
      <c r="D115" s="15" t="s">
        <v>134</v>
      </c>
      <c r="E115" s="11"/>
      <c r="F115" s="15" t="s">
        <v>22</v>
      </c>
      <c r="G115" s="13" t="n">
        <v>3.7</v>
      </c>
    </row>
    <row r="116" customFormat="false" ht="15" hidden="false" customHeight="false" outlineLevel="0" collapsed="false">
      <c r="A116" s="19" t="s">
        <v>497</v>
      </c>
      <c r="B116" s="19"/>
      <c r="C116" s="16" t="s">
        <v>28</v>
      </c>
      <c r="D116" s="20" t="s">
        <v>134</v>
      </c>
      <c r="E116" s="16"/>
      <c r="F116" s="20" t="s">
        <v>22</v>
      </c>
      <c r="G116" s="18" t="n">
        <v>3.7</v>
      </c>
    </row>
    <row r="117" customFormat="false" ht="15" hidden="false" customHeight="false" outlineLevel="0" collapsed="false">
      <c r="A117" s="14" t="s">
        <v>499</v>
      </c>
      <c r="B117" s="14"/>
      <c r="C117" s="11" t="s">
        <v>28</v>
      </c>
      <c r="D117" s="15" t="s">
        <v>134</v>
      </c>
      <c r="E117" s="11"/>
      <c r="F117" s="15" t="s">
        <v>22</v>
      </c>
      <c r="G117" s="13" t="n">
        <v>3.7</v>
      </c>
    </row>
    <row r="118" customFormat="false" ht="15" hidden="false" customHeight="false" outlineLevel="0" collapsed="false">
      <c r="A118" s="19" t="s">
        <v>503</v>
      </c>
      <c r="B118" s="19"/>
      <c r="C118" s="16" t="s">
        <v>28</v>
      </c>
      <c r="D118" s="20" t="s">
        <v>134</v>
      </c>
      <c r="E118" s="16"/>
      <c r="F118" s="20" t="s">
        <v>22</v>
      </c>
      <c r="G118" s="18" t="n">
        <v>3.7</v>
      </c>
    </row>
    <row r="119" customFormat="false" ht="15" hidden="false" customHeight="false" outlineLevel="0" collapsed="false">
      <c r="A119" s="14" t="s">
        <v>506</v>
      </c>
      <c r="B119" s="14"/>
      <c r="C119" s="11" t="s">
        <v>28</v>
      </c>
      <c r="D119" s="15" t="s">
        <v>134</v>
      </c>
      <c r="E119" s="11"/>
      <c r="F119" s="11" t="s">
        <v>28</v>
      </c>
      <c r="G119" s="13" t="n">
        <v>3.6</v>
      </c>
    </row>
    <row r="120" customFormat="false" ht="15" hidden="false" customHeight="false" outlineLevel="0" collapsed="false">
      <c r="A120" s="19" t="s">
        <v>510</v>
      </c>
      <c r="B120" s="19"/>
      <c r="C120" s="16" t="s">
        <v>28</v>
      </c>
      <c r="D120" s="20" t="s">
        <v>134</v>
      </c>
      <c r="E120" s="16"/>
      <c r="F120" s="20" t="s">
        <v>22</v>
      </c>
      <c r="G120" s="18" t="n">
        <v>3.6</v>
      </c>
    </row>
    <row r="121" customFormat="false" ht="15" hidden="false" customHeight="false" outlineLevel="0" collapsed="false">
      <c r="A121" s="14" t="s">
        <v>514</v>
      </c>
      <c r="B121" s="14"/>
      <c r="C121" s="11" t="s">
        <v>28</v>
      </c>
      <c r="D121" s="15" t="s">
        <v>134</v>
      </c>
      <c r="E121" s="11"/>
      <c r="F121" s="15" t="s">
        <v>22</v>
      </c>
      <c r="G121" s="13" t="n">
        <v>3.5</v>
      </c>
    </row>
    <row r="122" customFormat="false" ht="15" hidden="false" customHeight="false" outlineLevel="0" collapsed="false">
      <c r="A122" s="19" t="s">
        <v>518</v>
      </c>
      <c r="B122" s="19"/>
      <c r="C122" s="16" t="s">
        <v>28</v>
      </c>
      <c r="D122" s="20" t="s">
        <v>134</v>
      </c>
      <c r="E122" s="16"/>
      <c r="F122" s="20" t="s">
        <v>22</v>
      </c>
      <c r="G122" s="18" t="n">
        <v>3.5</v>
      </c>
    </row>
    <row r="123" customFormat="false" ht="15" hidden="false" customHeight="false" outlineLevel="0" collapsed="false">
      <c r="A123" s="14" t="s">
        <v>522</v>
      </c>
      <c r="B123" s="14"/>
      <c r="C123" s="11" t="s">
        <v>28</v>
      </c>
      <c r="D123" s="15" t="s">
        <v>134</v>
      </c>
      <c r="E123" s="11"/>
      <c r="F123" s="15" t="s">
        <v>22</v>
      </c>
      <c r="G123" s="13" t="n">
        <v>3.5</v>
      </c>
    </row>
    <row r="124" customFormat="false" ht="15" hidden="false" customHeight="false" outlineLevel="0" collapsed="false">
      <c r="A124" s="19" t="s">
        <v>526</v>
      </c>
      <c r="B124" s="19"/>
      <c r="C124" s="16" t="s">
        <v>28</v>
      </c>
      <c r="D124" s="20" t="s">
        <v>134</v>
      </c>
      <c r="E124" s="16"/>
      <c r="F124" s="16" t="s">
        <v>28</v>
      </c>
      <c r="G124" s="18" t="n">
        <v>3.4</v>
      </c>
    </row>
    <row r="125" customFormat="false" ht="15" hidden="false" customHeight="false" outlineLevel="0" collapsed="false">
      <c r="A125" s="14" t="s">
        <v>530</v>
      </c>
      <c r="B125" s="14"/>
      <c r="C125" s="11" t="s">
        <v>28</v>
      </c>
      <c r="D125" s="15" t="s">
        <v>134</v>
      </c>
      <c r="E125" s="11"/>
      <c r="F125" s="11" t="s">
        <v>28</v>
      </c>
      <c r="G125" s="13" t="n">
        <v>3.4</v>
      </c>
    </row>
    <row r="126" customFormat="false" ht="15" hidden="false" customHeight="false" outlineLevel="0" collapsed="false">
      <c r="A126" s="19" t="s">
        <v>534</v>
      </c>
      <c r="B126" s="19"/>
      <c r="C126" s="16" t="s">
        <v>28</v>
      </c>
      <c r="D126" s="20" t="s">
        <v>134</v>
      </c>
      <c r="E126" s="16"/>
      <c r="F126" s="16" t="s">
        <v>28</v>
      </c>
      <c r="G126" s="18" t="n">
        <v>3.4</v>
      </c>
    </row>
    <row r="127" customFormat="false" ht="15" hidden="false" customHeight="false" outlineLevel="0" collapsed="false">
      <c r="A127" s="14" t="s">
        <v>538</v>
      </c>
      <c r="B127" s="14"/>
      <c r="C127" s="11" t="s">
        <v>28</v>
      </c>
      <c r="D127" s="15" t="s">
        <v>134</v>
      </c>
      <c r="E127" s="11"/>
      <c r="F127" s="11" t="s">
        <v>28</v>
      </c>
      <c r="G127" s="13" t="n">
        <v>3.4</v>
      </c>
    </row>
    <row r="128" customFormat="false" ht="15" hidden="false" customHeight="false" outlineLevel="0" collapsed="false">
      <c r="A128" s="19" t="s">
        <v>542</v>
      </c>
      <c r="B128" s="19"/>
      <c r="C128" s="16" t="s">
        <v>28</v>
      </c>
      <c r="D128" s="20" t="s">
        <v>134</v>
      </c>
      <c r="E128" s="16"/>
      <c r="F128" s="16" t="s">
        <v>28</v>
      </c>
      <c r="G128" s="18" t="n">
        <v>3.4</v>
      </c>
    </row>
    <row r="129" customFormat="false" ht="15" hidden="false" customHeight="false" outlineLevel="0" collapsed="false">
      <c r="A129" s="14" t="s">
        <v>546</v>
      </c>
      <c r="B129" s="14"/>
      <c r="C129" s="11" t="s">
        <v>28</v>
      </c>
      <c r="D129" s="15" t="s">
        <v>134</v>
      </c>
      <c r="E129" s="11"/>
      <c r="F129" s="15" t="s">
        <v>22</v>
      </c>
      <c r="G129" s="13" t="n">
        <v>3.4</v>
      </c>
    </row>
    <row r="130" customFormat="false" ht="15" hidden="false" customHeight="false" outlineLevel="0" collapsed="false">
      <c r="A130" s="19" t="s">
        <v>549</v>
      </c>
      <c r="B130" s="19"/>
      <c r="C130" s="16" t="s">
        <v>28</v>
      </c>
      <c r="D130" s="20" t="s">
        <v>134</v>
      </c>
      <c r="E130" s="16"/>
      <c r="F130" s="20" t="s">
        <v>22</v>
      </c>
      <c r="G130" s="18" t="n">
        <v>3.4</v>
      </c>
    </row>
    <row r="131" customFormat="false" ht="15" hidden="false" customHeight="false" outlineLevel="0" collapsed="false">
      <c r="A131" s="14" t="s">
        <v>553</v>
      </c>
      <c r="B131" s="14"/>
      <c r="C131" s="11" t="s">
        <v>28</v>
      </c>
      <c r="D131" s="15" t="s">
        <v>134</v>
      </c>
      <c r="E131" s="11"/>
      <c r="F131" s="15" t="s">
        <v>22</v>
      </c>
      <c r="G131" s="13" t="n">
        <v>3.4</v>
      </c>
    </row>
    <row r="132" customFormat="false" ht="15" hidden="false" customHeight="false" outlineLevel="0" collapsed="false">
      <c r="A132" s="19" t="s">
        <v>556</v>
      </c>
      <c r="B132" s="19"/>
      <c r="C132" s="16" t="s">
        <v>28</v>
      </c>
      <c r="D132" s="20" t="s">
        <v>134</v>
      </c>
      <c r="E132" s="16"/>
      <c r="F132" s="20" t="s">
        <v>22</v>
      </c>
      <c r="G132" s="18" t="n">
        <v>3.3</v>
      </c>
    </row>
    <row r="133" customFormat="false" ht="15" hidden="false" customHeight="false" outlineLevel="0" collapsed="false">
      <c r="A133" s="14" t="s">
        <v>559</v>
      </c>
      <c r="B133" s="14"/>
      <c r="C133" s="11" t="s">
        <v>28</v>
      </c>
      <c r="D133" s="15" t="s">
        <v>134</v>
      </c>
      <c r="E133" s="11"/>
      <c r="F133" s="15" t="s">
        <v>22</v>
      </c>
      <c r="G133" s="13" t="n">
        <v>3.1</v>
      </c>
    </row>
    <row r="134" customFormat="false" ht="15" hidden="false" customHeight="false" outlineLevel="0" collapsed="false">
      <c r="A134" s="19" t="s">
        <v>563</v>
      </c>
      <c r="B134" s="19"/>
      <c r="C134" s="16" t="s">
        <v>28</v>
      </c>
      <c r="D134" s="20" t="s">
        <v>134</v>
      </c>
      <c r="E134" s="16"/>
      <c r="F134" s="16" t="s">
        <v>28</v>
      </c>
      <c r="G134" s="18" t="n">
        <v>3.1</v>
      </c>
    </row>
    <row r="135" customFormat="false" ht="15" hidden="false" customHeight="false" outlineLevel="0" collapsed="false">
      <c r="A135" s="14" t="s">
        <v>567</v>
      </c>
      <c r="B135" s="14"/>
      <c r="C135" s="11" t="s">
        <v>28</v>
      </c>
      <c r="D135" s="15" t="s">
        <v>134</v>
      </c>
      <c r="E135" s="11"/>
      <c r="F135" s="11" t="s">
        <v>28</v>
      </c>
      <c r="G135" s="13" t="n">
        <v>3.1</v>
      </c>
    </row>
    <row r="136" customFormat="false" ht="15" hidden="false" customHeight="false" outlineLevel="0" collapsed="false">
      <c r="A136" s="19" t="s">
        <v>572</v>
      </c>
      <c r="B136" s="19"/>
      <c r="C136" s="16" t="s">
        <v>28</v>
      </c>
      <c r="D136" s="20" t="s">
        <v>134</v>
      </c>
      <c r="E136" s="16"/>
      <c r="F136" s="20" t="s">
        <v>22</v>
      </c>
      <c r="G136" s="18" t="n">
        <v>3.1</v>
      </c>
    </row>
    <row r="137" customFormat="false" ht="15" hidden="false" customHeight="false" outlineLevel="0" collapsed="false">
      <c r="A137" s="14" t="s">
        <v>576</v>
      </c>
      <c r="B137" s="14"/>
      <c r="C137" s="11" t="s">
        <v>28</v>
      </c>
      <c r="D137" s="15" t="s">
        <v>134</v>
      </c>
      <c r="E137" s="11"/>
      <c r="F137" s="11" t="s">
        <v>28</v>
      </c>
      <c r="G137" s="13" t="n">
        <v>3</v>
      </c>
    </row>
    <row r="138" customFormat="false" ht="15" hidden="false" customHeight="false" outlineLevel="0" collapsed="false">
      <c r="A138" s="19" t="s">
        <v>580</v>
      </c>
      <c r="B138" s="19"/>
      <c r="C138" s="16" t="s">
        <v>28</v>
      </c>
      <c r="D138" s="20" t="s">
        <v>134</v>
      </c>
      <c r="E138" s="16"/>
      <c r="F138" s="20" t="s">
        <v>22</v>
      </c>
      <c r="G138" s="18" t="n">
        <v>3</v>
      </c>
    </row>
    <row r="139" customFormat="false" ht="15" hidden="false" customHeight="false" outlineLevel="0" collapsed="false">
      <c r="A139" s="14" t="s">
        <v>584</v>
      </c>
      <c r="B139" s="14"/>
      <c r="C139" s="11" t="s">
        <v>28</v>
      </c>
      <c r="D139" s="15" t="s">
        <v>134</v>
      </c>
      <c r="E139" s="11"/>
      <c r="F139" s="15" t="s">
        <v>22</v>
      </c>
      <c r="G139" s="13" t="n">
        <v>3</v>
      </c>
    </row>
    <row r="140" customFormat="false" ht="15" hidden="false" customHeight="false" outlineLevel="0" collapsed="false">
      <c r="A140" s="19" t="s">
        <v>588</v>
      </c>
      <c r="B140" s="19"/>
      <c r="C140" s="16" t="s">
        <v>28</v>
      </c>
      <c r="D140" s="20" t="s">
        <v>134</v>
      </c>
      <c r="E140" s="16"/>
      <c r="F140" s="20" t="s">
        <v>22</v>
      </c>
      <c r="G140" s="18" t="n">
        <v>3</v>
      </c>
    </row>
    <row r="141" customFormat="false" ht="15" hidden="false" customHeight="false" outlineLevel="0" collapsed="false">
      <c r="A141" s="14" t="s">
        <v>592</v>
      </c>
      <c r="B141" s="14"/>
      <c r="C141" s="11" t="s">
        <v>28</v>
      </c>
      <c r="D141" s="15" t="s">
        <v>134</v>
      </c>
      <c r="E141" s="11"/>
      <c r="F141" s="15" t="s">
        <v>22</v>
      </c>
      <c r="G141" s="13" t="n">
        <v>2.9</v>
      </c>
    </row>
    <row r="142" customFormat="false" ht="15" hidden="false" customHeight="false" outlineLevel="0" collapsed="false">
      <c r="A142" s="19" t="s">
        <v>596</v>
      </c>
      <c r="B142" s="19"/>
      <c r="C142" s="16" t="s">
        <v>28</v>
      </c>
      <c r="D142" s="20" t="s">
        <v>134</v>
      </c>
      <c r="E142" s="16"/>
      <c r="F142" s="16" t="s">
        <v>28</v>
      </c>
      <c r="G142" s="18" t="n">
        <v>2.9</v>
      </c>
    </row>
    <row r="143" customFormat="false" ht="15" hidden="false" customHeight="false" outlineLevel="0" collapsed="false">
      <c r="A143" s="14" t="s">
        <v>600</v>
      </c>
      <c r="B143" s="14"/>
      <c r="C143" s="11" t="s">
        <v>28</v>
      </c>
      <c r="D143" s="15" t="s">
        <v>134</v>
      </c>
      <c r="E143" s="11"/>
      <c r="F143" s="15" t="s">
        <v>22</v>
      </c>
      <c r="G143" s="13" t="n">
        <v>2.9</v>
      </c>
    </row>
    <row r="144" customFormat="false" ht="15" hidden="false" customHeight="false" outlineLevel="0" collapsed="false">
      <c r="A144" s="19" t="s">
        <v>604</v>
      </c>
      <c r="B144" s="19"/>
      <c r="C144" s="16" t="s">
        <v>28</v>
      </c>
      <c r="D144" s="20" t="s">
        <v>134</v>
      </c>
      <c r="E144" s="16"/>
      <c r="F144" s="20" t="s">
        <v>22</v>
      </c>
      <c r="G144" s="18" t="n">
        <v>2.8</v>
      </c>
    </row>
    <row r="145" customFormat="false" ht="15" hidden="false" customHeight="false" outlineLevel="0" collapsed="false">
      <c r="A145" s="14" t="s">
        <v>607</v>
      </c>
      <c r="B145" s="14"/>
      <c r="C145" s="11" t="s">
        <v>28</v>
      </c>
      <c r="D145" s="15" t="s">
        <v>134</v>
      </c>
      <c r="E145" s="11"/>
      <c r="F145" s="15" t="s">
        <v>22</v>
      </c>
      <c r="G145" s="13" t="n">
        <v>2.8</v>
      </c>
    </row>
    <row r="146" customFormat="false" ht="15" hidden="false" customHeight="false" outlineLevel="0" collapsed="false">
      <c r="A146" s="19" t="s">
        <v>611</v>
      </c>
      <c r="B146" s="19"/>
      <c r="C146" s="16" t="s">
        <v>28</v>
      </c>
      <c r="D146" s="20" t="s">
        <v>134</v>
      </c>
      <c r="E146" s="16"/>
      <c r="F146" s="16" t="s">
        <v>28</v>
      </c>
      <c r="G146" s="18" t="n">
        <v>2.7</v>
      </c>
    </row>
    <row r="147" customFormat="false" ht="15" hidden="false" customHeight="false" outlineLevel="0" collapsed="false">
      <c r="A147" s="14" t="s">
        <v>615</v>
      </c>
      <c r="B147" s="14"/>
      <c r="C147" s="11" t="s">
        <v>28</v>
      </c>
      <c r="D147" s="15" t="s">
        <v>134</v>
      </c>
      <c r="E147" s="11"/>
      <c r="F147" s="11" t="s">
        <v>28</v>
      </c>
      <c r="G147" s="13" t="n">
        <v>2.7</v>
      </c>
    </row>
    <row r="148" customFormat="false" ht="15" hidden="false" customHeight="false" outlineLevel="0" collapsed="false">
      <c r="A148" s="19" t="s">
        <v>619</v>
      </c>
      <c r="B148" s="19"/>
      <c r="C148" s="16" t="s">
        <v>28</v>
      </c>
      <c r="D148" s="20" t="s">
        <v>134</v>
      </c>
      <c r="E148" s="16"/>
      <c r="F148" s="16" t="s">
        <v>28</v>
      </c>
      <c r="G148" s="18" t="n">
        <v>2.6</v>
      </c>
    </row>
    <row r="149" customFormat="false" ht="15" hidden="false" customHeight="false" outlineLevel="0" collapsed="false">
      <c r="A149" s="14" t="s">
        <v>622</v>
      </c>
      <c r="B149" s="14"/>
      <c r="C149" s="11" t="s">
        <v>28</v>
      </c>
      <c r="D149" s="15" t="s">
        <v>134</v>
      </c>
      <c r="E149" s="11"/>
      <c r="F149" s="11" t="s">
        <v>28</v>
      </c>
      <c r="G149" s="13" t="n">
        <v>2.6</v>
      </c>
    </row>
    <row r="150" customFormat="false" ht="15" hidden="false" customHeight="false" outlineLevel="0" collapsed="false">
      <c r="A150" s="19" t="s">
        <v>626</v>
      </c>
      <c r="B150" s="19"/>
      <c r="C150" s="16" t="s">
        <v>28</v>
      </c>
      <c r="D150" s="20" t="s">
        <v>134</v>
      </c>
      <c r="E150" s="16"/>
      <c r="F150" s="20" t="s">
        <v>22</v>
      </c>
      <c r="G150" s="18" t="n">
        <v>2.5</v>
      </c>
    </row>
    <row r="151" customFormat="false" ht="15" hidden="false" customHeight="false" outlineLevel="0" collapsed="false">
      <c r="A151" s="14" t="s">
        <v>630</v>
      </c>
      <c r="B151" s="14"/>
      <c r="C151" s="11" t="s">
        <v>28</v>
      </c>
      <c r="D151" s="15" t="s">
        <v>134</v>
      </c>
      <c r="E151" s="11"/>
      <c r="F151" s="11" t="s">
        <v>28</v>
      </c>
      <c r="G151" s="13" t="n">
        <v>2.3</v>
      </c>
    </row>
    <row r="152" customFormat="false" ht="15" hidden="false" customHeight="false" outlineLevel="0" collapsed="false">
      <c r="A152" s="19" t="s">
        <v>634</v>
      </c>
      <c r="B152" s="19"/>
      <c r="C152" s="16" t="s">
        <v>28</v>
      </c>
      <c r="D152" s="20" t="s">
        <v>134</v>
      </c>
      <c r="E152" s="16"/>
      <c r="F152" s="16" t="s">
        <v>28</v>
      </c>
      <c r="G152" s="18" t="n">
        <v>2.2</v>
      </c>
    </row>
  </sheetData>
  <autoFilter ref="A1:G152"/>
  <hyperlinks>
    <hyperlink ref="D2" r:id="rId1" display="anuncio"/>
    <hyperlink ref="F2" r:id="rId2" display="abrir"/>
    <hyperlink ref="D3" r:id="rId3" display="anuncio"/>
    <hyperlink ref="F3" r:id="rId4" display="abrir"/>
    <hyperlink ref="D4" r:id="rId5" display="anuncio"/>
    <hyperlink ref="F4" r:id="rId6" display="abrir"/>
    <hyperlink ref="D5" r:id="rId7" display="anuncio"/>
    <hyperlink ref="F5" r:id="rId8" display="abrir"/>
    <hyperlink ref="D6" r:id="rId9" display="anuncio"/>
    <hyperlink ref="F6" r:id="rId10" display="abrir"/>
    <hyperlink ref="D7" r:id="rId11" display="anuncio"/>
    <hyperlink ref="F7" r:id="rId12" display="abrir"/>
    <hyperlink ref="D8" r:id="rId13" display="anuncio"/>
    <hyperlink ref="F8" r:id="rId14" display="abrir"/>
    <hyperlink ref="D9" r:id="rId15" display="anuncio"/>
    <hyperlink ref="F9" r:id="rId16" display="abrir"/>
    <hyperlink ref="D10" r:id="rId17" display="anuncio"/>
    <hyperlink ref="F10" r:id="rId18" display="abrir"/>
    <hyperlink ref="D11" r:id="rId19" display="buscar na biblioteca"/>
    <hyperlink ref="F11" r:id="rId20" display="abrir"/>
    <hyperlink ref="D12" r:id="rId21" display="buscar na biblioteca"/>
    <hyperlink ref="F12" r:id="rId22" display="abrir"/>
    <hyperlink ref="D13" r:id="rId23" display="buscar na biblioteca"/>
    <hyperlink ref="F13" r:id="rId24" display="abrir"/>
    <hyperlink ref="D14" r:id="rId25" display="buscar na biblioteca"/>
    <hyperlink ref="F14" r:id="rId26" display="abrir"/>
    <hyperlink ref="D15" r:id="rId27" display="buscar na biblioteca"/>
    <hyperlink ref="D16" r:id="rId28" display="buscar na biblioteca"/>
    <hyperlink ref="D17" r:id="rId29" display="anuncio"/>
    <hyperlink ref="F17" r:id="rId30" display="abrir"/>
    <hyperlink ref="D18" r:id="rId31" display="anuncio"/>
    <hyperlink ref="F18" r:id="rId32" display="abrir"/>
    <hyperlink ref="D19" r:id="rId33" display="anuncio"/>
    <hyperlink ref="F19" r:id="rId34" display="abrir"/>
    <hyperlink ref="D20" r:id="rId35" display="anuncio"/>
    <hyperlink ref="F20" r:id="rId36" display="abrir"/>
    <hyperlink ref="D21" r:id="rId37" display="anuncio"/>
    <hyperlink ref="F21" r:id="rId38" display="abrir"/>
    <hyperlink ref="D22" r:id="rId39" display="anuncio"/>
    <hyperlink ref="F22" r:id="rId40" display="abrir"/>
    <hyperlink ref="D23" r:id="rId41" display="anuncio"/>
    <hyperlink ref="F23" r:id="rId42" display="abrir"/>
    <hyperlink ref="D24" r:id="rId43" display="anuncio"/>
    <hyperlink ref="F24" r:id="rId44" display="abrir"/>
    <hyperlink ref="D25" r:id="rId45" display="anuncio"/>
    <hyperlink ref="F25" r:id="rId46" display="abrir"/>
    <hyperlink ref="D26" r:id="rId47" display="anuncio"/>
    <hyperlink ref="F26" r:id="rId48" display="abrir"/>
    <hyperlink ref="D27" r:id="rId49" display="anuncio"/>
    <hyperlink ref="F27" r:id="rId50" display="abrir"/>
    <hyperlink ref="D28" r:id="rId51" display="buscar na biblioteca"/>
    <hyperlink ref="D29" r:id="rId52" display="buscar na biblioteca"/>
    <hyperlink ref="F29" r:id="rId53" display="abrir"/>
    <hyperlink ref="D30" r:id="rId54" display="buscar na biblioteca"/>
    <hyperlink ref="D31" r:id="rId55" display="buscar na biblioteca"/>
    <hyperlink ref="F31" r:id="rId56" display="abrir"/>
    <hyperlink ref="D32" r:id="rId57" display="anuncio"/>
    <hyperlink ref="F32" r:id="rId58" display="abrir"/>
    <hyperlink ref="D33" r:id="rId59" display="anuncio"/>
    <hyperlink ref="F33" r:id="rId60" display="abrir"/>
    <hyperlink ref="D34" r:id="rId61" display="anuncio"/>
    <hyperlink ref="F34" r:id="rId62" display="abrir"/>
    <hyperlink ref="D35" r:id="rId63" display="anuncio"/>
    <hyperlink ref="F35" r:id="rId64" display="abrir"/>
    <hyperlink ref="D36" r:id="rId65" display="anuncio"/>
    <hyperlink ref="F36" r:id="rId66" display="abrir"/>
    <hyperlink ref="D37" r:id="rId67" display="buscar na biblioteca"/>
    <hyperlink ref="F37" r:id="rId68" display="abrir"/>
    <hyperlink ref="D38" r:id="rId69" display="anuncio"/>
    <hyperlink ref="F38" r:id="rId70" display="abrir"/>
    <hyperlink ref="D39" r:id="rId71" display="buscar na biblioteca"/>
    <hyperlink ref="F39" r:id="rId72" display="abrir"/>
    <hyperlink ref="D40" r:id="rId73" display="buscar na biblioteca"/>
    <hyperlink ref="D41" r:id="rId74" display="buscar na biblioteca"/>
    <hyperlink ref="F41" r:id="rId75" display="abrir"/>
    <hyperlink ref="D42" r:id="rId76" display="buscar na biblioteca"/>
    <hyperlink ref="F42" r:id="rId77" display="abrir"/>
    <hyperlink ref="D43" r:id="rId78" display="buscar na biblioteca"/>
    <hyperlink ref="F43" r:id="rId79" display="abrir"/>
    <hyperlink ref="D44" r:id="rId80" display="buscar na biblioteca"/>
    <hyperlink ref="F44" r:id="rId81" display="abrir"/>
    <hyperlink ref="D45" r:id="rId82" display="buscar na biblioteca"/>
    <hyperlink ref="D46" r:id="rId83" display="anuncio"/>
    <hyperlink ref="F46" r:id="rId84" display="abrir"/>
    <hyperlink ref="D47" r:id="rId85" display="anuncio"/>
    <hyperlink ref="F47" r:id="rId86" display="abrir"/>
    <hyperlink ref="D48" r:id="rId87" display="anuncio"/>
    <hyperlink ref="F48" r:id="rId88" display="abrir"/>
    <hyperlink ref="D49" r:id="rId89" display="anuncio"/>
    <hyperlink ref="F49" r:id="rId90" display="abrir"/>
    <hyperlink ref="D50" r:id="rId91" display="anuncio"/>
    <hyperlink ref="F50" r:id="rId92" display="abrir"/>
    <hyperlink ref="D51" r:id="rId93" display="anuncio"/>
    <hyperlink ref="F51" r:id="rId94" display="abrir"/>
    <hyperlink ref="D52" r:id="rId95" display="buscar na biblioteca"/>
    <hyperlink ref="F52" r:id="rId96" display="abrir"/>
    <hyperlink ref="D53" r:id="rId97" display="buscar na biblioteca"/>
    <hyperlink ref="D54" r:id="rId98" display="buscar na biblioteca"/>
    <hyperlink ref="F54" r:id="rId99" display="abrir"/>
    <hyperlink ref="D55" r:id="rId100" display="buscar na biblioteca"/>
    <hyperlink ref="D56" r:id="rId101" display="anuncio"/>
    <hyperlink ref="F56" r:id="rId102" display="abrir"/>
    <hyperlink ref="D57" r:id="rId103" display="anuncio"/>
    <hyperlink ref="F57" r:id="rId104" display="abrir"/>
    <hyperlink ref="D58" r:id="rId105" display="buscar na biblioteca"/>
    <hyperlink ref="F58" r:id="rId106" display="abrir"/>
    <hyperlink ref="D59" r:id="rId107" display="anuncio"/>
    <hyperlink ref="F59" r:id="rId108" display="abrir"/>
    <hyperlink ref="D60" r:id="rId109" display="buscar na biblioteca"/>
    <hyperlink ref="D61" r:id="rId110" display="buscar na biblioteca"/>
    <hyperlink ref="D62" r:id="rId111" display="buscar na biblioteca"/>
    <hyperlink ref="D63" r:id="rId112" display="buscar na biblioteca"/>
    <hyperlink ref="D64" r:id="rId113" display="anuncio"/>
    <hyperlink ref="F64" r:id="rId114" display="abrir"/>
    <hyperlink ref="D65" r:id="rId115" display="anuncio"/>
    <hyperlink ref="F65" r:id="rId116" display="abrir"/>
    <hyperlink ref="D66" r:id="rId117" display="buscar na biblioteca"/>
    <hyperlink ref="D67" r:id="rId118" display="buscar na biblioteca"/>
    <hyperlink ref="D68" r:id="rId119" display="buscar na biblioteca"/>
    <hyperlink ref="D69" r:id="rId120" display="buscar na biblioteca"/>
    <hyperlink ref="D70" r:id="rId121" display="buscar na biblioteca"/>
    <hyperlink ref="F70" r:id="rId122" display="abrir"/>
    <hyperlink ref="D71" r:id="rId123" display="buscar na biblioteca"/>
    <hyperlink ref="D72" r:id="rId124" display="buscar na biblioteca"/>
    <hyperlink ref="D73" r:id="rId125" display="buscar na biblioteca"/>
    <hyperlink ref="D74" r:id="rId126" display="buscar na biblioteca"/>
    <hyperlink ref="D75" r:id="rId127" display="anuncio"/>
    <hyperlink ref="F75" r:id="rId128" display="abrir"/>
    <hyperlink ref="D76" r:id="rId129" display="anuncio"/>
    <hyperlink ref="F76" r:id="rId130" display="abrir"/>
    <hyperlink ref="D77" r:id="rId131" display="buscar na biblioteca"/>
    <hyperlink ref="D78" r:id="rId132" display="buscar na biblioteca"/>
    <hyperlink ref="F78" r:id="rId133" display="abrir"/>
    <hyperlink ref="D79" r:id="rId134" display="buscar na biblioteca"/>
    <hyperlink ref="F79" r:id="rId135" display="abrir"/>
    <hyperlink ref="D80" r:id="rId136" display="buscar na biblioteca"/>
    <hyperlink ref="D81" r:id="rId137" display="buscar na biblioteca"/>
    <hyperlink ref="D82" r:id="rId138" display="buscar na biblioteca"/>
    <hyperlink ref="D83" r:id="rId139" display="buscar na biblioteca"/>
    <hyperlink ref="D84" r:id="rId140" display="buscar na biblioteca"/>
    <hyperlink ref="D85" r:id="rId141" display="buscar na biblioteca"/>
    <hyperlink ref="D86" r:id="rId142" display="buscar na biblioteca"/>
    <hyperlink ref="F86" r:id="rId143" display="abrir"/>
    <hyperlink ref="D87" r:id="rId144" display="buscar na biblioteca"/>
    <hyperlink ref="D88" r:id="rId145" display="buscar na biblioteca"/>
    <hyperlink ref="D89" r:id="rId146" display="buscar na biblioteca"/>
    <hyperlink ref="D90" r:id="rId147" display="buscar na biblioteca"/>
    <hyperlink ref="D91" r:id="rId148" display="buscar na biblioteca"/>
    <hyperlink ref="F91" r:id="rId149" display="abrir"/>
    <hyperlink ref="D92" r:id="rId150" display="buscar na biblioteca"/>
    <hyperlink ref="D93" r:id="rId151" display="buscar na biblioteca"/>
    <hyperlink ref="F93" r:id="rId152" display="abrir"/>
    <hyperlink ref="D94" r:id="rId153" display="buscar na biblioteca"/>
    <hyperlink ref="D95" r:id="rId154" display="buscar na biblioteca"/>
    <hyperlink ref="D96" r:id="rId155" display="buscar na biblioteca"/>
    <hyperlink ref="D97" r:id="rId156" display="buscar na biblioteca"/>
    <hyperlink ref="D98" r:id="rId157" display="buscar na biblioteca"/>
    <hyperlink ref="D99" r:id="rId158" display="buscar na biblioteca"/>
    <hyperlink ref="F99" r:id="rId159" display="abrir"/>
    <hyperlink ref="D100" r:id="rId160" display="buscar na biblioteca"/>
    <hyperlink ref="D101" r:id="rId161" display="buscar na biblioteca"/>
    <hyperlink ref="D102" r:id="rId162" display="buscar na biblioteca"/>
    <hyperlink ref="D103" r:id="rId163" display="buscar na biblioteca"/>
    <hyperlink ref="F103" r:id="rId164" display="abrir"/>
    <hyperlink ref="D104" r:id="rId165" display="buscar na biblioteca"/>
    <hyperlink ref="F104" r:id="rId166" display="abrir"/>
    <hyperlink ref="D105" r:id="rId167" display="buscar na biblioteca"/>
    <hyperlink ref="F105" r:id="rId168" display="abrir"/>
    <hyperlink ref="D106" r:id="rId169" display="buscar na biblioteca"/>
    <hyperlink ref="F106" r:id="rId170" display="abrir"/>
    <hyperlink ref="D107" r:id="rId171" display="buscar na biblioteca"/>
    <hyperlink ref="D108" r:id="rId172" display="buscar na biblioteca"/>
    <hyperlink ref="D109" r:id="rId173" display="buscar na biblioteca"/>
    <hyperlink ref="D110" r:id="rId174" display="buscar na biblioteca"/>
    <hyperlink ref="D111" r:id="rId175" display="buscar na biblioteca"/>
    <hyperlink ref="F111" r:id="rId176" display="abrir"/>
    <hyperlink ref="D112" r:id="rId177" display="buscar na biblioteca"/>
    <hyperlink ref="F112" r:id="rId178" display="abrir"/>
    <hyperlink ref="D113" r:id="rId179" display="buscar na biblioteca"/>
    <hyperlink ref="F113" r:id="rId180" display="abrir"/>
    <hyperlink ref="D114" r:id="rId181" display="buscar na biblioteca"/>
    <hyperlink ref="F114" r:id="rId182" display="abrir"/>
    <hyperlink ref="D115" r:id="rId183" display="buscar na biblioteca"/>
    <hyperlink ref="F115" r:id="rId184" display="abrir"/>
    <hyperlink ref="D116" r:id="rId185" display="buscar na biblioteca"/>
    <hyperlink ref="F116" r:id="rId186" display="abrir"/>
    <hyperlink ref="D117" r:id="rId187" display="buscar na biblioteca"/>
    <hyperlink ref="F117" r:id="rId188" display="abrir"/>
    <hyperlink ref="D118" r:id="rId189" display="buscar na biblioteca"/>
    <hyperlink ref="F118" r:id="rId190" display="abrir"/>
    <hyperlink ref="D119" r:id="rId191" display="buscar na biblioteca"/>
    <hyperlink ref="D120" r:id="rId192" display="buscar na biblioteca"/>
    <hyperlink ref="F120" r:id="rId193" display="abrir"/>
    <hyperlink ref="D121" r:id="rId194" display="buscar na biblioteca"/>
    <hyperlink ref="F121" r:id="rId195" display="abrir"/>
    <hyperlink ref="D122" r:id="rId196" display="buscar na biblioteca"/>
    <hyperlink ref="F122" r:id="rId197" display="abrir"/>
    <hyperlink ref="D123" r:id="rId198" display="buscar na biblioteca"/>
    <hyperlink ref="F123" r:id="rId199" display="abrir"/>
    <hyperlink ref="D124" r:id="rId200" display="buscar na biblioteca"/>
    <hyperlink ref="D125" r:id="rId201" display="buscar na biblioteca"/>
    <hyperlink ref="D126" r:id="rId202" display="buscar na biblioteca"/>
    <hyperlink ref="D127" r:id="rId203" display="buscar na biblioteca"/>
    <hyperlink ref="D128" r:id="rId204" display="buscar na biblioteca"/>
    <hyperlink ref="D129" r:id="rId205" display="buscar na biblioteca"/>
    <hyperlink ref="F129" r:id="rId206" display="abrir"/>
    <hyperlink ref="D130" r:id="rId207" display="buscar na biblioteca"/>
    <hyperlink ref="F130" r:id="rId208" display="abrir"/>
    <hyperlink ref="D131" r:id="rId209" display="buscar na biblioteca"/>
    <hyperlink ref="F131" r:id="rId210" display="abrir"/>
    <hyperlink ref="D132" r:id="rId211" display="buscar na biblioteca"/>
    <hyperlink ref="F132" r:id="rId212" display="abrir"/>
    <hyperlink ref="D133" r:id="rId213" display="buscar na biblioteca"/>
    <hyperlink ref="F133" r:id="rId214" display="abrir"/>
    <hyperlink ref="D134" r:id="rId215" display="buscar na biblioteca"/>
    <hyperlink ref="D135" r:id="rId216" display="buscar na biblioteca"/>
    <hyperlink ref="D136" r:id="rId217" display="buscar na biblioteca"/>
    <hyperlink ref="F136" r:id="rId218" display="abrir"/>
    <hyperlink ref="D137" r:id="rId219" display="buscar na biblioteca"/>
    <hyperlink ref="D138" r:id="rId220" display="buscar na biblioteca"/>
    <hyperlink ref="F138" r:id="rId221" display="abrir"/>
    <hyperlink ref="D139" r:id="rId222" display="buscar na biblioteca"/>
    <hyperlink ref="F139" r:id="rId223" display="abrir"/>
    <hyperlink ref="D140" r:id="rId224" display="buscar na biblioteca"/>
    <hyperlink ref="F140" r:id="rId225" display="abrir"/>
    <hyperlink ref="D141" r:id="rId226" display="buscar na biblioteca"/>
    <hyperlink ref="F141" r:id="rId227" display="abrir"/>
    <hyperlink ref="D142" r:id="rId228" display="buscar na biblioteca"/>
    <hyperlink ref="D143" r:id="rId229" display="buscar na biblioteca"/>
    <hyperlink ref="F143" r:id="rId230" display="abrir"/>
    <hyperlink ref="D144" r:id="rId231" display="buscar na biblioteca"/>
    <hyperlink ref="F144" r:id="rId232" display="abrir"/>
    <hyperlink ref="D145" r:id="rId233" display="buscar na biblioteca"/>
    <hyperlink ref="F145" r:id="rId234" display="abrir"/>
    <hyperlink ref="D146" r:id="rId235" display="buscar na biblioteca"/>
    <hyperlink ref="D147" r:id="rId236" display="buscar na biblioteca"/>
    <hyperlink ref="D148" r:id="rId237" display="buscar na biblioteca"/>
    <hyperlink ref="D149" r:id="rId238" display="buscar na biblioteca"/>
    <hyperlink ref="D150" r:id="rId239" display="buscar na biblioteca"/>
    <hyperlink ref="F150" r:id="rId240" display="abrir"/>
    <hyperlink ref="D151" r:id="rId241" display="buscar na biblioteca"/>
    <hyperlink ref="D152" r:id="rId242" display="buscar na bibliotec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2026-09-11T21:37:36Z</dcterms:created>
  <dc:creator>openpyxl</dc:creator>
  <dc:description/>
  <dc:language>en-US</dc:language>
  <cp:lastModifiedBy/>
  <dcterms:modified xsi:type="dcterms:W3CDTF">2026-09-11T21:37:37Z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