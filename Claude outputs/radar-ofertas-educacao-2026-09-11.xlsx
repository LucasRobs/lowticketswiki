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 ler" sheetId="1" state="visible" r:id="rId3"/>
    <sheet name="1. Top replicaveis" sheetId="2" state="visible" r:id="rId4"/>
    <sheet name="2. Maior escala (tudo)" sheetId="3" state="visible" r:id="rId5"/>
    <sheet name="3. Base - 462 anuncios" sheetId="4" state="visible" r:id="rId6"/>
    <sheet name="4. Resumo por nicho" sheetId="5" state="visible" r:id="rId7"/>
  </sheets>
  <definedNames>
    <definedName function="false" hidden="true" localSheetId="1" name="_xlnm._FilterDatabase" vbProcedure="false">'1. Top replicaveis'!$A$4:$V$73</definedName>
    <definedName function="false" hidden="true" localSheetId="2" name="_xlnm._FilterDatabase" vbProcedure="false">'2. Maior escala (tudo)'!$A$4:$V$318</definedName>
    <definedName function="false" hidden="true" localSheetId="3" name="_xlnm._FilterDatabase" vbProcedure="false">'3. Base - 462 anuncios'!$A$4:$J$466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<sst xmlns="http://schemas.openxmlformats.org/spreadsheetml/2006/main" count="6421" uniqueCount="787">
  <si>
    <t xml:space="preserve">Radar de ofertas - Biblioteca de Anuncios (nicho educacao infantil / professores)</t>
  </si>
  <si>
    <t xml:space="preserve">Fonte: export fb-ads-export-2026-09-11 (2).json - 462 anuncios ativos, 314 anunciantes. Coleta de 11/09/2026.</t>
  </si>
  <si>
    <t xml:space="preserve">PESOS DO SCORE FINAL</t>
  </si>
  <si>
    <t xml:space="preserve">Peso Escala</t>
  </si>
  <si>
    <t xml:space="preserve">Celulas azuis = editaveis. As abas de ranking recalculam sozinhas.</t>
  </si>
  <si>
    <t xml:space="preserve">Peso Facilidade de replicar</t>
  </si>
  <si>
    <t xml:space="preserve">COMO CADA SUBNOTA E CALCULADA</t>
  </si>
  <si>
    <t xml:space="preserve">ESCALA = Tempo x55% + Volume x25% + Criativos x20%</t>
  </si>
  <si>
    <t xml:space="preserve">  Tempo no ar</t>
  </si>
  <si>
    <t xml:space="preserve">0 a 10</t>
  </si>
  <si>
    <t xml:space="preserve">Melhor anuncio do anunciante. 365d+=10 | 180d+=9 | 120d+=8 | 90d+=7 | 60d+=6 | 30d+=5 | 14d+=3 | abaixo=1. Anuncio velho no ar = oferta que paga o trafego.</t>
  </si>
  <si>
    <t xml:space="preserve">  Volume de anuncios</t>
  </si>
  <si>
    <t xml:space="preserve">Anuncios ativos hoje. 10+=10 | 5+=8 | 3+=6 | 2=4 | 1=2.</t>
  </si>
  <si>
    <t xml:space="preserve">  Criativos</t>
  </si>
  <si>
    <t xml:space="preserve">Variacoes rodando. 10+=10 | 6+=8 | 4+=6 | 2+=4 | 1=2. Muito criativo = esta testando com verba.</t>
  </si>
  <si>
    <t xml:space="preserve">REPLICA = LP x35% + Operacao x25% + Produto x25% + Criativo x15%</t>
  </si>
  <si>
    <t xml:space="preserve">  Tem LP propria</t>
  </si>
  <si>
    <t xml:space="preserve">3 ou 10</t>
  </si>
  <si>
    <t xml:space="preserve">Dominio proprio=10 (da pra clonar o funil inteiro). So WhatsApp/Instagram=3 (nao da pra ver oferta nem checkout).</t>
  </si>
  <si>
    <t xml:space="preserve">  Operacao enxuta</t>
  </si>
  <si>
    <t xml:space="preserve">4 a 10</t>
  </si>
  <si>
    <t xml:space="preserve">Hotmart/Kiwify/Lovable/Netlify/Vercel/Loja Integrada=10 (uma pessoa toca). Dominio proprio=7. Resto=4.</t>
  </si>
  <si>
    <t xml:space="preserve">  Tipo de produto</t>
  </si>
  <si>
    <t xml:space="preserve">1 a 10</t>
  </si>
  <si>
    <t xml:space="preserve">Infoproduto/material digital=10 | EAD=6 | Editora B2B=3 | Escola fisica=1. Escola nao e replicavel: vende CEP.</t>
  </si>
  <si>
    <t xml:space="preserve">  Criativo</t>
  </si>
  <si>
    <t xml:space="preserve">6 ou 9</t>
  </si>
  <si>
    <t xml:space="preserve">Imagem=9 (refaz em 20 min no Canva). Video=6.</t>
  </si>
  <si>
    <t xml:space="preserve">CORTE DE REPLICACAO</t>
  </si>
  <si>
    <t xml:space="preserve">Score Final &gt;= 7,0 E Replica &gt;= 7,0. Na aba "1. Top replicaveis" essas linhas estao destacadas em amarelo.</t>
  </si>
  <si>
    <t xml:space="preserve">LIMITE DESTE DADO</t>
  </si>
  <si>
    <t xml:space="preserve">O export nao traz copy, headline nem preco. Escala aqui e proxy (tempo no ar + volume). Pra fechar o score de ticket e de oferta, tem que abrir o link da LP e passar o unFunnelizer.</t>
  </si>
  <si>
    <t xml:space="preserve">1. TOP REPLICAVEIS - infoprodutos e material digital</t>
  </si>
  <si>
    <t xml:space="preserve">So anunciantes que vendem produto digital (nao escola). Ordenado por Score Final. Linhas amarelas passam no corte: Final &gt;= 7,0 e Replica &gt;= 7,0.</t>
  </si>
  <si>
    <t xml:space="preserve">#</t>
  </si>
  <si>
    <t xml:space="preserve">Anunciante</t>
  </si>
  <si>
    <t xml:space="preserve">Nicho</t>
  </si>
  <si>
    <t xml:space="preserve">Categoria</t>
  </si>
  <si>
    <t xml:space="preserve">Dias no ar (melhor)</t>
  </si>
  <si>
    <t xml:space="preserve">Anuncios ativos</t>
  </si>
  <si>
    <t xml:space="preserve">Criativos</t>
  </si>
  <si>
    <t xml:space="preserve">Formato</t>
  </si>
  <si>
    <t xml:space="preserve">Destino do clique</t>
  </si>
  <si>
    <t xml:space="preserve">Dominio</t>
  </si>
  <si>
    <t xml:space="preserve">Tempo</t>
  </si>
  <si>
    <t xml:space="preserve">Volume</t>
  </si>
  <si>
    <t xml:space="preserve">Criativos (nota)</t>
  </si>
  <si>
    <t xml:space="preserve">LP propria</t>
  </si>
  <si>
    <t xml:space="preserve">Operacao</t>
  </si>
  <si>
    <t xml:space="preserve">Produto</t>
  </si>
  <si>
    <t xml:space="preserve">Criativo (nota)</t>
  </si>
  <si>
    <t xml:space="preserve">Score ESCALA</t>
  </si>
  <si>
    <t xml:space="preserve">Score REPLICA</t>
  </si>
  <si>
    <t xml:space="preserve">SCORE FINAL</t>
  </si>
  <si>
    <t xml:space="preserve">Ad Library</t>
  </si>
  <si>
    <t xml:space="preserve">Site</t>
  </si>
  <si>
    <t xml:space="preserve">Instituto Alfa e Beto</t>
  </si>
  <si>
    <t xml:space="preserve">Alfabetizacao</t>
  </si>
  <si>
    <t xml:space="preserve">Infoproduto / Material digital</t>
  </si>
  <si>
    <t xml:space="preserve">Imagem</t>
  </si>
  <si>
    <t xml:space="preserve">Landing page propria</t>
  </si>
  <si>
    <t xml:space="preserve">alfaebeto.org.br, alfaebeto.lojaintegrada.com.br</t>
  </si>
  <si>
    <t xml:space="preserve">ver anuncios</t>
  </si>
  <si>
    <t xml:space="preserve">abrir</t>
  </si>
  <si>
    <t xml:space="preserve">Só Educador</t>
  </si>
  <si>
    <t xml:space="preserve">Atividades / material para imprimir</t>
  </si>
  <si>
    <t xml:space="preserve">Video</t>
  </si>
  <si>
    <t xml:space="preserve">soeducador.com.br, superkit.soeducador.com.br</t>
  </si>
  <si>
    <t xml:space="preserve">Valecup - Cursos Pedagógicos</t>
  </si>
  <si>
    <t xml:space="preserve">Curso / formacao para professor</t>
  </si>
  <si>
    <t xml:space="preserve">valecup.com.br</t>
  </si>
  <si>
    <t xml:space="preserve">Mind Makers</t>
  </si>
  <si>
    <t xml:space="preserve">mindmakers.com.br</t>
  </si>
  <si>
    <t xml:space="preserve">ElloCursos Psicologia</t>
  </si>
  <si>
    <t xml:space="preserve">Psicopedagogia / neuro / TEA</t>
  </si>
  <si>
    <t xml:space="preserve">ellocursos.com.br</t>
  </si>
  <si>
    <t xml:space="preserve">Kit Tarefinha Lúdica</t>
  </si>
  <si>
    <t xml:space="preserve">kittarefinhaludica.com.br</t>
  </si>
  <si>
    <t xml:space="preserve">Atividades Com Amor</t>
  </si>
  <si>
    <t xml:space="preserve">atividadescomamor.com.br</t>
  </si>
  <si>
    <t xml:space="preserve">Instituto NeuroSaber</t>
  </si>
  <si>
    <t xml:space="preserve">posneurosaber.com.br</t>
  </si>
  <si>
    <t xml:space="preserve">Profª Karina Tarefinhas</t>
  </si>
  <si>
    <t xml:space="preserve">api.whatsapp.com, silabassimples.karinatarefinhas.com.br</t>
  </si>
  <si>
    <t xml:space="preserve">Profesdainfancia</t>
  </si>
  <si>
    <t xml:space="preserve">monifaraon1755365946.hotmart.host</t>
  </si>
  <si>
    <t xml:space="preserve">Focanoensino</t>
  </si>
  <si>
    <t xml:space="preserve">Concurso / prova de professor</t>
  </si>
  <si>
    <t xml:space="preserve">focanoensino.com.br</t>
  </si>
  <si>
    <t xml:space="preserve">Mini Mins</t>
  </si>
  <si>
    <t xml:space="preserve">professoramarcellacampos.com.br</t>
  </si>
  <si>
    <t xml:space="preserve">Educação Infantil</t>
  </si>
  <si>
    <t xml:space="preserve">Material infantil (geral)</t>
  </si>
  <si>
    <t xml:space="preserve">brinquedosdepapelbr.netlify.app</t>
  </si>
  <si>
    <t xml:space="preserve">Família de Trigo</t>
  </si>
  <si>
    <t xml:space="preserve">Loja de material didatico</t>
  </si>
  <si>
    <t xml:space="preserve">loja.familiadetrigo.com.br</t>
  </si>
  <si>
    <t xml:space="preserve">Expert Kids</t>
  </si>
  <si>
    <t xml:space="preserve">50atividades.expertacademypro.com.br, ingles.expertacademypro.com.br</t>
  </si>
  <si>
    <t xml:space="preserve">Educare Cursos Online</t>
  </si>
  <si>
    <t xml:space="preserve">materialgratis.educarepedagogia.com.br, portal.educarepedagogia.com.br</t>
  </si>
  <si>
    <t xml:space="preserve">NovaSaber Educacional</t>
  </si>
  <si>
    <t xml:space="preserve">novasaberedu.com.br</t>
  </si>
  <si>
    <t xml:space="preserve">Camila Medeiros - Psicopedagoga</t>
  </si>
  <si>
    <t xml:space="preserve">profcamila.com</t>
  </si>
  <si>
    <t xml:space="preserve">Dra. Camila R.</t>
  </si>
  <si>
    <t xml:space="preserve">kitpsicomotorinfantil.lovable.app</t>
  </si>
  <si>
    <t xml:space="preserve">Educomunicação</t>
  </si>
  <si>
    <t xml:space="preserve">educomunicacao.ead.guru</t>
  </si>
  <si>
    <t xml:space="preserve">Alfabetizando Baixinhos</t>
  </si>
  <si>
    <t xml:space="preserve">api.whatsapp.com, ofertas.alfabetizandobaixinhos.com.br</t>
  </si>
  <si>
    <t xml:space="preserve">O Seu Professor</t>
  </si>
  <si>
    <t xml:space="preserve">oseuprofessor.com.br</t>
  </si>
  <si>
    <t xml:space="preserve">Pequenos Fluentes</t>
  </si>
  <si>
    <t xml:space="preserve">Ingles infantil</t>
  </si>
  <si>
    <t xml:space="preserve">Outro</t>
  </si>
  <si>
    <t xml:space="preserve">pequenosfluentes.com.br</t>
  </si>
  <si>
    <t xml:space="preserve">Pegada</t>
  </si>
  <si>
    <t xml:space="preserve">product-flair-maker.lovable.app</t>
  </si>
  <si>
    <t xml:space="preserve">Jardim dos Saberes D</t>
  </si>
  <si>
    <t xml:space="preserve">maiaracosta.com.br</t>
  </si>
  <si>
    <t xml:space="preserve">Instituto Preparatório para Professores</t>
  </si>
  <si>
    <t xml:space="preserve">institutopreparatorio.com.br, instagram.com</t>
  </si>
  <si>
    <t xml:space="preserve">Kit Educação Kids</t>
  </si>
  <si>
    <t xml:space="preserve">loja.educacaokids.com.br</t>
  </si>
  <si>
    <t xml:space="preserve">Amor de Pequenos</t>
  </si>
  <si>
    <t xml:space="preserve">educarcomamor.xyz</t>
  </si>
  <si>
    <t xml:space="preserve">Criar e Alfabetizar Site</t>
  </si>
  <si>
    <t xml:space="preserve">criarealfabetizar.com</t>
  </si>
  <si>
    <t xml:space="preserve">jeitoprofessoradeser</t>
  </si>
  <si>
    <t xml:space="preserve">jeitoprofessoradeser.com.br</t>
  </si>
  <si>
    <t xml:space="preserve">Congresso Brincar</t>
  </si>
  <si>
    <t xml:space="preserve">Evento / congresso online</t>
  </si>
  <si>
    <t xml:space="preserve">congressobrincar.com</t>
  </si>
  <si>
    <t xml:space="preserve">Ensinar e Transformar</t>
  </si>
  <si>
    <t xml:space="preserve">ensinaretransformar.com.br</t>
  </si>
  <si>
    <t xml:space="preserve">Clube Educação Física</t>
  </si>
  <si>
    <t xml:space="preserve">Educacao fisica / motora</t>
  </si>
  <si>
    <t xml:space="preserve">pay.kiwify.com.br</t>
  </si>
  <si>
    <t xml:space="preserve">Atividades da Prô - Recursos Pedagógicos</t>
  </si>
  <si>
    <t xml:space="preserve">Perfil / DM</t>
  </si>
  <si>
    <t xml:space="preserve">instagram.com</t>
  </si>
  <si>
    <t xml:space="preserve">EducaBrasil</t>
  </si>
  <si>
    <t xml:space="preserve">fb.me</t>
  </si>
  <si>
    <t xml:space="preserve">BL Apoio Pedagógico</t>
  </si>
  <si>
    <t xml:space="preserve">apoiopedagogico.com</t>
  </si>
  <si>
    <t xml:space="preserve">EadUnicv</t>
  </si>
  <si>
    <t xml:space="preserve">unicvedu.com.br</t>
  </si>
  <si>
    <t xml:space="preserve">Companhia na Educação</t>
  </si>
  <si>
    <t xml:space="preserve">Encurtador</t>
  </si>
  <si>
    <t xml:space="preserve">bit.ly, tinyurl.com</t>
  </si>
  <si>
    <t xml:space="preserve">Prime Cursos</t>
  </si>
  <si>
    <t xml:space="preserve">primecursos.com.br</t>
  </si>
  <si>
    <t xml:space="preserve">EAD Pleno São Luís</t>
  </si>
  <si>
    <t xml:space="preserve">poseadsaoluis.com.br</t>
  </si>
  <si>
    <t xml:space="preserve">ProPedagogia - Concursos para Professores</t>
  </si>
  <si>
    <t xml:space="preserve">aprovado.propedagogia.com.br</t>
  </si>
  <si>
    <t xml:space="preserve">Prof Decorativa</t>
  </si>
  <si>
    <t xml:space="preserve">profdecorativa.com.br</t>
  </si>
  <si>
    <t xml:space="preserve">Tudo para o Professor</t>
  </si>
  <si>
    <t xml:space="preserve">tudoparaoprofessor.com.br</t>
  </si>
  <si>
    <t xml:space="preserve">Antes que Vire</t>
  </si>
  <si>
    <t xml:space="preserve">antesquevire.com.br</t>
  </si>
  <si>
    <t xml:space="preserve">Guias e Manuais para ajuda</t>
  </si>
  <si>
    <t xml:space="preserve">Jogos e ludico</t>
  </si>
  <si>
    <t xml:space="preserve">jogoseducativosr.vercel.app</t>
  </si>
  <si>
    <t xml:space="preserve">Prof. Jaci Recursos Pedagógicos</t>
  </si>
  <si>
    <t xml:space="preserve">WhatsApp direto</t>
  </si>
  <si>
    <t xml:space="preserve">api.whatsapp.com</t>
  </si>
  <si>
    <t xml:space="preserve">Voa Conhecimento</t>
  </si>
  <si>
    <t xml:space="preserve">voaconhecimento.com.br</t>
  </si>
  <si>
    <t xml:space="preserve">Grupo Educacional Acesso</t>
  </si>
  <si>
    <t xml:space="preserve">cursoacesso.com.br</t>
  </si>
  <si>
    <t xml:space="preserve">teterecoss</t>
  </si>
  <si>
    <t xml:space="preserve">teterecoss.com.br</t>
  </si>
  <si>
    <t xml:space="preserve">Prof º Jaqueline</t>
  </si>
  <si>
    <t xml:space="preserve">Eduhot Cursos Online</t>
  </si>
  <si>
    <t xml:space="preserve">eduhot.com.br</t>
  </si>
  <si>
    <t xml:space="preserve">Mundo Pedagógico Profª Greice Moura</t>
  </si>
  <si>
    <t xml:space="preserve">mundopedagogicogm.com.br</t>
  </si>
  <si>
    <t xml:space="preserve">Estevão Torres</t>
  </si>
  <si>
    <t xml:space="preserve">site.arquivopratico.online</t>
  </si>
  <si>
    <t xml:space="preserve">Colégio Logosófico São Paulo</t>
  </si>
  <si>
    <t xml:space="preserve">portas-abertas-capture.lovable.app</t>
  </si>
  <si>
    <t xml:space="preserve">Prof. Antonio Esteca</t>
  </si>
  <si>
    <t xml:space="preserve">NeuroSaber</t>
  </si>
  <si>
    <t xml:space="preserve">promaisneurosaber.com.br</t>
  </si>
  <si>
    <t xml:space="preserve">Gabarito Educação</t>
  </si>
  <si>
    <t xml:space="preserve">gabaritoeducacao.com</t>
  </si>
  <si>
    <t xml:space="preserve">Profa Evelyn Cassillo</t>
  </si>
  <si>
    <t xml:space="preserve">Mundo da pedagogia</t>
  </si>
  <si>
    <t xml:space="preserve">Amo.alfabetizar</t>
  </si>
  <si>
    <t xml:space="preserve">Bolacha Pedagógica</t>
  </si>
  <si>
    <t xml:space="preserve">Pedagogia toda hora</t>
  </si>
  <si>
    <t xml:space="preserve">Prof Juliana</t>
  </si>
  <si>
    <t xml:space="preserve">Pedagoga Aprovada</t>
  </si>
  <si>
    <t xml:space="preserve">EducaPrática</t>
  </si>
  <si>
    <t xml:space="preserve">Professora Tatiane Moraes</t>
  </si>
  <si>
    <t xml:space="preserve">Aprendendo para Ensinar</t>
  </si>
  <si>
    <t xml:space="preserve">lnk.bio</t>
  </si>
  <si>
    <t xml:space="preserve">Educação Premium</t>
  </si>
  <si>
    <t xml:space="preserve">Mapas Pedagógicos</t>
  </si>
  <si>
    <t xml:space="preserve">2. MAIOR ESCALA - todos os 314 anunciantes</t>
  </si>
  <si>
    <t xml:space="preserve">Ordenado por tempo no ar do melhor anuncio. Use o filtro da coluna Categoria pra separar escola de infoproduto.</t>
  </si>
  <si>
    <t xml:space="preserve">Escola de Educação Infantil Conviver</t>
  </si>
  <si>
    <t xml:space="preserve">Escola / Matricula</t>
  </si>
  <si>
    <t xml:space="preserve">facebook.com</t>
  </si>
  <si>
    <t xml:space="preserve">espaco_alvo_triangulo</t>
  </si>
  <si>
    <t xml:space="preserve">Indefinido</t>
  </si>
  <si>
    <t xml:space="preserve">Escola Kids</t>
  </si>
  <si>
    <t xml:space="preserve">Sem link</t>
  </si>
  <si>
    <t xml:space="preserve">-</t>
  </si>
  <si>
    <t xml:space="preserve">Ápice Educação Infantil</t>
  </si>
  <si>
    <t xml:space="preserve">Escola de Educação Infantil Turminha da Piquitita</t>
  </si>
  <si>
    <t xml:space="preserve">DOM TITON - Escola Integral de Educação Infantil</t>
  </si>
  <si>
    <t xml:space="preserve">colorecrecheescola</t>
  </si>
  <si>
    <t xml:space="preserve">Escola JM</t>
  </si>
  <si>
    <t xml:space="preserve">Colégio Destaque</t>
  </si>
  <si>
    <t xml:space="preserve">Baby Passinho - Berçário e Educação Infantil</t>
  </si>
  <si>
    <t xml:space="preserve">Colore Creche Escola</t>
  </si>
  <si>
    <t xml:space="preserve">instagram.com, api.whatsapp.com</t>
  </si>
  <si>
    <t xml:space="preserve">infinito_afeto</t>
  </si>
  <si>
    <t xml:space="preserve">Mariane Assis Dias</t>
  </si>
  <si>
    <t xml:space="preserve">Ensina Mais Franquias</t>
  </si>
  <si>
    <t xml:space="preserve">franquias.moveedu.com.br</t>
  </si>
  <si>
    <t xml:space="preserve">Anhanguera Educacional</t>
  </si>
  <si>
    <t xml:space="preserve">Colégio Nossa Senhora da Misericórdia - Vargem Grande Paulista</t>
  </si>
  <si>
    <t xml:space="preserve">one.crmeducacional.com</t>
  </si>
  <si>
    <t xml:space="preserve">Câmara Municipal da Serra</t>
  </si>
  <si>
    <t xml:space="preserve">Politico / Fora do nicho</t>
  </si>
  <si>
    <t xml:space="preserve">CIEC Bilíngue</t>
  </si>
  <si>
    <t xml:space="preserve">ciecpe.com.br, api.whatsapp.com</t>
  </si>
  <si>
    <t xml:space="preserve">Bolsaê</t>
  </si>
  <si>
    <t xml:space="preserve">Editora / Sistema B2B</t>
  </si>
  <si>
    <t xml:space="preserve">bolsae.com.br</t>
  </si>
  <si>
    <t xml:space="preserve">Colégio Peres Osasco</t>
  </si>
  <si>
    <t xml:space="preserve">CLQ Colégio</t>
  </si>
  <si>
    <t xml:space="preserve">Escola do Sítio - Educação Infantil e Ensino Fundamental Campinas</t>
  </si>
  <si>
    <t xml:space="preserve">Escola Lápis</t>
  </si>
  <si>
    <t xml:space="preserve">IESV-Instituto Educacional Sol de Verão</t>
  </si>
  <si>
    <t xml:space="preserve">iesv.com.br</t>
  </si>
  <si>
    <t xml:space="preserve">Petit Kids Cultural Center</t>
  </si>
  <si>
    <t xml:space="preserve">Escola Santa Marina</t>
  </si>
  <si>
    <t xml:space="preserve">ECC</t>
  </si>
  <si>
    <t xml:space="preserve">Colégio Santa Mônica</t>
  </si>
  <si>
    <t xml:space="preserve">Colégio CCAT.</t>
  </si>
  <si>
    <t xml:space="preserve">berryconsultoria.com.br</t>
  </si>
  <si>
    <t xml:space="preserve">Escola de Educação Infantil Balão Mágico</t>
  </si>
  <si>
    <t xml:space="preserve">Colégio Júlio Mesquita</t>
  </si>
  <si>
    <t xml:space="preserve">Instituto Educacional Gênesis</t>
  </si>
  <si>
    <t xml:space="preserve">Realiza Cursos</t>
  </si>
  <si>
    <t xml:space="preserve">Projeto Missionário Luz Em Cristo</t>
  </si>
  <si>
    <t xml:space="preserve">Creche e Escola Raio de Sol</t>
  </si>
  <si>
    <t xml:space="preserve">Escola Florescer</t>
  </si>
  <si>
    <t xml:space="preserve">Escola Árvore da Vida São Luis</t>
  </si>
  <si>
    <t xml:space="preserve">CEPI Expansão</t>
  </si>
  <si>
    <t xml:space="preserve">cepiexpansao-matriculas.com.br</t>
  </si>
  <si>
    <t xml:space="preserve">Cata Vento Escola Educação Infantil</t>
  </si>
  <si>
    <t xml:space="preserve">Berçario Crescer Kids</t>
  </si>
  <si>
    <t xml:space="preserve">Colégio CB</t>
  </si>
  <si>
    <t xml:space="preserve">Colegio Redentor</t>
  </si>
  <si>
    <t xml:space="preserve">Clube Fundamento</t>
  </si>
  <si>
    <t xml:space="preserve">Central de Matrículas</t>
  </si>
  <si>
    <t xml:space="preserve">Colégio Bertolazzi</t>
  </si>
  <si>
    <t xml:space="preserve">Escola Criança Arteira</t>
  </si>
  <si>
    <t xml:space="preserve">Comunidade Crescsemente</t>
  </si>
  <si>
    <t xml:space="preserve">Little People School</t>
  </si>
  <si>
    <t xml:space="preserve">instagram.com, littlepeopleschool.com.br</t>
  </si>
  <si>
    <t xml:space="preserve">Colibri Athenas - Colégio e Curso</t>
  </si>
  <si>
    <t xml:space="preserve">Colégio Álamo Vinhedo</t>
  </si>
  <si>
    <t xml:space="preserve">colegioalamovinhedo.com.br</t>
  </si>
  <si>
    <t xml:space="preserve">Acalanto Escolinha de Educação Infantil</t>
  </si>
  <si>
    <t xml:space="preserve">Maple Bear Belenzinho</t>
  </si>
  <si>
    <t xml:space="preserve">Anglo Pouso Alegre</t>
  </si>
  <si>
    <t xml:space="preserve">Colégio ABC</t>
  </si>
  <si>
    <t xml:space="preserve">Colégio Dimensão Avaré</t>
  </si>
  <si>
    <t xml:space="preserve">Centro Educacional Semente de Sabedoria do Amazonas - Cessam</t>
  </si>
  <si>
    <t xml:space="preserve">Escola DóRéMí</t>
  </si>
  <si>
    <t xml:space="preserve">Fadelito Educação Infantil</t>
  </si>
  <si>
    <t xml:space="preserve">lp.fadelito.com.br</t>
  </si>
  <si>
    <t xml:space="preserve">Mundo Moderno</t>
  </si>
  <si>
    <t xml:space="preserve">Colégio Oswald</t>
  </si>
  <si>
    <t xml:space="preserve">instagram.com, matriculas.colegiooswald.com.br</t>
  </si>
  <si>
    <t xml:space="preserve">Sabermais671 Connected Page</t>
  </si>
  <si>
    <t xml:space="preserve">Balão Mágico Escola de Ed.Infantil</t>
  </si>
  <si>
    <t xml:space="preserve">Hoepers &amp; Neves Assessoria Jurídica Empresarial</t>
  </si>
  <si>
    <t xml:space="preserve">Colégio Franciscano São Miguel Arcanjo</t>
  </si>
  <si>
    <t xml:space="preserve">colegiosaomiguel.com.br</t>
  </si>
  <si>
    <t xml:space="preserve">Colégio Saint John</t>
  </si>
  <si>
    <t xml:space="preserve">Escola de Ensino Médio Aurora</t>
  </si>
  <si>
    <t xml:space="preserve">Colégio Estrutural</t>
  </si>
  <si>
    <t xml:space="preserve">Petit Enfant - Escola de Educação Infantil</t>
  </si>
  <si>
    <t xml:space="preserve">Diálogos Embalados</t>
  </si>
  <si>
    <t xml:space="preserve">Pontinho Educação Infantil</t>
  </si>
  <si>
    <t xml:space="preserve">Colégio SiriuS</t>
  </si>
  <si>
    <t xml:space="preserve">colegiosirius.com.br</t>
  </si>
  <si>
    <t xml:space="preserve">Matrículas Faveni</t>
  </si>
  <si>
    <t xml:space="preserve">EAD / Faculdade</t>
  </si>
  <si>
    <t xml:space="preserve">Editora Via Lúdica</t>
  </si>
  <si>
    <t xml:space="preserve">conteudo.editoravialudica.com.br, pnld.editoravialudica.com.br</t>
  </si>
  <si>
    <t xml:space="preserve">Colégio Future</t>
  </si>
  <si>
    <t xml:space="preserve">Colégio Master Educação Infantil</t>
  </si>
  <si>
    <t xml:space="preserve">api.whatsapp.com, instagram.com</t>
  </si>
  <si>
    <t xml:space="preserve">Colegio Vertical</t>
  </si>
  <si>
    <t xml:space="preserve">Colégio São José da Imaculada Conceição Poços de Caldas</t>
  </si>
  <si>
    <t xml:space="preserve">Sistema Anglo de Ensino</t>
  </si>
  <si>
    <t xml:space="preserve">sistemaanglo.com.br, conteudos.sistemaanglo.com.br</t>
  </si>
  <si>
    <t xml:space="preserve">Faveni João Monlevade</t>
  </si>
  <si>
    <t xml:space="preserve">Kingdom School</t>
  </si>
  <si>
    <t xml:space="preserve">mykingdomschool.com.br, escola.mykingdomschool.com.br</t>
  </si>
  <si>
    <t xml:space="preserve">Colégio Semeador</t>
  </si>
  <si>
    <t xml:space="preserve">colegiosemeador.com.br</t>
  </si>
  <si>
    <t xml:space="preserve">Algo Tão Doce CRI</t>
  </si>
  <si>
    <t xml:space="preserve">Trelele Creche Escola</t>
  </si>
  <si>
    <t xml:space="preserve">Colégio Notre Dame Ipanema</t>
  </si>
  <si>
    <t xml:space="preserve">matriculas.notredame.org.br</t>
  </si>
  <si>
    <t xml:space="preserve">Colégio Geração 2000 ( Oficial )</t>
  </si>
  <si>
    <t xml:space="preserve">Colégio Rodrigues Lima</t>
  </si>
  <si>
    <t xml:space="preserve">Centro de Educação Infantil Vivência</t>
  </si>
  <si>
    <t xml:space="preserve">Escola São Domingos</t>
  </si>
  <si>
    <t xml:space="preserve">sundayseducacao.com.br</t>
  </si>
  <si>
    <t xml:space="preserve">Sundays Educação Infantil Integral</t>
  </si>
  <si>
    <t xml:space="preserve">Liceu Jardim</t>
  </si>
  <si>
    <t xml:space="preserve">liceujardim.com</t>
  </si>
  <si>
    <t xml:space="preserve">Escola Americana de Vitória</t>
  </si>
  <si>
    <t xml:space="preserve">Soluções Moderna</t>
  </si>
  <si>
    <t xml:space="preserve">instagram.com, solucoesmoderna.com.br</t>
  </si>
  <si>
    <t xml:space="preserve">Legacy School</t>
  </si>
  <si>
    <t xml:space="preserve">legacyschool.com.br</t>
  </si>
  <si>
    <t xml:space="preserve">Colégio Positivo Master</t>
  </si>
  <si>
    <t xml:space="preserve">Legacy School Ilha do Governador</t>
  </si>
  <si>
    <t xml:space="preserve">Escola Emídio Bispo</t>
  </si>
  <si>
    <t xml:space="preserve">Maple Bear Sete Lagoas</t>
  </si>
  <si>
    <t xml:space="preserve">Juliana Arruda</t>
  </si>
  <si>
    <t xml:space="preserve">pnld.editoravialudica.com.br</t>
  </si>
  <si>
    <t xml:space="preserve">Colégio Gutenberg</t>
  </si>
  <si>
    <t xml:space="preserve">Meimei Escola</t>
  </si>
  <si>
    <t xml:space="preserve">Escola de Educação Infantil Euro Kids</t>
  </si>
  <si>
    <t xml:space="preserve">Algodão Doce / Ciem</t>
  </si>
  <si>
    <t xml:space="preserve">Cultura Inglesa MG</t>
  </si>
  <si>
    <t xml:space="preserve">culturainglesamg.com.br</t>
  </si>
  <si>
    <t xml:space="preserve">UniFatecie Ensino à Distância</t>
  </si>
  <si>
    <t xml:space="preserve">bercariohumaninhos</t>
  </si>
  <si>
    <t xml:space="preserve">Colégio Positivo Joinville</t>
  </si>
  <si>
    <t xml:space="preserve">Vila Olímpia Bilingual School</t>
  </si>
  <si>
    <t xml:space="preserve">Geekie Educação</t>
  </si>
  <si>
    <t xml:space="preserve">material.geekie.com.br</t>
  </si>
  <si>
    <t xml:space="preserve">Colégio São Judas Tadeu</t>
  </si>
  <si>
    <t xml:space="preserve">Vila Materna Maceió</t>
  </si>
  <si>
    <t xml:space="preserve">Fadelito Piracicaba</t>
  </si>
  <si>
    <t xml:space="preserve">fadelito.com.br</t>
  </si>
  <si>
    <t xml:space="preserve">Jardim dos Saberes</t>
  </si>
  <si>
    <t xml:space="preserve">Mais Visao Itaborai e Alcantara</t>
  </si>
  <si>
    <t xml:space="preserve">Colégio Positivo Londrina</t>
  </si>
  <si>
    <t xml:space="preserve">instagram.com, colegiopositivo.com.br</t>
  </si>
  <si>
    <t xml:space="preserve">Fadelito Campinas</t>
  </si>
  <si>
    <t xml:space="preserve">COLÉGIO APRENDIZ</t>
  </si>
  <si>
    <t xml:space="preserve">Dom Alberto</t>
  </si>
  <si>
    <t xml:space="preserve">Faveni - CenterLink</t>
  </si>
  <si>
    <t xml:space="preserve">acasadascriancas1</t>
  </si>
  <si>
    <t xml:space="preserve">Educacional Faveni</t>
  </si>
  <si>
    <t xml:space="preserve">Pedagomania Kids</t>
  </si>
  <si>
    <t xml:space="preserve">Américo Escribo</t>
  </si>
  <si>
    <t xml:space="preserve">instagram.com, escribo.revenuelab.com.br</t>
  </si>
  <si>
    <t xml:space="preserve">Polo Faveni São Sebastião</t>
  </si>
  <si>
    <t xml:space="preserve">Maple Bear Belo Horizonte</t>
  </si>
  <si>
    <t xml:space="preserve">Colégio Cristo Rei</t>
  </si>
  <si>
    <t xml:space="preserve">Educaline Brasil</t>
  </si>
  <si>
    <t xml:space="preserve">educaline.com.br</t>
  </si>
  <si>
    <t xml:space="preserve">Escola Gurilândia</t>
  </si>
  <si>
    <t xml:space="preserve">lp.gurilandia.com.br</t>
  </si>
  <si>
    <t xml:space="preserve">ANTON - O App educativo gratuito para a escola</t>
  </si>
  <si>
    <t xml:space="preserve">lp.anton.app</t>
  </si>
  <si>
    <t xml:space="preserve">Colégio Bernoulli Vale do Sereno</t>
  </si>
  <si>
    <t xml:space="preserve">viva.bernoulli.com.br</t>
  </si>
  <si>
    <t xml:space="preserve">Colégio ETAPA</t>
  </si>
  <si>
    <t xml:space="preserve">evento.etapa.com.br, colegioetapa.com.br</t>
  </si>
  <si>
    <t xml:space="preserve">RED HOUSE Santo André</t>
  </si>
  <si>
    <t xml:space="preserve">redhouse.com.br</t>
  </si>
  <si>
    <t xml:space="preserve">Escola Viva</t>
  </si>
  <si>
    <t xml:space="preserve">saibamais.escolaviva.com.br</t>
  </si>
  <si>
    <t xml:space="preserve">Faveni Ead</t>
  </si>
  <si>
    <t xml:space="preserve">Fadelito Jardins</t>
  </si>
  <si>
    <t xml:space="preserve">RED HOUSE Sorocaba</t>
  </si>
  <si>
    <t xml:space="preserve">Sistema de Ensino pH</t>
  </si>
  <si>
    <t xml:space="preserve">conteudos.somoseducacao.com.br</t>
  </si>
  <si>
    <t xml:space="preserve">Escola Granja Viana</t>
  </si>
  <si>
    <t xml:space="preserve">infantil.escolagranjaviana.com.br</t>
  </si>
  <si>
    <t xml:space="preserve">Xplay Education</t>
  </si>
  <si>
    <t xml:space="preserve">Paulo Sérgio</t>
  </si>
  <si>
    <t xml:space="preserve">Colégio Companhia do Saber</t>
  </si>
  <si>
    <t xml:space="preserve">Skooly</t>
  </si>
  <si>
    <t xml:space="preserve">skooly.com.br</t>
  </si>
  <si>
    <t xml:space="preserve">Anglo São Carlos</t>
  </si>
  <si>
    <t xml:space="preserve">anglosaocarlos.com.br</t>
  </si>
  <si>
    <t xml:space="preserve">Instituto Quintino Escola - Espaço Kids</t>
  </si>
  <si>
    <t xml:space="preserve">Colégio Objetivo DF</t>
  </si>
  <si>
    <t xml:space="preserve">Colégio Marista São José</t>
  </si>
  <si>
    <t xml:space="preserve">colegiosmaristas.com.br</t>
  </si>
  <si>
    <t xml:space="preserve">Sistema Maxi de Ensino</t>
  </si>
  <si>
    <t xml:space="preserve">conteudos.sistemamaxi.com.br</t>
  </si>
  <si>
    <t xml:space="preserve">SIS Swiss International School</t>
  </si>
  <si>
    <t xml:space="preserve">Colégio Santa Mônica - Bonsucesso</t>
  </si>
  <si>
    <t xml:space="preserve">Colégio Cebama</t>
  </si>
  <si>
    <t xml:space="preserve">Colégio Santa Mônica - São Gonçalo</t>
  </si>
  <si>
    <t xml:space="preserve">Colégio Americano Guarapari</t>
  </si>
  <si>
    <t xml:space="preserve">americanoguarapari.doctum.edu.br</t>
  </si>
  <si>
    <t xml:space="preserve">Colégio Americano Laranjeiras</t>
  </si>
  <si>
    <t xml:space="preserve">americanoserra.doctum.edu.br</t>
  </si>
  <si>
    <t xml:space="preserve">Maple Bear Brasil</t>
  </si>
  <si>
    <t xml:space="preserve">SESI Amazonas</t>
  </si>
  <si>
    <t xml:space="preserve">forms.cloud.microsoft</t>
  </si>
  <si>
    <t xml:space="preserve">Maple Bear Guarulhos</t>
  </si>
  <si>
    <t xml:space="preserve">Julifadel</t>
  </si>
  <si>
    <t xml:space="preserve">Objetivo de Atibaia</t>
  </si>
  <si>
    <t xml:space="preserve">Sistema Degraus de Ensino</t>
  </si>
  <si>
    <t xml:space="preserve">Fundação Tide Setubal</t>
  </si>
  <si>
    <t xml:space="preserve">EPEI Nossa Senhora Aparecida</t>
  </si>
  <si>
    <t xml:space="preserve">Pallotti - Colégio Antônio Alves Ramos</t>
  </si>
  <si>
    <t xml:space="preserve">The Joy School Eloy Chaves</t>
  </si>
  <si>
    <t xml:space="preserve">CEI Pequeno Anjo</t>
  </si>
  <si>
    <t xml:space="preserve">Colégio Movhi</t>
  </si>
  <si>
    <t xml:space="preserve">materiais.colegiomovhi.com.br</t>
  </si>
  <si>
    <t xml:space="preserve">Cultura Inglesa Bilingual School</t>
  </si>
  <si>
    <t xml:space="preserve">facebook.com, culturainglesa.com.br</t>
  </si>
  <si>
    <t xml:space="preserve">Red Balloon Escola de Inglês</t>
  </si>
  <si>
    <t xml:space="preserve">RosaeAzul01</t>
  </si>
  <si>
    <t xml:space="preserve">Colégio Tutor</t>
  </si>
  <si>
    <t xml:space="preserve">matriculas26.colegiotutor.com.br</t>
  </si>
  <si>
    <t xml:space="preserve">FTD PNLD</t>
  </si>
  <si>
    <t xml:space="preserve">pnld.ftd.com.br</t>
  </si>
  <si>
    <t xml:space="preserve">Colégio Nova Geração</t>
  </si>
  <si>
    <t xml:space="preserve">Colégio Nossa Senhora da Conceição</t>
  </si>
  <si>
    <t xml:space="preserve">instagram.com, forms.gle</t>
  </si>
  <si>
    <t xml:space="preserve">Colégio 24 de Maio</t>
  </si>
  <si>
    <t xml:space="preserve">Escola Opção Kids</t>
  </si>
  <si>
    <t xml:space="preserve">Colégio Davina Gasparini</t>
  </si>
  <si>
    <t xml:space="preserve">Escola Colmeia</t>
  </si>
  <si>
    <t xml:space="preserve">Irium Educação</t>
  </si>
  <si>
    <t xml:space="preserve">Poliedro Colégio</t>
  </si>
  <si>
    <t xml:space="preserve">colegiopoliedro.com.br</t>
  </si>
  <si>
    <t xml:space="preserve">Colégio Dom Castello Objetivo Ourinhos</t>
  </si>
  <si>
    <t xml:space="preserve">Colégio Católica Curitiba</t>
  </si>
  <si>
    <t xml:space="preserve">lp.curitiba.catolica.edu.br</t>
  </si>
  <si>
    <t xml:space="preserve">Colégio Positivo</t>
  </si>
  <si>
    <t xml:space="preserve">colegiopositivo.com.br, api.whatsapp.com</t>
  </si>
  <si>
    <t xml:space="preserve">Escola de Educação Infantil Amor Educa - São Bento</t>
  </si>
  <si>
    <t xml:space="preserve">Maple Bear Santa Rosa</t>
  </si>
  <si>
    <t xml:space="preserve">Aprende Brasil Educação</t>
  </si>
  <si>
    <t xml:space="preserve">sistemaname.com.br</t>
  </si>
  <si>
    <t xml:space="preserve">Colégio Christus</t>
  </si>
  <si>
    <t xml:space="preserve">CPR Colégio Pedro e Rafael</t>
  </si>
  <si>
    <t xml:space="preserve">Colégio Ábaco</t>
  </si>
  <si>
    <t xml:space="preserve">colegioabaco.com.br, atlasedu.com.br</t>
  </si>
  <si>
    <t xml:space="preserve">International School</t>
  </si>
  <si>
    <t xml:space="preserve">internationalschool.global</t>
  </si>
  <si>
    <t xml:space="preserve">Maple Bear Recreio</t>
  </si>
  <si>
    <t xml:space="preserve">Colégio DOM de Educar</t>
  </si>
  <si>
    <t xml:space="preserve">Imagine Só Educação Infantil</t>
  </si>
  <si>
    <t xml:space="preserve">Colégio Santa Maria Minas</t>
  </si>
  <si>
    <t xml:space="preserve">santamaria.pucminas.br</t>
  </si>
  <si>
    <t xml:space="preserve">SAS Plataforma de Educação</t>
  </si>
  <si>
    <t xml:space="preserve">Escola Cristã Gomes</t>
  </si>
  <si>
    <t xml:space="preserve">Escola SEB Dom Bosco</t>
  </si>
  <si>
    <t xml:space="preserve">lp.curitiba-dombosco.escolaseb.com.br</t>
  </si>
  <si>
    <t xml:space="preserve">Colégio Santa Maria</t>
  </si>
  <si>
    <t xml:space="preserve">lp.colegiosantamaria.com.br</t>
  </si>
  <si>
    <t xml:space="preserve">Escola SEB Unimaster</t>
  </si>
  <si>
    <t xml:space="preserve">lp.escolaseb.com.br</t>
  </si>
  <si>
    <t xml:space="preserve">Colégio Objetivo Peruíbe</t>
  </si>
  <si>
    <t xml:space="preserve">objetivoperuibe.com.br</t>
  </si>
  <si>
    <t xml:space="preserve">Chromos Colégio E Pré</t>
  </si>
  <si>
    <t xml:space="preserve">chromos.com.br</t>
  </si>
  <si>
    <t xml:space="preserve">Instituto Hilda Ferreira</t>
  </si>
  <si>
    <t xml:space="preserve">Pensi+</t>
  </si>
  <si>
    <t xml:space="preserve">pensimais.com.br</t>
  </si>
  <si>
    <t xml:space="preserve">Colégio Integrado</t>
  </si>
  <si>
    <t xml:space="preserve">souintegrado.com.br</t>
  </si>
  <si>
    <t xml:space="preserve">Colégio Singular Anglo - Oficial</t>
  </si>
  <si>
    <t xml:space="preserve">Ciranda Escola</t>
  </si>
  <si>
    <t xml:space="preserve">Mundo Pedagógico Kids</t>
  </si>
  <si>
    <t xml:space="preserve">Colégio Bagozzi</t>
  </si>
  <si>
    <t xml:space="preserve">visite.bagozzi.edu.br</t>
  </si>
  <si>
    <t xml:space="preserve">Espaço Colégio Day Care</t>
  </si>
  <si>
    <t xml:space="preserve">api.whatsapp.com, espacodaycare.com.br</t>
  </si>
  <si>
    <t xml:space="preserve">Casa Escola</t>
  </si>
  <si>
    <t xml:space="preserve">Sarto</t>
  </si>
  <si>
    <t xml:space="preserve">Colégio Santa Sofia</t>
  </si>
  <si>
    <t xml:space="preserve">conteudocolegiosantasofia.angulodigital.com.br</t>
  </si>
  <si>
    <t xml:space="preserve">Instituto Transforma Edu</t>
  </si>
  <si>
    <t xml:space="preserve">institutotransformaedu.gupy.io</t>
  </si>
  <si>
    <t xml:space="preserve">Colégio Nós</t>
  </si>
  <si>
    <t xml:space="preserve">matriculas.colegionos.com</t>
  </si>
  <si>
    <t xml:space="preserve">Centro Educacional Essência de Vida</t>
  </si>
  <si>
    <t xml:space="preserve">Colégio Universitário de Londrina</t>
  </si>
  <si>
    <t xml:space="preserve">colegioecursouniversitario.com.br</t>
  </si>
  <si>
    <t xml:space="preserve">Estrelakidsofcial</t>
  </si>
  <si>
    <t xml:space="preserve">Colégio Real</t>
  </si>
  <si>
    <t xml:space="preserve">Colégio APOGEU</t>
  </si>
  <si>
    <t xml:space="preserve">Escola Rembrandt</t>
  </si>
  <si>
    <t xml:space="preserve">escolarembrandt.com.br</t>
  </si>
  <si>
    <t xml:space="preserve">Página "Carlos Amastha"</t>
  </si>
  <si>
    <t xml:space="preserve">Colégio Antares</t>
  </si>
  <si>
    <t xml:space="preserve">colegioantares.com.br</t>
  </si>
  <si>
    <t xml:space="preserve">Colégio Objetivo</t>
  </si>
  <si>
    <t xml:space="preserve">objetivo.br</t>
  </si>
  <si>
    <t xml:space="preserve">Colégio Ineditec</t>
  </si>
  <si>
    <t xml:space="preserve">Colégio Carlos Drummond de Andrade</t>
  </si>
  <si>
    <t xml:space="preserve">Colégio Itatiaia</t>
  </si>
  <si>
    <t xml:space="preserve">colegioitatiaia.com.br</t>
  </si>
  <si>
    <t xml:space="preserve">SAGRADO - Rede de Educação</t>
  </si>
  <si>
    <t xml:space="preserve">campanha.redesagradosul.com.br</t>
  </si>
  <si>
    <t xml:space="preserve">Yury Bruno</t>
  </si>
  <si>
    <t xml:space="preserve">Mendonça Filho</t>
  </si>
  <si>
    <t xml:space="preserve">Colégio CEI</t>
  </si>
  <si>
    <t xml:space="preserve">ceinet.com.br</t>
  </si>
  <si>
    <t xml:space="preserve">Paulo Teixeira</t>
  </si>
  <si>
    <t xml:space="preserve">Colégio Básico de Campinas</t>
  </si>
  <si>
    <t xml:space="preserve">Zoológico de São Paulo</t>
  </si>
  <si>
    <t xml:space="preserve">zoologico.com.br</t>
  </si>
  <si>
    <t xml:space="preserve">Colégio Motivo</t>
  </si>
  <si>
    <t xml:space="preserve">colegiomotivo.com.br</t>
  </si>
  <si>
    <t xml:space="preserve">André Gomes</t>
  </si>
  <si>
    <t xml:space="preserve">Pedro Uczai</t>
  </si>
  <si>
    <t xml:space="preserve">Atto Educacional</t>
  </si>
  <si>
    <t xml:space="preserve">attoeducacional.com.br</t>
  </si>
  <si>
    <t xml:space="preserve">Plaza Shopping Niteroi</t>
  </si>
  <si>
    <t xml:space="preserve">plazaniteroi.com.br</t>
  </si>
  <si>
    <t xml:space="preserve">Pensi Colégio e Curso</t>
  </si>
  <si>
    <t xml:space="preserve">pensi.com.br</t>
  </si>
  <si>
    <t xml:space="preserve">Colégio ARBOS</t>
  </si>
  <si>
    <t xml:space="preserve">Escola Visconde de Sabugosa</t>
  </si>
  <si>
    <t xml:space="preserve">escolaviscondedesabugosa.com.br</t>
  </si>
  <si>
    <t xml:space="preserve">Ju Mildemberg</t>
  </si>
  <si>
    <t xml:space="preserve">CIE / Centro Integrado de Ensino</t>
  </si>
  <si>
    <t xml:space="preserve">cieducando.com.br</t>
  </si>
  <si>
    <t xml:space="preserve">Pritt</t>
  </si>
  <si>
    <t xml:space="preserve">prittworld.com.br</t>
  </si>
  <si>
    <t xml:space="preserve">Página "Eliel Miranda"</t>
  </si>
  <si>
    <t xml:space="preserve">Miguel Coelho</t>
  </si>
  <si>
    <t xml:space="preserve">Veja dicas de pesquisa.</t>
  </si>
  <si>
    <t xml:space="preserve">Marília Campos</t>
  </si>
  <si>
    <t xml:space="preserve">3. BASE COMPLETA - 462 anuncios ativos</t>
  </si>
  <si>
    <t xml:space="preserve">Um anuncio por linha, exatamente como veio do export.</t>
  </si>
  <si>
    <t xml:space="preserve">Inicio</t>
  </si>
  <si>
    <t xml:space="preserve">Dias no ar</t>
  </si>
  <si>
    <t xml:space="preserve">Ad Library do anunciante</t>
  </si>
  <si>
    <t xml:space="preserve">Link do anuncio</t>
  </si>
  <si>
    <t xml:space="preserve">Fri Jul 21 2023</t>
  </si>
  <si>
    <t xml:space="preserve">Sat Nov 18 2023</t>
  </si>
  <si>
    <t xml:space="preserve">Fri Mar 29 2024</t>
  </si>
  <si>
    <t xml:space="preserve">Tue Apr 16 2024</t>
  </si>
  <si>
    <t xml:space="preserve">Fri May 10 2024</t>
  </si>
  <si>
    <t xml:space="preserve">Thu May 16 2024</t>
  </si>
  <si>
    <t xml:space="preserve">Mon May 27 2024</t>
  </si>
  <si>
    <t xml:space="preserve">Fri Jul 12 2024</t>
  </si>
  <si>
    <t xml:space="preserve">Fri Oct 11 2024</t>
  </si>
  <si>
    <t xml:space="preserve">Wed Nov 13 2024</t>
  </si>
  <si>
    <t xml:space="preserve">Tue Dec 03 2024</t>
  </si>
  <si>
    <t xml:space="preserve">Sun Feb 02 2025</t>
  </si>
  <si>
    <t xml:space="preserve">Wed Feb 05 2025</t>
  </si>
  <si>
    <t xml:space="preserve">Mon Feb 24 2025</t>
  </si>
  <si>
    <t xml:space="preserve">Wed Feb 26 2025</t>
  </si>
  <si>
    <t xml:space="preserve">Mon Apr 14 2025</t>
  </si>
  <si>
    <t xml:space="preserve">Tue May 20 2025</t>
  </si>
  <si>
    <t xml:space="preserve">Wed May 28 2025</t>
  </si>
  <si>
    <t xml:space="preserve">Sun Jun 01 2025</t>
  </si>
  <si>
    <t xml:space="preserve">Wed Jun 04 2025</t>
  </si>
  <si>
    <t xml:space="preserve">Fri Jun 06 2025</t>
  </si>
  <si>
    <t xml:space="preserve">Thu Jun 12 2025</t>
  </si>
  <si>
    <t xml:space="preserve">alfaebeto.lojaintegrada.com.br</t>
  </si>
  <si>
    <t xml:space="preserve">Thu Jun 19 2025</t>
  </si>
  <si>
    <t xml:space="preserve">Thu Jul 03 2025</t>
  </si>
  <si>
    <t xml:space="preserve">Tue Jul 15 2025</t>
  </si>
  <si>
    <t xml:space="preserve">Wed Jul 23 2025</t>
  </si>
  <si>
    <t xml:space="preserve">Tue Aug 05 2025</t>
  </si>
  <si>
    <t xml:space="preserve">ciecpe.com.br</t>
  </si>
  <si>
    <t xml:space="preserve">Wed Aug 06 2025</t>
  </si>
  <si>
    <t xml:space="preserve">Tue Aug 19 2025</t>
  </si>
  <si>
    <t xml:space="preserve">Wed Aug 27 2025</t>
  </si>
  <si>
    <t xml:space="preserve">soeducador.com.br</t>
  </si>
  <si>
    <t xml:space="preserve">Fri Sep 05 2025</t>
  </si>
  <si>
    <t xml:space="preserve">Tue Sep 09 2025</t>
  </si>
  <si>
    <t xml:space="preserve">Wed Sep 17 2025</t>
  </si>
  <si>
    <t xml:space="preserve">Thu Sep 18 2025</t>
  </si>
  <si>
    <t xml:space="preserve">Fri Sep 26 2025</t>
  </si>
  <si>
    <t xml:space="preserve">Fri Oct 03 2025</t>
  </si>
  <si>
    <t xml:space="preserve">Sun Oct 05 2025</t>
  </si>
  <si>
    <t xml:space="preserve">Mon Oct 06 2025</t>
  </si>
  <si>
    <t xml:space="preserve">Tue Oct 14 2025</t>
  </si>
  <si>
    <t xml:space="preserve">Wed Oct 15 2025</t>
  </si>
  <si>
    <t xml:space="preserve">Fri Oct 17 2025</t>
  </si>
  <si>
    <t xml:space="preserve">Thu Oct 23 2025</t>
  </si>
  <si>
    <t xml:space="preserve">Mon Oct 27 2025</t>
  </si>
  <si>
    <t xml:space="preserve">Sat Nov 01 2025</t>
  </si>
  <si>
    <t xml:space="preserve">Sun Nov 09 2025</t>
  </si>
  <si>
    <t xml:space="preserve">Thu Nov 13 2025</t>
  </si>
  <si>
    <t xml:space="preserve">Wed Nov 26 2025</t>
  </si>
  <si>
    <t xml:space="preserve">Mon Dec 01 2025</t>
  </si>
  <si>
    <t xml:space="preserve">Tue Dec 02 2025</t>
  </si>
  <si>
    <t xml:space="preserve">Sun Dec 07 2025</t>
  </si>
  <si>
    <t xml:space="preserve">Tue Dec 09 2025</t>
  </si>
  <si>
    <t xml:space="preserve">Mon Dec 15 2025</t>
  </si>
  <si>
    <t xml:space="preserve">Fri Dec 19 2025</t>
  </si>
  <si>
    <t xml:space="preserve">Mon Dec 22 2025</t>
  </si>
  <si>
    <t xml:space="preserve">Tue Dec 30 2025</t>
  </si>
  <si>
    <t xml:space="preserve">Fri Jan 02 2026</t>
  </si>
  <si>
    <t xml:space="preserve">Tue Jan 06 2026</t>
  </si>
  <si>
    <t xml:space="preserve">Thu Jan 08 2026</t>
  </si>
  <si>
    <t xml:space="preserve">Mon Jan 12 2026</t>
  </si>
  <si>
    <t xml:space="preserve">Wed Jan 14 2026</t>
  </si>
  <si>
    <t xml:space="preserve">Thu Jan 15 2026</t>
  </si>
  <si>
    <t xml:space="preserve">Tue Jan 20 2026</t>
  </si>
  <si>
    <t xml:space="preserve">littlepeopleschool.com.br</t>
  </si>
  <si>
    <t xml:space="preserve">Tue Jan 27 2026</t>
  </si>
  <si>
    <t xml:space="preserve">Wed Jan 28 2026</t>
  </si>
  <si>
    <t xml:space="preserve">Fri Jan 30 2026</t>
  </si>
  <si>
    <t xml:space="preserve">Mon Feb 02 2026</t>
  </si>
  <si>
    <t xml:space="preserve">Tue Feb 03 2026</t>
  </si>
  <si>
    <t xml:space="preserve">Fri Feb 06 2026</t>
  </si>
  <si>
    <t xml:space="preserve">Wed Feb 11 2026</t>
  </si>
  <si>
    <t xml:space="preserve">Fri Feb 13 2026</t>
  </si>
  <si>
    <t xml:space="preserve">Thu Feb 26 2026</t>
  </si>
  <si>
    <t xml:space="preserve">Fri Feb 27 2026</t>
  </si>
  <si>
    <t xml:space="preserve">Mon Mar 02 2026</t>
  </si>
  <si>
    <t xml:space="preserve">Thu Mar 05 2026</t>
  </si>
  <si>
    <t xml:space="preserve">Mon Mar 09 2026</t>
  </si>
  <si>
    <t xml:space="preserve">Tue Mar 10 2026</t>
  </si>
  <si>
    <t xml:space="preserve">Wed Mar 11 2026</t>
  </si>
  <si>
    <t xml:space="preserve">matriculas.colegiooswald.com.br</t>
  </si>
  <si>
    <t xml:space="preserve">Thu Mar 12 2026</t>
  </si>
  <si>
    <t xml:space="preserve">Fri Mar 13 2026</t>
  </si>
  <si>
    <t xml:space="preserve">Wed Mar 18 2026</t>
  </si>
  <si>
    <t xml:space="preserve">Thu Mar 19 2026</t>
  </si>
  <si>
    <t xml:space="preserve">Sun Mar 22 2026</t>
  </si>
  <si>
    <t xml:space="preserve">Mon Mar 23 2026</t>
  </si>
  <si>
    <t xml:space="preserve">Wed Mar 25 2026</t>
  </si>
  <si>
    <t xml:space="preserve">Wed Apr 01 2026</t>
  </si>
  <si>
    <t xml:space="preserve">Thu Apr 02 2026</t>
  </si>
  <si>
    <t xml:space="preserve">Fri Apr 03 2026</t>
  </si>
  <si>
    <t xml:space="preserve">Mon Apr 06 2026</t>
  </si>
  <si>
    <t xml:space="preserve">Tue Apr 07 2026</t>
  </si>
  <si>
    <t xml:space="preserve">conteudo.editoravialudica.com.br</t>
  </si>
  <si>
    <t xml:space="preserve">Wed Apr 08 2026</t>
  </si>
  <si>
    <t xml:space="preserve">Thu Apr 09 2026</t>
  </si>
  <si>
    <t xml:space="preserve">Fri Apr 10 2026</t>
  </si>
  <si>
    <t xml:space="preserve">Mon Apr 13 2026</t>
  </si>
  <si>
    <t xml:space="preserve">Wed Apr 15 2026</t>
  </si>
  <si>
    <t xml:space="preserve">sistemaanglo.com.br</t>
  </si>
  <si>
    <t xml:space="preserve">Thu Apr 16 2026</t>
  </si>
  <si>
    <t xml:space="preserve">escola.mykingdomschool.com.br</t>
  </si>
  <si>
    <t xml:space="preserve">Fri Apr 17 2026</t>
  </si>
  <si>
    <t xml:space="preserve">Sat Apr 18 2026</t>
  </si>
  <si>
    <t xml:space="preserve">Wed Apr 22 2026</t>
  </si>
  <si>
    <t xml:space="preserve">Fri Apr 24 2026</t>
  </si>
  <si>
    <t xml:space="preserve">Sat Apr 25 2026</t>
  </si>
  <si>
    <t xml:space="preserve">Wed Apr 29 2026</t>
  </si>
  <si>
    <t xml:space="preserve">Thu Apr 30 2026</t>
  </si>
  <si>
    <t xml:space="preserve">Fri May 01 2026</t>
  </si>
  <si>
    <t xml:space="preserve">Sat May 02 2026</t>
  </si>
  <si>
    <t xml:space="preserve">Sun May 03 2026</t>
  </si>
  <si>
    <t xml:space="preserve">Mon May 04 2026</t>
  </si>
  <si>
    <t xml:space="preserve">Fri May 08 2026</t>
  </si>
  <si>
    <t xml:space="preserve">Tue May 12 2026</t>
  </si>
  <si>
    <t xml:space="preserve">Fri May 15 2026</t>
  </si>
  <si>
    <t xml:space="preserve">Sat May 16 2026</t>
  </si>
  <si>
    <t xml:space="preserve">Mon May 18 2026</t>
  </si>
  <si>
    <t xml:space="preserve">Tue May 19 2026</t>
  </si>
  <si>
    <t xml:space="preserve">Thu May 21 2026</t>
  </si>
  <si>
    <t xml:space="preserve">Fri May 22 2026</t>
  </si>
  <si>
    <t xml:space="preserve">Mon May 25 2026</t>
  </si>
  <si>
    <t xml:space="preserve">Wed May 27 2026</t>
  </si>
  <si>
    <t xml:space="preserve">bit.ly</t>
  </si>
  <si>
    <t xml:space="preserve">Thu May 28 2026</t>
  </si>
  <si>
    <t xml:space="preserve">Fri May 29 2026</t>
  </si>
  <si>
    <t xml:space="preserve">Sat May 30 2026</t>
  </si>
  <si>
    <t xml:space="preserve">Mon Jun 01 2026</t>
  </si>
  <si>
    <t xml:space="preserve">conteudos.sistemaanglo.com.br</t>
  </si>
  <si>
    <t xml:space="preserve">Tue Jun 02 2026</t>
  </si>
  <si>
    <t xml:space="preserve">Wed Jun 03 2026</t>
  </si>
  <si>
    <t xml:space="preserve">Thu Jun 04 2026</t>
  </si>
  <si>
    <t xml:space="preserve">superkit.soeducador.com.br</t>
  </si>
  <si>
    <t xml:space="preserve">Fri Jun 05 2026</t>
  </si>
  <si>
    <t xml:space="preserve">alfaebeto.org.br</t>
  </si>
  <si>
    <t xml:space="preserve">Mon Jun 08 2026</t>
  </si>
  <si>
    <t xml:space="preserve">Tue Jun 09 2026</t>
  </si>
  <si>
    <t xml:space="preserve">Wed Jun 10 2026</t>
  </si>
  <si>
    <t xml:space="preserve">Fri Jun 12 2026</t>
  </si>
  <si>
    <t xml:space="preserve">Sun Jun 14 2026</t>
  </si>
  <si>
    <t xml:space="preserve">Mon Jun 15 2026</t>
  </si>
  <si>
    <t xml:space="preserve">Tue Jun 16 2026</t>
  </si>
  <si>
    <t xml:space="preserve">Wed Jun 17 2026</t>
  </si>
  <si>
    <t xml:space="preserve">ingles.expertacademypro.com.br</t>
  </si>
  <si>
    <t xml:space="preserve">Thu Jun 18 2026</t>
  </si>
  <si>
    <t xml:space="preserve">Fri Jun 19 2026</t>
  </si>
  <si>
    <t xml:space="preserve">Sun Jun 21 2026</t>
  </si>
  <si>
    <t xml:space="preserve">Mon Jun 22 2026</t>
  </si>
  <si>
    <t xml:space="preserve">materialgratis.educarepedagogia.com.br</t>
  </si>
  <si>
    <t xml:space="preserve">evento.etapa.com.br</t>
  </si>
  <si>
    <t xml:space="preserve">Tue Jun 23 2026</t>
  </si>
  <si>
    <t xml:space="preserve">Wed Jun 24 2026</t>
  </si>
  <si>
    <t xml:space="preserve">Thu Jun 25 2026</t>
  </si>
  <si>
    <t xml:space="preserve">mykingdomschool.com.br</t>
  </si>
  <si>
    <t xml:space="preserve">Fri Jun 26 2026</t>
  </si>
  <si>
    <t xml:space="preserve">Mon Jun 29 2026</t>
  </si>
  <si>
    <t xml:space="preserve">Tue Jun 30 2026</t>
  </si>
  <si>
    <t xml:space="preserve">escribo.revenuelab.com.br</t>
  </si>
  <si>
    <t xml:space="preserve">Wed Jul 01 2026</t>
  </si>
  <si>
    <t xml:space="preserve">Thu Jul 02 2026</t>
  </si>
  <si>
    <t xml:space="preserve">Fri Jul 03 2026</t>
  </si>
  <si>
    <t xml:space="preserve">Sat Jul 04 2026</t>
  </si>
  <si>
    <t xml:space="preserve">Mon Jul 06 2026</t>
  </si>
  <si>
    <t xml:space="preserve">Tue Jul 07 2026</t>
  </si>
  <si>
    <t xml:space="preserve">Wed Jul 08 2026</t>
  </si>
  <si>
    <t xml:space="preserve">portal.educarepedagogia.com.br</t>
  </si>
  <si>
    <t xml:space="preserve">Thu Jul 09 2026</t>
  </si>
  <si>
    <t xml:space="preserve">Fri Jul 10 2026</t>
  </si>
  <si>
    <t xml:space="preserve">colegiopositivo.com.br</t>
  </si>
  <si>
    <t xml:space="preserve">Sun Jul 12 2026</t>
  </si>
  <si>
    <t xml:space="preserve">Mon Jul 13 2026</t>
  </si>
  <si>
    <t xml:space="preserve">Tue Jul 14 2026</t>
  </si>
  <si>
    <t xml:space="preserve">ofertas.alfabetizandobaixinhos.com.br</t>
  </si>
  <si>
    <t xml:space="preserve">Wed Jul 15 2026</t>
  </si>
  <si>
    <t xml:space="preserve">Thu Jul 16 2026</t>
  </si>
  <si>
    <t xml:space="preserve">Fri Jul 17 2026</t>
  </si>
  <si>
    <t xml:space="preserve">tinyurl.com</t>
  </si>
  <si>
    <t xml:space="preserve">Sat Jul 18 2026</t>
  </si>
  <si>
    <t xml:space="preserve">Mon Jul 20 2026</t>
  </si>
  <si>
    <t xml:space="preserve">Tue Jul 21 2026</t>
  </si>
  <si>
    <t xml:space="preserve">Wed Jul 22 2026</t>
  </si>
  <si>
    <t xml:space="preserve">Thu Jul 23 2026</t>
  </si>
  <si>
    <t xml:space="preserve">Fri Jul 24 2026</t>
  </si>
  <si>
    <t xml:space="preserve">Sat Jul 25 2026</t>
  </si>
  <si>
    <t xml:space="preserve">Sun Jul 26 2026</t>
  </si>
  <si>
    <t xml:space="preserve">Mon Jul 27 2026</t>
  </si>
  <si>
    <t xml:space="preserve">Tue Jul 28 2026</t>
  </si>
  <si>
    <t xml:space="preserve">50atividades.expertacademypro.com.br</t>
  </si>
  <si>
    <t xml:space="preserve">Wed Jul 29 2026</t>
  </si>
  <si>
    <t xml:space="preserve">Thu Jul 30 2026</t>
  </si>
  <si>
    <t xml:space="preserve">culturainglesa.com.br</t>
  </si>
  <si>
    <t xml:space="preserve">Fri Jul 31 2026</t>
  </si>
  <si>
    <t xml:space="preserve">institutopreparatorio.com.br</t>
  </si>
  <si>
    <t xml:space="preserve">Sun Aug 02 2026</t>
  </si>
  <si>
    <t xml:space="preserve">Mon Aug 03 2026</t>
  </si>
  <si>
    <t xml:space="preserve">colegioetapa.com.br</t>
  </si>
  <si>
    <t xml:space="preserve">Tue Aug 04 2026</t>
  </si>
  <si>
    <t xml:space="preserve">Wed Aug 05 2026</t>
  </si>
  <si>
    <t xml:space="preserve">Thu Aug 06 2026</t>
  </si>
  <si>
    <t xml:space="preserve">Fri Aug 07 2026</t>
  </si>
  <si>
    <t xml:space="preserve">Mon Aug 10 2026</t>
  </si>
  <si>
    <t xml:space="preserve">Tue Aug 11 2026</t>
  </si>
  <si>
    <t xml:space="preserve">colegioabaco.com.br</t>
  </si>
  <si>
    <t xml:space="preserve">Wed Aug 12 2026</t>
  </si>
  <si>
    <t xml:space="preserve">Thu Aug 13 2026</t>
  </si>
  <si>
    <t xml:space="preserve">solucoesmoderna.com.br</t>
  </si>
  <si>
    <t xml:space="preserve">Fri Aug 14 2026</t>
  </si>
  <si>
    <t xml:space="preserve">Sat Aug 15 2026</t>
  </si>
  <si>
    <t xml:space="preserve">Sun Aug 16 2026</t>
  </si>
  <si>
    <t xml:space="preserve">Mon Aug 17 2026</t>
  </si>
  <si>
    <t xml:space="preserve">Tue Aug 18 2026</t>
  </si>
  <si>
    <t xml:space="preserve">Wed Aug 19 2026</t>
  </si>
  <si>
    <t xml:space="preserve">Thu Aug 20 2026</t>
  </si>
  <si>
    <t xml:space="preserve">Fri Aug 21 2026</t>
  </si>
  <si>
    <t xml:space="preserve">espacodaycare.com.br</t>
  </si>
  <si>
    <t xml:space="preserve">Sat Aug 22 2026</t>
  </si>
  <si>
    <t xml:space="preserve">Mon Aug 24 2026</t>
  </si>
  <si>
    <t xml:space="preserve">Tue Aug 25 2026</t>
  </si>
  <si>
    <t xml:space="preserve">silabassimples.karinatarefinhas.com.br</t>
  </si>
  <si>
    <t xml:space="preserve">Wed Aug 26 2026</t>
  </si>
  <si>
    <t xml:space="preserve">Thu Aug 27 2026</t>
  </si>
  <si>
    <t xml:space="preserve">Fri Aug 28 2026</t>
  </si>
  <si>
    <t xml:space="preserve">Sat Aug 29 2026</t>
  </si>
  <si>
    <t xml:space="preserve">Mon Aug 31 2026</t>
  </si>
  <si>
    <t xml:space="preserve">Tue Sep 01 2026</t>
  </si>
  <si>
    <t xml:space="preserve">forms.gle</t>
  </si>
  <si>
    <t xml:space="preserve">Wed Sep 02 2026</t>
  </si>
  <si>
    <t xml:space="preserve">Thu Sep 03 2026</t>
  </si>
  <si>
    <t xml:space="preserve">atlasedu.com.br</t>
  </si>
  <si>
    <t xml:space="preserve">Fri Sep 04 2026</t>
  </si>
  <si>
    <t xml:space="preserve">Tue Sep 08 2026</t>
  </si>
  <si>
    <t xml:space="preserve">Wed Sep 09 2026</t>
  </si>
  <si>
    <t xml:space="preserve">Fri Sep 11 2026</t>
  </si>
  <si>
    <t xml:space="preserve">4. ONDE ESTA A GRANA - infoprodutos agrupados por nicho</t>
  </si>
  <si>
    <t xml:space="preserve">Anunciantes</t>
  </si>
  <si>
    <t xml:space="preserve">Media dias no ar</t>
  </si>
  <si>
    <t xml:space="preserve">Maior tempo no ar</t>
  </si>
  <si>
    <t xml:space="preserve">Anunciante mais escalado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</si>
</sst>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u val="single"/>
      <sz val="9"/>
      <color rgb="FF0563C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563C1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facebook.com/ads/library/?active_status=active&amp;ad_type=all&amp;country=ALL&amp;q=Instituto%20Alfa%20e%20Beto&amp;search_type=keyword_unordered&amp;media_type=all" TargetMode="External"/><Relationship Id="rId2" Type="http://schemas.openxmlformats.org/officeDocument/2006/relationships/hyperlink" Target="https://l.facebook.com/l.php?u=https%3A%2F%2Falfaebeto.lojaintegrada.com.br%2Fprimeira-infancia%3Fsort%3Dmais_vendidos%26fbclid%3DIwcGRvZgFleHRuA2FlbQIxMABicmlkETFXNzlsVXpoUDVDNVVuakFSc3J0YwZhcHBfaWQPNTQxNjM5NDkzODg5MDI1AAEefnH1UbdwofpdI_CiMiZqSVSkG-E51GX" TargetMode="External"/><Relationship Id="rId3" Type="http://schemas.openxmlformats.org/officeDocument/2006/relationships/hyperlink" Target="https://www.facebook.com/ads/library/?active_status=active&amp;ad_type=all&amp;country=ALL&amp;q=S&#243;%20Educador&amp;search_type=keyword_unordered&amp;media_type=all" TargetMode="External"/><Relationship Id="rId4" Type="http://schemas.openxmlformats.org/officeDocument/2006/relationships/hyperlink" Target="https://l.facebook.com/l.php?u=https%3A%2F%2Fwww.soeducador.com.br%2F%3Ffbclid%3DIwcGRvZgFleHRuA2FlbQIxMABicmlkETFXNzlsVXpoUDVDNVVuakFSc3J0YwZhcHBfaWQPNTQxNjM5NDkzODg5MDI1AAEemiG7ZJSZpG9eI9fq5mE7SXnRpY_yuEiuCxv85peaXE2F7vnxtjwNXuT-oUQ_aem_8O1Am_K_CRhxY_Kq" TargetMode="External"/><Relationship Id="rId5" Type="http://schemas.openxmlformats.org/officeDocument/2006/relationships/hyperlink" Target="https://www.facebook.com/ads/library/?active_status=active&amp;ad_type=all&amp;country=ALL&amp;q=Valecup%20-%20Cursos%20Pedag&#243;gicos&amp;search_type=keyword_unordered&amp;media_type=all" TargetMode="External"/><Relationship Id="rId6" Type="http://schemas.openxmlformats.org/officeDocument/2006/relationships/hyperlink" Target="https://l.facebook.com/l.php?u=https%3A%2F%2Fvalecup.com.br%2Fformacao-em-auxiliar-de-creche-e-bercarista%2F%3Ffbclid%3DIwcGRvZgFleHRuA2FlbQIxMABicmlkETFXNzlsVXpoUDVDNVVuakFSc3J0YwZhcHBfaWQPNTQxNjM5NDkzODg5MDI1AAEeH1AJh0vlnF3AlOcgu47q8hasJKuoUFcuVs3sw1Tqc" TargetMode="External"/><Relationship Id="rId7" Type="http://schemas.openxmlformats.org/officeDocument/2006/relationships/hyperlink" Target="https://www.facebook.com/ads/library/?active_status=active&amp;ad_type=all&amp;country=ALL&amp;q=Mind%20Makers&amp;search_type=keyword_unordered&amp;media_type=all" TargetMode="External"/><Relationship Id="rId8" Type="http://schemas.openxmlformats.org/officeDocument/2006/relationships/hyperlink" Target="https://l.facebook.com/l.php?u=https%3A%2F%2Fmindmakers.com.br%2F%3Futm_source%3D%257B%257Bsite_source_name%257D%257D%26utm_medium%3Dcpc%26utm_campaign%3DAC_MM_CP3_Institucional_Awareness_Topo_CBO%26utm_content%3DMM_CP3_CJ1_Interesse_Frio_Brasil_Feed%26ut" TargetMode="External"/><Relationship Id="rId9" Type="http://schemas.openxmlformats.org/officeDocument/2006/relationships/hyperlink" Target="https://www.facebook.com/ads/library/?active_status=active&amp;ad_type=all&amp;country=ALL&amp;q=ElloCursos%20Psicologia&amp;search_type=keyword_unordered&amp;media_type=all" TargetMode="External"/><Relationship Id="rId10" Type="http://schemas.openxmlformats.org/officeDocument/2006/relationships/hyperlink" Target="https://l.facebook.com/l.php?u=https%3A%2F%2Fwww.ellocursos.com.br%2Fkit-emocoes-infantis%2F%3Ffbclid%3DIwcGRvZgFleHRuA2FlbQIxMABicmlkETFXNzlsVXpoUDVDNVVuakFSc3J0YwZhcHBfaWQPNTQxNjM5NDkzODg5MDI1AAEemiG7ZJSZpG9eI9fq5mE7SXnRpY_yuEiuCxv85peaXE2F7vnxtjwNXuT-o" TargetMode="External"/><Relationship Id="rId11" Type="http://schemas.openxmlformats.org/officeDocument/2006/relationships/hyperlink" Target="https://www.facebook.com/ads/library/?active_status=active&amp;ad_type=all&amp;country=ALL&amp;q=Kit%20Tarefinha%20L&#250;dica&amp;search_type=keyword_unordered&amp;media_type=all" TargetMode="External"/><Relationship Id="rId12" Type="http://schemas.openxmlformats.org/officeDocument/2006/relationships/hyperlink" Target="https://l.facebook.com/l.php?u=http%3A%2F%2Fwww.kittarefinhaludica.com.br%2FCOMBORECURSOS%3Ffbclid%3DIwcGRvZgFleHRuA2FlbQIxMABicmlkETFXNzlsVXpoUDVDNVVuakFSc3J0YwZhcHBfaWQPNTQxNjM5NDkzODg5MDI1AAEefnH1UbdwofpdI_CiMiZqSVSkG-E51GXidOepqY31qSthTm9SFWcX8r87ZdM_" TargetMode="External"/><Relationship Id="rId13" Type="http://schemas.openxmlformats.org/officeDocument/2006/relationships/hyperlink" Target="https://www.facebook.com/ads/library/?active_status=active&amp;ad_type=all&amp;country=ALL&amp;q=Atividades%20Com%20Amor&amp;search_type=keyword_unordered&amp;media_type=all" TargetMode="External"/><Relationship Id="rId14" Type="http://schemas.openxmlformats.org/officeDocument/2006/relationships/hyperlink" Target="https://l.facebook.com/l.php?u=https%3A%2F%2Fatividadescomamor.com.br%2Fproduto%2Fcards-massinha%2F%3Ffbclid%3DIwcGRvZgFleHRuA2FlbQIxMABicmlkETFXNzlsVXpoUDVDNVVuakFSc3J0YwZhcHBfaWQPNTQxNjM5NDkzODg5MDI1AAEefbFGDO-zrlIqJQIlM89BJn9ihvjEznXMXNSN5_rYbXTZcEwyAe" TargetMode="External"/><Relationship Id="rId15" Type="http://schemas.openxmlformats.org/officeDocument/2006/relationships/hyperlink" Target="https://www.facebook.com/ads/library/?active_status=active&amp;ad_type=all&amp;country=ALL&amp;q=Instituto%20NeuroSaber&amp;search_type=keyword_unordered&amp;media_type=all" TargetMode="External"/><Relationship Id="rId16" Type="http://schemas.openxmlformats.org/officeDocument/2006/relationships/hyperlink" Target="https://l.facebook.com/l.php?u=https%3A%2F%2Fposneurosaber.com.br%2Flista-de-espera-pos-tdah%2F%3Ffbclid%3DIwcGRvZgFleHRuA2FlbQIxMABicmlkETFXNzlsVXpoUDVDNVVuakFSc3J0YwZhcHBfaWQPNTQxNjM5NDkzODg5MDI1AAEei-7k0OCV6rulAxe8m7jBCbQ9cA8KiGcW5XYIS0hD0RgB02J221k76a" TargetMode="External"/><Relationship Id="rId17" Type="http://schemas.openxmlformats.org/officeDocument/2006/relationships/hyperlink" Target="https://www.facebook.com/ads/library/?active_status=active&amp;ad_type=all&amp;country=ALL&amp;q=Prof&#170;%20Karina%20Tarefinhas&amp;search_type=keyword_unordered&amp;media_type=all" TargetMode="External"/><Relationship Id="rId18" Type="http://schemas.openxmlformats.org/officeDocument/2006/relationships/hyperlink" Target="https://api.whatsapp.com/send" TargetMode="External"/><Relationship Id="rId19" Type="http://schemas.openxmlformats.org/officeDocument/2006/relationships/hyperlink" Target="https://www.facebook.com/ads/library/?active_status=active&amp;ad_type=all&amp;country=ALL&amp;q=Profesdainfancia&amp;search_type=keyword_unordered&amp;media_type=all" TargetMode="External"/><Relationship Id="rId20" Type="http://schemas.openxmlformats.org/officeDocument/2006/relationships/hyperlink" Target="https://l.facebook.com/l.php?u=https%3A%2F%2Fmonifaraon1755365946.hotmart.host%2Fmetodo-portfolio-encantado-dbcb0b33-24a5-4bae-b0be-058d64bbbc85%3Ffbclid%3DIwcGRvZgFleHRuA2FlbQIxMABicmlkETFXNzlsVXpoUDVDNVVuakFSc3J0YwZhcHBfaWQPNTQxNjM5NDkzODg5MDI1AAEef2Ay9" TargetMode="External"/><Relationship Id="rId21" Type="http://schemas.openxmlformats.org/officeDocument/2006/relationships/hyperlink" Target="https://www.facebook.com/ads/library/?active_status=active&amp;ad_type=all&amp;country=ALL&amp;q=Focanoensino&amp;search_type=keyword_unordered&amp;media_type=all" TargetMode="External"/><Relationship Id="rId22" Type="http://schemas.openxmlformats.org/officeDocument/2006/relationships/hyperlink" Target="https://l.facebook.com/l.php?u=https%3A%2F%2Ffocanoensino.com.br%2Fproduct%2Fdados-quebra-cabeca%2F%3Ffbclid%3DIwcGRvZgFleHRuA2FlbQIxMABicmlkETFXNzlsVXpoUDVDNVVuakFSc3J0YwZhcHBfaWQPNTQxNjM5NDkzODg5MDI1AAEefnH1UbdwofpdI_CiMiZqSVSkG-E51GXidOepqY31qSthTm9SFW" TargetMode="External"/><Relationship Id="rId23" Type="http://schemas.openxmlformats.org/officeDocument/2006/relationships/hyperlink" Target="https://www.facebook.com/ads/library/?active_status=active&amp;ad_type=all&amp;country=ALL&amp;q=Mini%20Mins&amp;search_type=keyword_unordered&amp;media_type=all" TargetMode="External"/><Relationship Id="rId24" Type="http://schemas.openxmlformats.org/officeDocument/2006/relationships/hyperlink" Target="https://l.facebook.com/l.php?u=https%3A%2F%2Fprofessoramarcellacampos.com.br%2Flp%3Ffbclid%3DIwcGRvZgFleHRuA2FlbQIxMABicmlkETFXNzlsVXpoUDVDNVVuakFSc3J0YwZhcHBfaWQPNTQxNjM5NDkzODg5MDI1AAEe6-lGHam-0fdkKTskoHoSKGSmqNV9VvipHgVFi62EM8HQmWSe7Dfh30LV9E4_aem_jPsR" TargetMode="External"/><Relationship Id="rId25" Type="http://schemas.openxmlformats.org/officeDocument/2006/relationships/hyperlink" Target="https://www.facebook.com/ads/library/?active_status=active&amp;ad_type=all&amp;country=ALL&amp;q=Educa&#231;&#227;o%20Infantil&amp;search_type=keyword_unordered&amp;media_type=all" TargetMode="External"/><Relationship Id="rId26" Type="http://schemas.openxmlformats.org/officeDocument/2006/relationships/hyperlink" Target="https://l.facebook.com/l.php?u=https%3A%2F%2Fbrinquedosdepapelbr.netlify.app%2F%3Ffbclid%3DIwcGRvZgFleHRuA2FlbQIxMABicmlkETFXNzlsVXpoUDVDNVVuakFSc3J0YwZhcHBfaWQPNTQxNjM5NDkzODg5MDI1AAEeomo5_C6J2q3cxfNXzkZroM0VILYhv9g6P2DO5yVgnfUBZbvhqs3M9JiYyF0_aem_ufln1s" TargetMode="External"/><Relationship Id="rId27" Type="http://schemas.openxmlformats.org/officeDocument/2006/relationships/hyperlink" Target="https://www.facebook.com/ads/library/?active_status=active&amp;ad_type=all&amp;country=ALL&amp;q=Fam&#237;lia%20de%20Trigo&amp;search_type=keyword_unordered&amp;media_type=all" TargetMode="External"/><Relationship Id="rId28" Type="http://schemas.openxmlformats.org/officeDocument/2006/relationships/hyperlink" Target="https://l.facebook.com/l.php?u=https%3A%2F%2Floja.familiadetrigo.com.br%2Fcollections%2Fkits-com-15-de-desconto%3Futm_source%3Dfb-panfleto%26utm_medium%3Dfb-panfleto%26utm_campaign%3Dfb-panfleto%26utm_id%3Dfb-panfleto%26utm_term%3Dfb-panfleto%26utm_conten" TargetMode="External"/><Relationship Id="rId29" Type="http://schemas.openxmlformats.org/officeDocument/2006/relationships/hyperlink" Target="https://www.facebook.com/ads/library/?active_status=active&amp;ad_type=all&amp;country=ALL&amp;q=Expert%20Kids&amp;search_type=keyword_unordered&amp;media_type=all" TargetMode="External"/><Relationship Id="rId30" Type="http://schemas.openxmlformats.org/officeDocument/2006/relationships/hyperlink" Target="https://l.facebook.com/l.php?u=http%3A%2F%2Fingles.expertacademypro.com.br%2F%3Ffbclid%3DIwcGRvZgFleHRuA2FlbQIxMABicmlkETFXNzlsVXpoUDVDNVVuakFSc3J0YwZhcHBfaWQPNTQxNjM5NDkzODg5MDI1AAEefbFGDO-zrlIqJQIlM89BJn9ihvjEznXMXNSN5_rYbXTZcEwyAe3CyzX9PY4_aem_CQ8R76th" TargetMode="External"/><Relationship Id="rId31" Type="http://schemas.openxmlformats.org/officeDocument/2006/relationships/hyperlink" Target="https://www.facebook.com/ads/library/?active_status=active&amp;ad_type=all&amp;country=ALL&amp;q=Educare%20Cursos%20Online&amp;search_type=keyword_unordered&amp;media_type=all" TargetMode="External"/><Relationship Id="rId32" Type="http://schemas.openxmlformats.org/officeDocument/2006/relationships/hyperlink" Target="https://l.facebook.com/l.php?u=https%3A%2F%2Fmaterialgratis.educarepedagogia.com.br%2Faee-47-90-otimizado-dez-2025%3Fsrc%3D%26utm_source%3D%257B%257Bplacement%257D%257D%26utm_medium%3D%257B%257Badset.name%257D%257D%26utm_content%3D%257B%257Bad.name%257D%2" TargetMode="External"/><Relationship Id="rId33" Type="http://schemas.openxmlformats.org/officeDocument/2006/relationships/hyperlink" Target="https://www.facebook.com/ads/library/?active_status=active&amp;ad_type=all&amp;country=ALL&amp;q=NovaSaber%20Educacional&amp;search_type=keyword_unordered&amp;media_type=all" TargetMode="External"/><Relationship Id="rId34" Type="http://schemas.openxmlformats.org/officeDocument/2006/relationships/hyperlink" Target="https://l.facebook.com/l.php?u=https%3A%2F%2Fnovasaberedu.com.br%2Fmagisterio-curso-normal%3Ffbclid%3DIwcGRvZgFleHRuA2FlbQIxMABicmlkETFXNzlsVXpoUDVDNVVuakFSc3J0YwZhcHBfaWQPNTQxNjM5NDkzODg5MDI1AAEei-7k0OCV6rulAxe8m7jBCbQ9cA8KiGcW5XYIS0hD0RgB02J221k76asUC-Q" TargetMode="External"/><Relationship Id="rId35" Type="http://schemas.openxmlformats.org/officeDocument/2006/relationships/hyperlink" Target="https://www.facebook.com/ads/library/?active_status=active&amp;ad_type=all&amp;country=ALL&amp;q=Camila%20Medeiros%20-%20Psicopedagoga&amp;search_type=keyword_unordered&amp;media_type=all" TargetMode="External"/><Relationship Id="rId36" Type="http://schemas.openxmlformats.org/officeDocument/2006/relationships/hyperlink" Target="https://l.facebook.com/l.php?u=https%3A%2F%2Fwww.profcamila.com%2Feducacaoinfantil%3Ffbclid%3DIwcGRvZgFleHRuA2FlbQIxMABicmlkETFXNzlsVXpoUDVDNVVuakFSc3J0YwZhcHBfaWQPNTQxNjM5NDkzODg5MDI1AAEei-7k0OCV6rulAxe8m7jBCbQ9cA8KiGcW5XYIS0hD0RgB02J221k76asUC-Q_aem_r7S" TargetMode="External"/><Relationship Id="rId37" Type="http://schemas.openxmlformats.org/officeDocument/2006/relationships/hyperlink" Target="https://www.facebook.com/ads/library/?active_status=active&amp;ad_type=all&amp;country=ALL&amp;q=Dra.%20Camila%20R.&amp;search_type=keyword_unordered&amp;media_type=all" TargetMode="External"/><Relationship Id="rId38" Type="http://schemas.openxmlformats.org/officeDocument/2006/relationships/hyperlink" Target="https://l.facebook.com/l.php?u=https%3A%2F%2Fkitpsicomotorinfantil.lovable.app%2F%3Ffbclid%3DIwcGRvZgFleHRuA2FlbQIxMABicmlkETFXNzlsVXpoUDVDNVVuakFSc3J0YwZhcHBfaWQPNTQxNjM5NDkzODg5MDI1AAEeo6JyMjm1XPgMuTrdSlDmfT6YyerozLW2goY7wbM4vUwq0i3rwsBPh9wXcW0_aem_Bbd3" TargetMode="External"/><Relationship Id="rId39" Type="http://schemas.openxmlformats.org/officeDocument/2006/relationships/hyperlink" Target="https://www.facebook.com/ads/library/?active_status=active&amp;ad_type=all&amp;country=ALL&amp;q=Educomunica&#231;&#227;o&amp;search_type=keyword_unordered&amp;media_type=all" TargetMode="External"/><Relationship Id="rId40" Type="http://schemas.openxmlformats.org/officeDocument/2006/relationships/hyperlink" Target="https://l.facebook.com/l.php?u=https%3A%2F%2Feducomunicacao.ead.guru%2F%3Ffbclid%3DIwcGRvZgFleHRuA2FlbQIxMABicmlkETFXNzlsVXpoUDVDNVVuakFSc3J0YwZhcHBfaWQPNTQxNjM5NDkzODg5MDI1AAEefbFGDO-zrlIqJQIlM89BJn9ihvjEznXMXNSN5_rYbXTZcEwyAe3CyzX9PY4_aem_CQ8R76th59r1hQ" TargetMode="External"/><Relationship Id="rId41" Type="http://schemas.openxmlformats.org/officeDocument/2006/relationships/hyperlink" Target="https://www.facebook.com/ads/library/?active_status=active&amp;ad_type=all&amp;country=ALL&amp;q=Alfabetizando%20Baixinhos&amp;search_type=keyword_unordered&amp;media_type=all" TargetMode="External"/><Relationship Id="rId42" Type="http://schemas.openxmlformats.org/officeDocument/2006/relationships/hyperlink" Target="https://api.whatsapp.com/send" TargetMode="External"/><Relationship Id="rId43" Type="http://schemas.openxmlformats.org/officeDocument/2006/relationships/hyperlink" Target="https://www.facebook.com/ads/library/?active_status=active&amp;ad_type=all&amp;country=ALL&amp;q=O%20Seu%20Professor&amp;search_type=keyword_unordered&amp;media_type=all" TargetMode="External"/><Relationship Id="rId44" Type="http://schemas.openxmlformats.org/officeDocument/2006/relationships/hyperlink" Target="https://l.facebook.com/l.php?u=https%3A%2F%2Foseuprofessor.com.br%2Feducacaofisica%2F%3Ffbclid%3DIwcGRvZgFleHRuA2FlbQIxMABicmlkETFXNzlsVXpoUDVDNVVuakFSc3J0YwZhcHBfaWQPNTQxNjM5NDkzODg5MDI1AAEei-7k0OCV6rulAxe8m7jBCbQ9cA8KiGcW5XYIS0hD0RgB02J221k76asUC-Q_aem_" TargetMode="External"/><Relationship Id="rId45" Type="http://schemas.openxmlformats.org/officeDocument/2006/relationships/hyperlink" Target="https://www.facebook.com/ads/library/?active_status=active&amp;ad_type=all&amp;country=ALL&amp;q=Pequenos%20Fluentes&amp;search_type=keyword_unordered&amp;media_type=all" TargetMode="External"/><Relationship Id="rId46" Type="http://schemas.openxmlformats.org/officeDocument/2006/relationships/hyperlink" Target="https://l.facebook.com/l.php?u=https%3A%2F%2Fpequenosfluentes.com.br%2Fclass-books%2F%3Ffbclid%3DIwcGRvZgFleHRuA2FlbQIxMABicmlkETFXNzlsVXpoUDVDNVVuakFSc3J0YwZhcHBfaWQPNTQxNjM5NDkzODg5MDI1AAEe6-lGHam-0fdkKTskoHoSKGSmqNV9VvipHgVFi62EM8HQmWSe7Dfh30LV9E4_aem_" TargetMode="External"/><Relationship Id="rId47" Type="http://schemas.openxmlformats.org/officeDocument/2006/relationships/hyperlink" Target="https://www.facebook.com/ads/library/?active_status=active&amp;ad_type=all&amp;country=ALL&amp;q=Pegada&amp;search_type=keyword_unordered&amp;media_type=all" TargetMode="External"/><Relationship Id="rId48" Type="http://schemas.openxmlformats.org/officeDocument/2006/relationships/hyperlink" Target="https://l.facebook.com/l.php?u=https%3A%2F%2Fproduct-flair-maker.lovable.app%2F%3Ffbclid%3DIwcGRvZgFleHRuA2FlbQIxMABicmlkETFXNzlsVXpoUDVDNVVuakFSc3J0YwZhcHBfaWQPNTQxNjM5NDkzODg5MDI1AAEe6-lGHam-0fdkKTskoHoSKGSmqNV9VvipHgVFi62EM8HQmWSe7Dfh30LV9E4_aem_jPsRlT" TargetMode="External"/><Relationship Id="rId49" Type="http://schemas.openxmlformats.org/officeDocument/2006/relationships/hyperlink" Target="https://www.facebook.com/ads/library/?active_status=active&amp;ad_type=all&amp;country=ALL&amp;q=Jardim%20dos%20Saberes%20D&amp;search_type=keyword_unordered&amp;media_type=all" TargetMode="External"/><Relationship Id="rId50" Type="http://schemas.openxmlformats.org/officeDocument/2006/relationships/hyperlink" Target="https://l.facebook.com/l.php?u=https%3A%2F%2Fmaiaracosta.com.br%2Fproduto%2Fkit-fichas-de-leitura-silabas-simples-e-complexa%2F%3Ffbclid%3DIwcGRvZgFleHRuA2FlbQIxMABicmlkETFXNzlsVXpoUDVDNVVuakFSc3J0YwZhcHBfaWQPNTQxNjM5NDkzODg5MDI1AAEe6-lGHam-0fdkKTskoHoSKG" TargetMode="External"/><Relationship Id="rId51" Type="http://schemas.openxmlformats.org/officeDocument/2006/relationships/hyperlink" Target="https://www.facebook.com/ads/library/?active_status=active&amp;ad_type=all&amp;country=ALL&amp;q=Instituto%20Preparat&#243;rio%20para%20Professores&amp;search_type=keyword_unordered&amp;media_type=all" TargetMode="External"/><Relationship Id="rId52" Type="http://schemas.openxmlformats.org/officeDocument/2006/relationships/hyperlink" Target="https://l.facebook.com/l.php?u=http%3A%2F%2Finstagram.com%2Finstituto.preparatorio%3Ffbclid%3DIwcGRvZgFleHRuA2FlbQIxMABicmlkETFXNzlsVXpoUDVDNVVuakFSc3J0YwZhcHBfaWQPNTQxNjM5NDkzODg5MDI1AAEemiG7ZJSZpG9eI9fq5mE7SXnRpY_yuEiuCxv85peaXE2F7vnxtjwNXuT-oUQ_aem_8O1" TargetMode="External"/><Relationship Id="rId53" Type="http://schemas.openxmlformats.org/officeDocument/2006/relationships/hyperlink" Target="https://www.facebook.com/ads/library/?active_status=active&amp;ad_type=all&amp;country=ALL&amp;q=Kit%20Educa&#231;&#227;o%20Kids&amp;search_type=keyword_unordered&amp;media_type=all" TargetMode="External"/><Relationship Id="rId54" Type="http://schemas.openxmlformats.org/officeDocument/2006/relationships/hyperlink" Target="https://l.facebook.com/l.php?u=https%3A%2F%2Floja.educacaokids.com.br%2Fproduto%2Fkit-educacao-kids-mais-de-1000-atividades-interativas-para-alfabetizacao%3Ffbclid%3DIwcGRvZgFleHRuA2FlbQIxMABicmlkETFXNzlsVXpoUDVDNVVuakFSc3J0YwZhcHBfaWQPNTQxNjM5NDkzODg5MDI" TargetMode="External"/><Relationship Id="rId55" Type="http://schemas.openxmlformats.org/officeDocument/2006/relationships/hyperlink" Target="https://www.facebook.com/ads/library/?active_status=active&amp;ad_type=all&amp;country=ALL&amp;q=Amor%20de%20Pequenos&amp;search_type=keyword_unordered&amp;media_type=all" TargetMode="External"/><Relationship Id="rId56" Type="http://schemas.openxmlformats.org/officeDocument/2006/relationships/hyperlink" Target="https://l.facebook.com/l.php?u=https%3A%2F%2Feducarcomamor.xyz%2Fproduto%2Fvaral-dos-numeros%2F%3Ffbclid%3DIwcGRvZgFleHRuA2FlbQIxMABicmlkETFXNzlsVXpoUDVDNVVuakFSc3J0YwZhcHBfaWQPNTQxNjM5NDkzODg5MDI1AAEeo6JyMjm1XPgMuTrdSlDmfT6YyerozLW2goY7wbM4vUwq0i3rwsBPh9" TargetMode="External"/><Relationship Id="rId57" Type="http://schemas.openxmlformats.org/officeDocument/2006/relationships/hyperlink" Target="https://www.facebook.com/ads/library/?active_status=active&amp;ad_type=all&amp;country=ALL&amp;q=Criar%20e%20Alfabetizar%20Site&amp;search_type=keyword_unordered&amp;media_type=all" TargetMode="External"/><Relationship Id="rId58" Type="http://schemas.openxmlformats.org/officeDocument/2006/relationships/hyperlink" Target="https://l.facebook.com/l.php?u=https%3A%2F%2Fcriarealfabetizar.com%2Fshop%2Fatividades%2Ftirinhas-parlendas-e-cantigas%2F%3Ffbclid%3DIwcGRvZgFleHRuA2FlbQIxMABicmlkETFXNzlsVXpoUDVDNVVuakFSc3J0YwZhcHBfaWQPNTQxNjM5NDkzODg5MDI1AAEe6-lGHam-0fdkKTskoHoSKGSmqNV9" TargetMode="External"/><Relationship Id="rId59" Type="http://schemas.openxmlformats.org/officeDocument/2006/relationships/hyperlink" Target="https://www.facebook.com/ads/library/?active_status=active&amp;ad_type=all&amp;country=ALL&amp;q=jeitoprofessoradeser&amp;search_type=keyword_unordered&amp;media_type=all" TargetMode="External"/><Relationship Id="rId60" Type="http://schemas.openxmlformats.org/officeDocument/2006/relationships/hyperlink" Target="https://l.facebook.com/l.php?u=https%3A%2F%2Fjeitoprofessoradeser.com.br%2Fproduct%2Frotina%2F%3Ffbclid%3DIwcGRvZgFleHRuA2FlbQIxMABicmlkETFXNzlsVXpoUDVDNVVuakFSc3J0YwZhcHBfaWQPNTQxNjM5NDkzODg5MDI1AAEe6-lGHam-0fdkKTskoHoSKGSmqNV9VvipHgVFi62EM8HQmWSe7Dfh30L" TargetMode="External"/><Relationship Id="rId61" Type="http://schemas.openxmlformats.org/officeDocument/2006/relationships/hyperlink" Target="https://www.facebook.com/ads/library/?active_status=active&amp;ad_type=all&amp;country=ALL&amp;q=Congresso%20Brincar&amp;search_type=keyword_unordered&amp;media_type=all" TargetMode="External"/><Relationship Id="rId62" Type="http://schemas.openxmlformats.org/officeDocument/2006/relationships/hyperlink" Target="https://l.facebook.com/l.php?u=http%3A%2F%2Fcongressobrincar.com%2Fcongresso-brincar-digital-edicao-especial-educacao-infantil-na-pratica%3Ffbclid%3DIwcGRvZgFleHRuA2FlbQIxMABicmlkETFXNzlsVXpoUDVDNVVuakFSc3J0YwZhcHBfaWQPNTQxNjM5NDkzODg5MDI1AAEeIbNyWNnqt2-4" TargetMode="External"/><Relationship Id="rId63" Type="http://schemas.openxmlformats.org/officeDocument/2006/relationships/hyperlink" Target="https://www.facebook.com/ads/library/?active_status=active&amp;ad_type=all&amp;country=ALL&amp;q=Ensinar%20e%20Transformar&amp;search_type=keyword_unordered&amp;media_type=all" TargetMode="External"/><Relationship Id="rId64" Type="http://schemas.openxmlformats.org/officeDocument/2006/relationships/hyperlink" Target="https://l.facebook.com/l.php?u=https%3A%2F%2Fensinaretransformar.com.br%2Fditados-que-fazem-pensar%2Fpv%3Ffbclid%3DIwcGRvZgFleHRuA2FlbQIxMABicmlkETFXNzlsVXpoUDVDNVVuakFSc3J0YwZhcHBfaWQPNTQxNjM5NDkzODg5MDI1AAEeH1AJh0vlnF3AlOcgu47q8hasJKuoUFcuVs3sw1Tqc3snFg" TargetMode="External"/><Relationship Id="rId65" Type="http://schemas.openxmlformats.org/officeDocument/2006/relationships/hyperlink" Target="https://www.facebook.com/ads/library/?active_status=active&amp;ad_type=all&amp;country=ALL&amp;q=Clube%20Educa&#231;&#227;o%20F&#237;sica&amp;search_type=keyword_unordered&amp;media_type=all" TargetMode="External"/><Relationship Id="rId66" Type="http://schemas.openxmlformats.org/officeDocument/2006/relationships/hyperlink" Target="https://l.facebook.com/l.php?u=https%3A%2F%2Fpay.kiwify.com.br%2FS4017OX%3Ffbclid%3DIwcGRvZgFleHRuA2FlbQIxMABicmlkETFXNzlsVXpoUDVDNVVuakFSc3J0YwZhcHBfaWQPNTQxNjM5NDkzODg5MDI1AAEeo6JyMjm1XPgMuTrdSlDmfT6YyerozLW2goY7wbM4vUwq0i3rwsBPh9wXcW0_aem_Bbd3xtFGd99ne" TargetMode="External"/><Relationship Id="rId67" Type="http://schemas.openxmlformats.org/officeDocument/2006/relationships/hyperlink" Target="https://www.facebook.com/ads/library/?active_status=active&amp;ad_type=all&amp;country=ALL&amp;q=Atividades%20da%20Pr&#244;%20-%20Recursos%20Pedag&#243;gicos&amp;search_type=keyword_unordered&amp;media_type=all" TargetMode="External"/><Relationship Id="rId68" Type="http://schemas.openxmlformats.org/officeDocument/2006/relationships/hyperlink" Target="https://l.facebook.com/l.php?u=https%3A%2F%2Fwww.instagram.com%2F_u%2Fatividadesdapro_%3Ffbclid%3DIwcGRvZgFleHRuA2FlbQIxMABicmlkETFXNzlsVXpoUDVDNVVuakFSc3J0YwZhcHBfaWQPNTQxNjM5NDkzODg5MDI1AAEeIbNyWNnqt2-4raZja4sSumcYQpNwnkV8H12szpx0xM1nhqpZ-pH7bYS1Jwo_aem" TargetMode="External"/><Relationship Id="rId69" Type="http://schemas.openxmlformats.org/officeDocument/2006/relationships/hyperlink" Target="https://www.facebook.com/ads/library/?active_status=active&amp;ad_type=all&amp;country=ALL&amp;q=EducaBrasil&amp;search_type=keyword_unordered&amp;media_type=all" TargetMode="External"/><Relationship Id="rId70" Type="http://schemas.openxmlformats.org/officeDocument/2006/relationships/hyperlink" Target="https://l.facebook.com/l.php?u=http%3A%2F%2Ffb.me%2F&amp;h=AUCSvaiFYluCrwvUX96TO9ecJ379v9Bsu66JouQzAu7aUUZDyeYE9b8QMV6oarun2-207rbUBmWF7jqojuL7PdZPXWszSHGGccjzxqyzQ9B_fsJy8oVGZ0dgxqdbH3vhl2zeEKW5H_c" TargetMode="External"/><Relationship Id="rId71" Type="http://schemas.openxmlformats.org/officeDocument/2006/relationships/hyperlink" Target="https://www.facebook.com/ads/library/?active_status=active&amp;ad_type=all&amp;country=ALL&amp;q=BL%20Apoio%20Pedag&#243;gico&amp;search_type=keyword_unordered&amp;media_type=all" TargetMode="External"/><Relationship Id="rId72" Type="http://schemas.openxmlformats.org/officeDocument/2006/relationships/hyperlink" Target="https://l.facebook.com/l.php?u=http%3A%2F%2Fwww.apoiopedagogico.com%2F%3Ffbclid%3DIwcGRvZgFleHRuA2FlbQIxMABicmlkETFXNzlsVXpoUDVDNVVuakFSc3J0YwZhcHBfaWQPNTQxNjM5NDkzODg5MDI1AAEemiG7ZJSZpG9eI9fq5mE7SXnRpY_yuEiuCxv85peaXE2F7vnxtjwNXuT-oUQ_aem_8O1Am_K_CRhxY_K" TargetMode="External"/><Relationship Id="rId73" Type="http://schemas.openxmlformats.org/officeDocument/2006/relationships/hyperlink" Target="https://www.facebook.com/ads/library/?active_status=active&amp;ad_type=all&amp;country=ALL&amp;q=EadUnicv&amp;search_type=keyword_unordered&amp;media_type=all" TargetMode="External"/><Relationship Id="rId74" Type="http://schemas.openxmlformats.org/officeDocument/2006/relationships/hyperlink" Target="https://l.facebook.com/l.php?u=https%3A%2F%2Funicvedu.com.br%2Ftecnico-para-tecnologo%2F%3Ffbclid%3DIwcGRvZgFleHRuA2FlbQIxMABicmlkETFXNzlsVXpoUDVDNVVuakFSc3J0YwZhcHBfaWQPNTQxNjM5NDkzODg5MDI1AAEe6-lGHam-0fdkKTskoHoSKGSmqNV9VvipHgVFi62EM8HQmWSe7Dfh30LV9E4_a" TargetMode="External"/><Relationship Id="rId75" Type="http://schemas.openxmlformats.org/officeDocument/2006/relationships/hyperlink" Target="https://www.facebook.com/ads/library/?active_status=active&amp;ad_type=all&amp;country=ALL&amp;q=Companhia%20na%20Educa&#231;&#227;o&amp;search_type=keyword_unordered&amp;media_type=all" TargetMode="External"/><Relationship Id="rId76" Type="http://schemas.openxmlformats.org/officeDocument/2006/relationships/hyperlink" Target="https://l.facebook.com/l.php?u=http%3A%2F%2Fbit.ly%2Fpnldliterarioeducacaoinfantil%3Ffbclid%3DIwcGRvZgFleHRuA2FlbQIxMABicmlkETFXNzlsVXpoUDVDNVVuakFSc3J0YwZhcHBfaWQPNTQxNjM5NDkzODg5MDI1AAEefnH1UbdwofpdI_CiMiZqSVSkG-E51GXidOepqY31qSthTm9SFWcX8r87ZdM_aem_92E" TargetMode="External"/><Relationship Id="rId77" Type="http://schemas.openxmlformats.org/officeDocument/2006/relationships/hyperlink" Target="https://www.facebook.com/ads/library/?active_status=active&amp;ad_type=all&amp;country=ALL&amp;q=Prime%20Cursos&amp;search_type=keyword_unordered&amp;media_type=all" TargetMode="External"/><Relationship Id="rId78" Type="http://schemas.openxmlformats.org/officeDocument/2006/relationships/hyperlink" Target="https://l.facebook.com/l.php?u=https%3A%2F%2Fwww.primecursos.com.br%2Fbusca%2F%3Ftermo%3DCreche%26search-button%3D%26fbclid%3DIwcGRvZgFleHRuA2FlbQIxMABicmlkETFXNzlsVXpoUDVDNVVuakFSc3J0YwZhcHBfaWQPNTQxNjM5NDkzODg5MDI1AAEeo6JyMjm1XPgMuTrdSlDmfT6YyerozLW2goY" TargetMode="External"/><Relationship Id="rId79" Type="http://schemas.openxmlformats.org/officeDocument/2006/relationships/hyperlink" Target="https://www.facebook.com/ads/library/?active_status=active&amp;ad_type=all&amp;country=ALL&amp;q=EAD%20Pleno%20S&#227;o%20Lu&#237;s&amp;search_type=keyword_unordered&amp;media_type=all" TargetMode="External"/><Relationship Id="rId80" Type="http://schemas.openxmlformats.org/officeDocument/2006/relationships/hyperlink" Target="https://l.facebook.com/l.php?u=https%3A%2F%2Fwww.poseadsaoluis.com.br%2Fcurso%2Fpos-educacao-infantil-abordagem-reggio-emilia-ead%2F%3Ffbclid%3DIwcGRvZgFleHRuA2FlbQIxMABicmlkETFXNzlsVXpoUDVDNVVuakFSc3J0YwZhcHBfaWQPNTQxNjM5NDkzODg5MDI1AAEe6-lGHam-0fdkKTsko" TargetMode="External"/><Relationship Id="rId81" Type="http://schemas.openxmlformats.org/officeDocument/2006/relationships/hyperlink" Target="https://www.facebook.com/ads/library/?active_status=active&amp;ad_type=all&amp;country=ALL&amp;q=ProPedagogia%20-%20Concursos%20para%20Professores&amp;search_type=keyword_unordered&amp;media_type=all" TargetMode="External"/><Relationship Id="rId82" Type="http://schemas.openxmlformats.org/officeDocument/2006/relationships/hyperlink" Target="https://l.facebook.com/l.php?u=https%3A%2F%2Faprovado.propedagogia.com.br%2Faula-gratis-sme-sp-ads%3Ffbclid%3DIwcGRvZgFleHRuA2FlbQIxMABicmlkETFXNzlsVXpoUDVDNVVuakFSc3J0YwZhcHBfaWQPNTQxNjM5NDkzODg5MDI1AAEe6-lGHam-0fdkKTskoHoSKGSmqNV9VvipHgVFi62EM8HQmWSe7Df" TargetMode="External"/><Relationship Id="rId83" Type="http://schemas.openxmlformats.org/officeDocument/2006/relationships/hyperlink" Target="https://www.facebook.com/ads/library/?active_status=active&amp;ad_type=all&amp;country=ALL&amp;q=Prof%20Decorativa&amp;search_type=keyword_unordered&amp;media_type=all" TargetMode="External"/><Relationship Id="rId84" Type="http://schemas.openxmlformats.org/officeDocument/2006/relationships/hyperlink" Target="https://l.facebook.com/l.php?u=https%3A%2F%2Fprofdecorativa.com.br%2Fproduto%2Fdescubra-o-numero%2F%3Ffbclid%3DIwcGRvZgFleHRuA2FlbQIxMABicmlkETFXNzlsVXpoUDVDNVVuakFSc3J0YwZhcHBfaWQPNTQxNjM5NDkzODg5MDI1AAEef2Ay9JH-w62yBzipAYnGYPW8DpiIbNWtsD3FV7TbiynhJrf2FJ" TargetMode="External"/><Relationship Id="rId85" Type="http://schemas.openxmlformats.org/officeDocument/2006/relationships/hyperlink" Target="https://www.facebook.com/ads/library/?active_status=active&amp;ad_type=all&amp;country=ALL&amp;q=Tudo%20para%20o%20Professor&amp;search_type=keyword_unordered&amp;media_type=all" TargetMode="External"/><Relationship Id="rId86" Type="http://schemas.openxmlformats.org/officeDocument/2006/relationships/hyperlink" Target="https://l.facebook.com/l.php?u=https%3A%2F%2Ftudoparaoprofessor.com.br%2Fproduto%2Fpainel-semana-farroupilha%2F%3Futm_source%3Dmeta_andromeda_RS%26utm_medium%3Dpainel-semana-farroupilha%26utm_id%3Dmeta_painel-semana-farroupilha%26fbclid%3DIwcGRvZgFleHRuA2" TargetMode="External"/><Relationship Id="rId87" Type="http://schemas.openxmlformats.org/officeDocument/2006/relationships/hyperlink" Target="https://www.facebook.com/ads/library/?active_status=active&amp;ad_type=all&amp;country=ALL&amp;q=Antes%20que%20Vire&amp;search_type=keyword_unordered&amp;media_type=all" TargetMode="External"/><Relationship Id="rId88" Type="http://schemas.openxmlformats.org/officeDocument/2006/relationships/hyperlink" Target="https://l.facebook.com/l.php?u=https%3A%2F%2Fantesquevire.com.br%2Fteste-risco-pre-diabetes%3Futm_source%3Dmeta-ads%26utm_medium%3Dpago%26utm_campaign%3D2026_projeto-especial_consideracao_meta-ads_reels%26utm_content%3Dprojeto-especial_meta-ads_considerac" TargetMode="External"/><Relationship Id="rId89" Type="http://schemas.openxmlformats.org/officeDocument/2006/relationships/hyperlink" Target="https://www.facebook.com/ads/library/?active_status=active&amp;ad_type=all&amp;country=ALL&amp;q=Guias%20e%20Manuais%20para%20ajuda&amp;search_type=keyword_unordered&amp;media_type=all" TargetMode="External"/><Relationship Id="rId90" Type="http://schemas.openxmlformats.org/officeDocument/2006/relationships/hyperlink" Target="https://l.facebook.com/l.php?u=https%3A%2F%2Fjogoseducativosr.vercel.app%2F%3Ffbclid%3DIwcGRvZgFleHRuA2FlbQIxMABicmlkETFXNzlsVXpoUDVDNVVuakFSc3J0YwZhcHBfaWQPNTQxNjM5NDkzODg5MDI1AAEei-7k0OCV6rulAxe8m7jBCbQ9cA8KiGcW5XYIS0hD0RgB02J221k76asUC-Q_aem_r7SThfJaU_" TargetMode="External"/><Relationship Id="rId91" Type="http://schemas.openxmlformats.org/officeDocument/2006/relationships/hyperlink" Target="https://www.facebook.com/ads/library/?active_status=active&amp;ad_type=all&amp;country=ALL&amp;q=%20%20%20%20Prof.%20Jaci%20Recursos%20Pedag&#243;gicos&amp;search_type=keyword_unordered&amp;media_type=all" TargetMode="External"/><Relationship Id="rId92" Type="http://schemas.openxmlformats.org/officeDocument/2006/relationships/hyperlink" Target="https://api.whatsapp.com/send" TargetMode="External"/><Relationship Id="rId93" Type="http://schemas.openxmlformats.org/officeDocument/2006/relationships/hyperlink" Target="https://www.facebook.com/ads/library/?active_status=active&amp;ad_type=all&amp;country=ALL&amp;q=Voa%20Conhecimento&amp;search_type=keyword_unordered&amp;media_type=all" TargetMode="External"/><Relationship Id="rId94" Type="http://schemas.openxmlformats.org/officeDocument/2006/relationships/hyperlink" Target="https://l.facebook.com/l.php?u=https%3A%2F%2Fvoaconhecimento.com.br%2Fjornada-bncc-na-pratica%3Fsrc%3DMTADS-BNCC019_%257B%257Badset.name%257D%257D_%257B%257Bad.name%257D%257D_MTADS-BNCC019_%257B%257Bcampaign.name%257D%257D_%257B%257Badset.name%257D%257D_%" TargetMode="External"/><Relationship Id="rId95" Type="http://schemas.openxmlformats.org/officeDocument/2006/relationships/hyperlink" Target="https://www.facebook.com/ads/library/?active_status=active&amp;ad_type=all&amp;country=ALL&amp;q=Grupo%20Educacional%20Acesso&amp;search_type=keyword_unordered&amp;media_type=all" TargetMode="External"/><Relationship Id="rId96" Type="http://schemas.openxmlformats.org/officeDocument/2006/relationships/hyperlink" Target="https://l.facebook.com/l.php?u=https%3A%2F%2Fwww.cursoacesso.com.br%2Finfantil-matriculas-2027%2F%3Futm_source%3Dfacebook%26utm_medium%3Dpaid%26utm_campaign%3Dnpbr_acesso_facebook_lead_fundo_infantil_aon_%26utm_content%3Dnpbr_infantil_interesse_28-42%26ut" TargetMode="External"/><Relationship Id="rId97" Type="http://schemas.openxmlformats.org/officeDocument/2006/relationships/hyperlink" Target="https://www.facebook.com/ads/library/?active_status=active&amp;ad_type=all&amp;country=ALL&amp;q=teterecoss&amp;search_type=keyword_unordered&amp;media_type=all" TargetMode="External"/><Relationship Id="rId98" Type="http://schemas.openxmlformats.org/officeDocument/2006/relationships/hyperlink" Target="https://l.facebook.com/l.php?u=https%3A%2F%2Fteterecoss.com.br%2Fproduto%2Fcantinho-da-leitura-arvore-grande%2F%3Ffbclid%3DIwcGRvZgFleHRuA2FlbQIxMABicmlkETFXNzlsVXpoUDVDNVVuakFSc3J0YwZhcHBfaWQPNTQxNjM5NDkzODg5MDI1AAEefbFGDO-zrlIqJQIlM89BJn9ihvjEznXMXNSN5_" TargetMode="External"/><Relationship Id="rId99" Type="http://schemas.openxmlformats.org/officeDocument/2006/relationships/hyperlink" Target="https://www.facebook.com/ads/library/?active_status=active&amp;ad_type=all&amp;country=ALL&amp;q=Prof%20&#186;%20Jaqueline&amp;search_type=keyword_unordered&amp;media_type=all" TargetMode="External"/><Relationship Id="rId100" Type="http://schemas.openxmlformats.org/officeDocument/2006/relationships/hyperlink" Target="https://api.whatsapp.com/send" TargetMode="External"/><Relationship Id="rId101" Type="http://schemas.openxmlformats.org/officeDocument/2006/relationships/hyperlink" Target="https://www.facebook.com/ads/library/?active_status=active&amp;ad_type=all&amp;country=ALL&amp;q=Eduhot%20Cursos%20Online&amp;search_type=keyword_unordered&amp;media_type=all" TargetMode="External"/><Relationship Id="rId102" Type="http://schemas.openxmlformats.org/officeDocument/2006/relationships/hyperlink" Target="https://l.facebook.com/l.php?u=https%3A%2F%2Feduhot.com.br%2Fcursos%2Finfo%2F120%2Fenfermagem-em-servicos-pediatricos-e-neonatais%3Ffbclid%3DIwcGRvZgFleHRuA2FlbQIxMABicmlkETFXNzlsVXpoUDVDNVVuakFSc3J0YwZhcHBfaWQPNTQxNjM5NDkzODg5MDI1AAEeH1AJh0vlnF3AlOcgu47q" TargetMode="External"/><Relationship Id="rId103" Type="http://schemas.openxmlformats.org/officeDocument/2006/relationships/hyperlink" Target="https://www.facebook.com/ads/library/?active_status=active&amp;ad_type=all&amp;country=ALL&amp;q=Mundo%20Pedag&#243;gico%20Prof&#170;%20Greice%20Moura&amp;search_type=keyword_unordered&amp;media_type=all" TargetMode="External"/><Relationship Id="rId104" Type="http://schemas.openxmlformats.org/officeDocument/2006/relationships/hyperlink" Target="https://l.facebook.com/l.php?u=https%3A%2F%2Fmundopedagogicogm.com.br%2Fproduto%2Fcantinho-da-calma%2F%3Ffbclid%3DIwcGRvZgFleHRuA2FlbQIxMABicmlkETFXNzlsVXpoUDVDNVVuakFSc3J0YwZhcHBfaWQPNTQxNjM5NDkzODg5MDI1AAEei-7k0OCV6rulAxe8m7jBCbQ9cA8KiGcW5XYIS0hD0RgB02J" TargetMode="External"/><Relationship Id="rId105" Type="http://schemas.openxmlformats.org/officeDocument/2006/relationships/hyperlink" Target="https://www.facebook.com/ads/library/?active_status=active&amp;ad_type=all&amp;country=ALL&amp;q=Estev&#227;o%20Torres&amp;search_type=keyword_unordered&amp;media_type=all" TargetMode="External"/><Relationship Id="rId106" Type="http://schemas.openxmlformats.org/officeDocument/2006/relationships/hyperlink" Target="https://l.facebook.com/l.php?u=https%3A%2F%2Fsite.arquivopratico.online%2Fatv-autistas-6-ao-9%3Ffbclid%3DIwcGRvZgFleHRuA2FlbQIxMABicmlkETFXNzlsVXpoUDVDNVVuakFSc3J0YwZhcHBfaWQPNTQxNjM5NDkzODg5MDI1AAEemiG7ZJSZpG9eI9fq5mE7SXnRpY_yuEiuCxv85peaXE2F7vnxtjwNXuT-" TargetMode="External"/><Relationship Id="rId107" Type="http://schemas.openxmlformats.org/officeDocument/2006/relationships/hyperlink" Target="https://www.facebook.com/ads/library/?active_status=active&amp;ad_type=all&amp;country=ALL&amp;q=Col&#233;gio%20Logos&#243;fico%20S&#227;o%20Paulo&amp;search_type=keyword_unordered&amp;media_type=all" TargetMode="External"/><Relationship Id="rId108" Type="http://schemas.openxmlformats.org/officeDocument/2006/relationships/hyperlink" Target="https://l.facebook.com/l.php?u=https%3A%2F%2Fportas-abertas-capture.lovable.app%2F%3Fv%3D5%26utm_source%3Dmeta%26utm_medium%3Dcpc%26utm_campaign%3Dtraf_portas%26fbclid%3DIwcGRvZgFleHRuA2FlbQIxMABicmlkETFXNzlsVXpoUDVDNVVuakFSc3J0YwZhcHBfaWQPNTQxNjM5NDkzODg" TargetMode="External"/><Relationship Id="rId109" Type="http://schemas.openxmlformats.org/officeDocument/2006/relationships/hyperlink" Target="https://www.facebook.com/ads/library/?active_status=active&amp;ad_type=all&amp;country=ALL&amp;q=Prof.%20Antonio%20Esteca%20&amp;search_type=keyword_unordered&amp;media_type=all" TargetMode="External"/><Relationship Id="rId110" Type="http://schemas.openxmlformats.org/officeDocument/2006/relationships/hyperlink" Target="https://l.facebook.com/l.php?u=http%3A%2F%2Finstagram.com%2Fprof.antonioesteca%3Ffbclid%3DIwcGRvZgFleHRuA2FlbQIxMABicmlkETFXNzlsVXpoUDVDNVVuakFSc3J0YwZhcHBfaWQPNTQxNjM5NDkzODg5MDI1AAEefnH1UbdwofpdI_CiMiZqSVSkG-E51GXidOepqY31qSthTm9SFWcX8r87ZdM_aem_92EA8pI" TargetMode="External"/><Relationship Id="rId111" Type="http://schemas.openxmlformats.org/officeDocument/2006/relationships/hyperlink" Target="https://www.facebook.com/ads/library/?active_status=active&amp;ad_type=all&amp;country=ALL&amp;q=NeuroSaber&amp;search_type=keyword_unordered&amp;media_type=all" TargetMode="External"/><Relationship Id="rId112" Type="http://schemas.openxmlformats.org/officeDocument/2006/relationships/hyperlink" Target="https://l.facebook.com/l.php?u=https%3A%2F%2Fpromaisneurosaber.com.br%2Fneuroficina-da-matematica%2F%3Ffbclid%3DIwcGRvZgFleHRuA2FlbQIxMABicmlkETFXNzlsVXpoUDVDNVVuakFSc3J0YwZhcHBfaWQPNTQxNjM5NDkzODg5MDI1AAEe6-lGHam-0fdkKTskoHoSKGSmqNV9VvipHgVFi62EM8HQmWSe7" TargetMode="External"/><Relationship Id="rId113" Type="http://schemas.openxmlformats.org/officeDocument/2006/relationships/hyperlink" Target="https://www.facebook.com/ads/library/?active_status=active&amp;ad_type=all&amp;country=ALL&amp;q=Gabarito%20Educa&#231;&#227;o&amp;search_type=keyword_unordered&amp;media_type=all" TargetMode="External"/><Relationship Id="rId114" Type="http://schemas.openxmlformats.org/officeDocument/2006/relationships/hyperlink" Target="https://l.facebook.com/l.php?u=https%3A%2F%2Fgabaritoeducacao.com%2F%3Ffbclid%3DIwcGRvZgFleHRuA2FlbQIxMABicmlkETFXNzlsVXpoUDVDNVVuakFSc3J0YwZhcHBfaWQPNTQxNjM5NDkzODg5MDI1AAEefnH1UbdwofpdI_CiMiZqSVSkG-E51GXidOepqY31qSthTm9SFWcX8r87ZdM_aem_92EA8pIARN0bInN1Y" TargetMode="External"/><Relationship Id="rId115" Type="http://schemas.openxmlformats.org/officeDocument/2006/relationships/hyperlink" Target="https://www.facebook.com/ads/library/?active_status=active&amp;ad_type=all&amp;country=ALL&amp;q=Profa%20Evelyn%20Cassillo&amp;search_type=keyword_unordered&amp;media_type=all" TargetMode="External"/><Relationship Id="rId116" Type="http://schemas.openxmlformats.org/officeDocument/2006/relationships/hyperlink" Target="https://l.facebook.com/l.php?u=http%3A%2F%2Finstagram.com%2Fprofaevelyncassillo%3Ffbclid%3DIwcGRvZgFleHRuA2FlbQIxMABicmlkETFXNzlsVXpoUDVDNVVuakFSc3J0YwZhcHBfaWQPNTQxNjM5NDkzODg5MDI1AAEef2Ay9JH-w62yBzipAYnGYPW8DpiIbNWtsD3FV7TbiynhJrf2FJ-gR6gVWdQ_aem_PkwtiN" TargetMode="External"/><Relationship Id="rId117" Type="http://schemas.openxmlformats.org/officeDocument/2006/relationships/hyperlink" Target="https://www.facebook.com/ads/library/?active_status=active&amp;ad_type=all&amp;country=ALL&amp;q=Mundo%20da%20pedagogia%20&amp;search_type=keyword_unordered&amp;media_type=all" TargetMode="External"/><Relationship Id="rId118" Type="http://schemas.openxmlformats.org/officeDocument/2006/relationships/hyperlink" Target="https://api.whatsapp.com/send" TargetMode="External"/><Relationship Id="rId119" Type="http://schemas.openxmlformats.org/officeDocument/2006/relationships/hyperlink" Target="https://www.facebook.com/ads/library/?active_status=active&amp;ad_type=all&amp;country=ALL&amp;q=Amo.alfabetizar&amp;search_type=keyword_unordered&amp;media_type=all" TargetMode="External"/><Relationship Id="rId120" Type="http://schemas.openxmlformats.org/officeDocument/2006/relationships/hyperlink" Target="https://api.whatsapp.com/send" TargetMode="External"/><Relationship Id="rId121" Type="http://schemas.openxmlformats.org/officeDocument/2006/relationships/hyperlink" Target="https://www.facebook.com/ads/library/?active_status=active&amp;ad_type=all&amp;country=ALL&amp;q=Bolacha%20Pedag&#243;gica&amp;search_type=keyword_unordered&amp;media_type=all" TargetMode="External"/><Relationship Id="rId122" Type="http://schemas.openxmlformats.org/officeDocument/2006/relationships/hyperlink" Target="https://l.facebook.com/l.php?u=http%3A%2F%2Finstagram.com%2Fbolacha_pedagogica%3Ffbclid%3DIwcGRvZgFleHRuA2FlbQIxMABicmlkETFXNzlsVXpoUDVDNVVuakFSc3J0YwZhcHBfaWQPNTQxNjM5NDkzODg5MDI1AAEeIbNyWNnqt2-4raZja4sSumcYQpNwnkV8H12szpx0xM1nhqpZ-pH7bYS1Jwo_aem_kq6TAF2" TargetMode="External"/><Relationship Id="rId123" Type="http://schemas.openxmlformats.org/officeDocument/2006/relationships/hyperlink" Target="https://www.facebook.com/ads/library/?active_status=active&amp;ad_type=all&amp;country=ALL&amp;q=Pedagogia%20toda%20hora&amp;search_type=keyword_unordered&amp;media_type=all" TargetMode="External"/><Relationship Id="rId124" Type="http://schemas.openxmlformats.org/officeDocument/2006/relationships/hyperlink" Target="https://api.whatsapp.com/send" TargetMode="External"/><Relationship Id="rId125" Type="http://schemas.openxmlformats.org/officeDocument/2006/relationships/hyperlink" Target="https://www.facebook.com/ads/library/?active_status=active&amp;ad_type=all&amp;country=ALL&amp;q=Prof%20Juliana%20&amp;search_type=keyword_unordered&amp;media_type=all" TargetMode="External"/><Relationship Id="rId126" Type="http://schemas.openxmlformats.org/officeDocument/2006/relationships/hyperlink" Target="https://api.whatsapp.com/send" TargetMode="External"/><Relationship Id="rId127" Type="http://schemas.openxmlformats.org/officeDocument/2006/relationships/hyperlink" Target="https://www.facebook.com/ads/library/?active_status=active&amp;ad_type=all&amp;country=ALL&amp;q=Pedagoga%20Aprovada&amp;search_type=keyword_unordered&amp;media_type=all" TargetMode="External"/><Relationship Id="rId128" Type="http://schemas.openxmlformats.org/officeDocument/2006/relationships/hyperlink" Target="https://api.whatsapp.com/send" TargetMode="External"/><Relationship Id="rId129" Type="http://schemas.openxmlformats.org/officeDocument/2006/relationships/hyperlink" Target="https://www.facebook.com/ads/library/?active_status=active&amp;ad_type=all&amp;country=ALL&amp;q=EducaPr&#225;tica&amp;search_type=keyword_unordered&amp;media_type=all" TargetMode="External"/><Relationship Id="rId130" Type="http://schemas.openxmlformats.org/officeDocument/2006/relationships/hyperlink" Target="https://api.whatsapp.com/send" TargetMode="External"/><Relationship Id="rId131" Type="http://schemas.openxmlformats.org/officeDocument/2006/relationships/hyperlink" Target="https://www.facebook.com/ads/library/?active_status=active&amp;ad_type=all&amp;country=ALL&amp;q=Professora%20Tatiane%20Moraes&amp;search_type=keyword_unordered&amp;media_type=all" TargetMode="External"/><Relationship Id="rId132" Type="http://schemas.openxmlformats.org/officeDocument/2006/relationships/hyperlink" Target="https://l.facebook.com/l.php?u=https%3A%2F%2Fwww.instagram.com%2F_u%2Fprofessora_tatianemoraes%3Ffbclid%3DIwcGRvZgFleHRuA2FlbQIxMABicmlkETFXNzlsVXpoUDVDNVVuakFSc3J0YwZhcHBfaWQPNTQxNjM5NDkzODg5MDI1AAEeo6JyMjm1XPgMuTrdSlDmfT6YyerozLW2goY7wbM4vUwq0i3rwsBPh9w" TargetMode="External"/><Relationship Id="rId133" Type="http://schemas.openxmlformats.org/officeDocument/2006/relationships/hyperlink" Target="https://www.facebook.com/ads/library/?active_status=active&amp;ad_type=all&amp;country=ALL&amp;q=Aprendendo%20para%20Ensinar&amp;search_type=keyword_unordered&amp;media_type=all" TargetMode="External"/><Relationship Id="rId134" Type="http://schemas.openxmlformats.org/officeDocument/2006/relationships/hyperlink" Target="https://l.facebook.com/l.php?u=https%3A%2F%2Flnk.bio%2Faprendendoparaensinar%3Ffbclid%3DIwcGRvZgFleHRuA2FlbQIxMABicmlkETFXNzlsVXpoUDVDNVVuakFSc3J0YwZhcHBfaWQPNTQxNjM5NDkzODg5MDI1AAEei-7k0OCV6rulAxe8m7jBCbQ9cA8KiGcW5XYIS0hD0RgB02J221k76asUC-Q_aem_r7SThfJaU" TargetMode="External"/><Relationship Id="rId135" Type="http://schemas.openxmlformats.org/officeDocument/2006/relationships/hyperlink" Target="https://www.facebook.com/ads/library/?active_status=active&amp;ad_type=all&amp;country=ALL&amp;q=Educa&#231;&#227;o%20Premium&amp;search_type=keyword_unordered&amp;media_type=all" TargetMode="External"/><Relationship Id="rId136" Type="http://schemas.openxmlformats.org/officeDocument/2006/relationships/hyperlink" Target="https://api.whatsapp.com/send" TargetMode="External"/><Relationship Id="rId137" Type="http://schemas.openxmlformats.org/officeDocument/2006/relationships/hyperlink" Target="https://www.facebook.com/ads/library/?active_status=active&amp;ad_type=all&amp;country=ALL&amp;q=Mapas%20Pedag&#243;gicos&amp;search_type=keyword_unordered&amp;media_type=all" TargetMode="External"/><Relationship Id="rId138" Type="http://schemas.openxmlformats.org/officeDocument/2006/relationships/hyperlink" Target="https://l.facebook.com/l.php?u=https%3A%2F%2Finstagram.com%2Fmapaspedagogicos%3Ffbclid%3DIwcGRvZgFleHRuA2FlbQIxMABicmlkETFXNzlsVXpoUDVDNVVuakFSc3J0YwZhcHBfaWQPNTQxNjM5NDkzODg5MDI1AAEeIbNyWNnqt2-4raZja4sSumcYQpNwnkV8H12szpx0xM1nhqpZ-pH7bYS1Jwo_aem_kq6TAF2G" TargetMode="External"/><Relationship Id="rId139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facebook.com/ads/library/?active_status=active&amp;ad_type=all&amp;country=ALL&amp;q=Escola%20de%20Educa&#231;&#227;o%20Infantil%20Conviver&amp;search_type=keyword_unordered&amp;media_type=all" TargetMode="External"/><Relationship Id="rId2" Type="http://schemas.openxmlformats.org/officeDocument/2006/relationships/hyperlink" Target="https://www.facebook.com/escolainfantilconviver/" TargetMode="External"/><Relationship Id="rId3" Type="http://schemas.openxmlformats.org/officeDocument/2006/relationships/hyperlink" Target="https://www.facebook.com/ads/library/?active_status=active&amp;ad_type=all&amp;country=ALL&amp;q=espaco_alvo_triangulo&amp;search_type=keyword_unordered&amp;media_type=all" TargetMode="External"/><Relationship Id="rId4" Type="http://schemas.openxmlformats.org/officeDocument/2006/relationships/hyperlink" Target="https://l.facebook.com/l.php?u=https%3A%2F%2Fwww.instagram.com%2F_u%2F____365food%3Ffbclid%3DIwcGRvZgFleHRuA2FlbQIxMABicmlkETFXNzlsVXpoUDVDNVVuakFSc3J0YwZhcHBfaWQPNTQxNjM5NDkzODg5MDI1AAEefnH1UbdwofpdI_CiMiZqSVSkG-E51GXidOepqY31qSthTm9SFWcX8r87ZdM_aem_92EA" TargetMode="External"/><Relationship Id="rId5" Type="http://schemas.openxmlformats.org/officeDocument/2006/relationships/hyperlink" Target="https://www.facebook.com/ads/library/?active_status=active&amp;ad_type=all&amp;country=ALL&amp;q=Escola%20Kids&amp;search_type=keyword_unordered&amp;media_type=all" TargetMode="External"/><Relationship Id="rId6" Type="http://schemas.openxmlformats.org/officeDocument/2006/relationships/hyperlink" Target="https://www.facebook.com/ads/library/?active_status=active&amp;ad_type=all&amp;country=ALL&amp;q=&#193;pice%20Educa&#231;&#227;o%20Infantil&amp;search_type=keyword_unordered&amp;media_type=all" TargetMode="External"/><Relationship Id="rId7" Type="http://schemas.openxmlformats.org/officeDocument/2006/relationships/hyperlink" Target="https://api.whatsapp.com/send" TargetMode="External"/><Relationship Id="rId8" Type="http://schemas.openxmlformats.org/officeDocument/2006/relationships/hyperlink" Target="https://www.facebook.com/ads/library/?active_status=active&amp;ad_type=all&amp;country=ALL&amp;q=Escola%20de%20Educa&#231;&#227;o%20Infantil%20Turminha%20da%20Piquitita&amp;search_type=keyword_unordered&amp;media_type=all" TargetMode="External"/><Relationship Id="rId9" Type="http://schemas.openxmlformats.org/officeDocument/2006/relationships/hyperlink" Target="https://api.whatsapp.com/send" TargetMode="External"/><Relationship Id="rId10" Type="http://schemas.openxmlformats.org/officeDocument/2006/relationships/hyperlink" Target="https://www.facebook.com/ads/library/?active_status=active&amp;ad_type=all&amp;country=ALL&amp;q=DOM%20TITON%20-%20Escola%20Integral%20de%20Educa&#231;&#227;o%20Infantil&amp;search_type=keyword_unordered&amp;media_type=all" TargetMode="External"/><Relationship Id="rId11" Type="http://schemas.openxmlformats.org/officeDocument/2006/relationships/hyperlink" Target="https://l.facebook.com/l.php?u=http%3A%2F%2Finstagram.com%2Fdomtiton%3Ffbclid%3DIwcGRvZgFleHRuA2FlbQIxMABicmlkETFXNzlsVXpoUDVDNVVuakFSc3J0YwZhcHBfaWQPNTQxNjM5NDkzODg5MDI1AAEemiG7ZJSZpG9eI9fq5mE7SXnRpY_yuEiuCxv85peaXE2F7vnxtjwNXuT-oUQ_aem_8O1Am_K_CRhxY_Kqm" TargetMode="External"/><Relationship Id="rId12" Type="http://schemas.openxmlformats.org/officeDocument/2006/relationships/hyperlink" Target="https://www.facebook.com/ads/library/?active_status=active&amp;ad_type=all&amp;country=ALL&amp;q=colorecrecheescola&amp;search_type=keyword_unordered&amp;media_type=all" TargetMode="External"/><Relationship Id="rId13" Type="http://schemas.openxmlformats.org/officeDocument/2006/relationships/hyperlink" Target="https://l.facebook.com/l.php?u=https%3A%2F%2Fwww.instagram.com%2F_u%2Fcolorecrecheescola%3Ffbclid%3DIwcGRvZgFleHRuA2FlbQIxMABicmlkETFXNzlsVXpoUDVDNVVuakFSc3J0YwZhcHBfaWQPNTQxNjM5NDkzODg5MDI1AAEeH1AJh0vlnF3AlOcgu47q8hasJKuoUFcuVs3sw1Tqc3snFg8RJeOheD-ct6c_a" TargetMode="External"/><Relationship Id="rId14" Type="http://schemas.openxmlformats.org/officeDocument/2006/relationships/hyperlink" Target="https://www.facebook.com/ads/library/?active_status=active&amp;ad_type=all&amp;country=ALL&amp;q=Escola%20JM&amp;search_type=keyword_unordered&amp;media_type=all" TargetMode="External"/><Relationship Id="rId15" Type="http://schemas.openxmlformats.org/officeDocument/2006/relationships/hyperlink" Target="https://api.whatsapp.com/send" TargetMode="External"/><Relationship Id="rId16" Type="http://schemas.openxmlformats.org/officeDocument/2006/relationships/hyperlink" Target="https://www.facebook.com/ads/library/?active_status=active&amp;ad_type=all&amp;country=ALL&amp;q=Col&#233;gio%20Destaque&amp;search_type=keyword_unordered&amp;media_type=all" TargetMode="External"/><Relationship Id="rId17" Type="http://schemas.openxmlformats.org/officeDocument/2006/relationships/hyperlink" Target="https://api.whatsapp.com/send" TargetMode="External"/><Relationship Id="rId18" Type="http://schemas.openxmlformats.org/officeDocument/2006/relationships/hyperlink" Target="https://www.facebook.com/ads/library/?active_status=active&amp;ad_type=all&amp;country=ALL&amp;q=Baby%20Passinho%20-%20Ber&#231;&#225;rio%20e%20Educa&#231;&#227;o%20Infantil&amp;search_type=keyword_unordered&amp;media_type=all" TargetMode="External"/><Relationship Id="rId19" Type="http://schemas.openxmlformats.org/officeDocument/2006/relationships/hyperlink" Target="https://api.whatsapp.com/send" TargetMode="External"/><Relationship Id="rId20" Type="http://schemas.openxmlformats.org/officeDocument/2006/relationships/hyperlink" Target="https://www.facebook.com/ads/library/?active_status=active&amp;ad_type=all&amp;country=ALL&amp;q=Colore%20Creche%20Escola&amp;search_type=keyword_unordered&amp;media_type=all" TargetMode="External"/><Relationship Id="rId21" Type="http://schemas.openxmlformats.org/officeDocument/2006/relationships/hyperlink" Target="https://l.facebook.com/l.php?u=http%3A%2F%2Finstagram.com%2Fcolorecrecheescola%3Ffbclid%3DIwcGRvZgFleHRuA2FlbQIxMABicmlkETFXNzlsVXpoUDVDNVVuakFSc3J0YwZhcHBfaWQPNTQxNjM5NDkzODg5MDI1AAEefnH1UbdwofpdI_CiMiZqSVSkG-E51GXidOepqY31qSthTm9SFWcX8r87ZdM_aem_92EA8pI" TargetMode="External"/><Relationship Id="rId22" Type="http://schemas.openxmlformats.org/officeDocument/2006/relationships/hyperlink" Target="https://www.facebook.com/ads/library/?active_status=active&amp;ad_type=all&amp;country=ALL&amp;q=Atividades%20da%20Pr&#244;%20-%20Recursos%20Pedag&#243;gicos&amp;search_type=keyword_unordered&amp;media_type=all" TargetMode="External"/><Relationship Id="rId23" Type="http://schemas.openxmlformats.org/officeDocument/2006/relationships/hyperlink" Target="https://l.facebook.com/l.php?u=https%3A%2F%2Fwww.instagram.com%2F_u%2Fatividadesdapro_%3Ffbclid%3DIwcGRvZgFleHRuA2FlbQIxMABicmlkETFXNzlsVXpoUDVDNVVuakFSc3J0YwZhcHBfaWQPNTQxNjM5NDkzODg5MDI1AAEeIbNyWNnqt2-4raZja4sSumcYQpNwnkV8H12szpx0xM1nhqpZ-pH7bYS1Jwo_aem" TargetMode="External"/><Relationship Id="rId24" Type="http://schemas.openxmlformats.org/officeDocument/2006/relationships/hyperlink" Target="https://www.facebook.com/ads/library/?active_status=active&amp;ad_type=all&amp;country=ALL&amp;q=infinito_afeto&amp;search_type=keyword_unordered&amp;media_type=all" TargetMode="External"/><Relationship Id="rId25" Type="http://schemas.openxmlformats.org/officeDocument/2006/relationships/hyperlink" Target="https://l.facebook.com/l.php?u=https%3A%2F%2Fwww.instagram.com%2F_u%2Finfinito_afeto%3Ffbclid%3DIwcGRvZgFleHRuA2FlbQIxMABicmlkETFXNzlsVXpoUDVDNVVuakFSc3J0YwZhcHBfaWQPNTQxNjM5NDkzODg5MDI1AAEeomo5_C6J2q3cxfNXzkZroM0VILYhv9g6P2DO5yVgnfUBZbvhqs3M9JiYyF0_aem_u" TargetMode="External"/><Relationship Id="rId26" Type="http://schemas.openxmlformats.org/officeDocument/2006/relationships/hyperlink" Target="https://www.facebook.com/ads/library/?active_status=active&amp;ad_type=all&amp;country=ALL&amp;q=Mariane%20Assis%20Dias&amp;search_type=keyword_unordered&amp;media_type=all" TargetMode="External"/><Relationship Id="rId27" Type="http://schemas.openxmlformats.org/officeDocument/2006/relationships/hyperlink" Target="https://l.facebook.com/l.php?u=http%3A%2F%2Finstagram.com%2Fmarianeassis_dias%3Ffbclid%3DIwcGRvZgFleHRuA2FlbQIxMABicmlkETFXNzlsVXpoUDVDNVVuakFSc3J0YwZhcHBfaWQPNTQxNjM5NDkzODg5MDI1AAEefnH1UbdwofpdI_CiMiZqSVSkG-E51GXidOepqY31qSthTm9SFWcX8r87ZdM_aem_92EA8pIA" TargetMode="External"/><Relationship Id="rId28" Type="http://schemas.openxmlformats.org/officeDocument/2006/relationships/hyperlink" Target="https://www.facebook.com/ads/library/?active_status=active&amp;ad_type=all&amp;country=ALL&amp;q=Atividades%20Com%20Amor&amp;search_type=keyword_unordered&amp;media_type=all" TargetMode="External"/><Relationship Id="rId29" Type="http://schemas.openxmlformats.org/officeDocument/2006/relationships/hyperlink" Target="https://l.facebook.com/l.php?u=https%3A%2F%2Fatividadescomamor.com.br%2Fproduto%2Fcards-massinha%2F%3Ffbclid%3DIwcGRvZgFleHRuA2FlbQIxMABicmlkETFXNzlsVXpoUDVDNVVuakFSc3J0YwZhcHBfaWQPNTQxNjM5NDkzODg5MDI1AAEefbFGDO-zrlIqJQIlM89BJn9ihvjEznXMXNSN5_rYbXTZcEwyAe" TargetMode="External"/><Relationship Id="rId30" Type="http://schemas.openxmlformats.org/officeDocument/2006/relationships/hyperlink" Target="https://www.facebook.com/ads/library/?active_status=active&amp;ad_type=all&amp;country=ALL&amp;q=Mind%20Makers&amp;search_type=keyword_unordered&amp;media_type=all" TargetMode="External"/><Relationship Id="rId31" Type="http://schemas.openxmlformats.org/officeDocument/2006/relationships/hyperlink" Target="https://l.facebook.com/l.php?u=https%3A%2F%2Fmindmakers.com.br%2F%3Futm_source%3D%257B%257Bsite_source_name%257D%257D%26utm_medium%3Dcpc%26utm_campaign%3DAC_MM_CP3_Institucional_Awareness_Topo_CBO%26utm_content%3DMM_CP3_CJ1_Interesse_Frio_Brasil_Feed%26ut" TargetMode="External"/><Relationship Id="rId32" Type="http://schemas.openxmlformats.org/officeDocument/2006/relationships/hyperlink" Target="https://www.facebook.com/ads/library/?active_status=active&amp;ad_type=all&amp;country=ALL&amp;q=Instituto%20Alfa%20e%20Beto&amp;search_type=keyword_unordered&amp;media_type=all" TargetMode="External"/><Relationship Id="rId33" Type="http://schemas.openxmlformats.org/officeDocument/2006/relationships/hyperlink" Target="https://l.facebook.com/l.php?u=https%3A%2F%2Falfaebeto.lojaintegrada.com.br%2Fprimeira-infancia%3Fsort%3Dmais_vendidos%26fbclid%3DIwcGRvZgFleHRuA2FlbQIxMABicmlkETFXNzlsVXpoUDVDNVVuakFSc3J0YwZhcHBfaWQPNTQxNjM5NDkzODg5MDI1AAEefnH1UbdwofpdI_CiMiZqSVSkG-E51GX" TargetMode="External"/><Relationship Id="rId34" Type="http://schemas.openxmlformats.org/officeDocument/2006/relationships/hyperlink" Target="https://www.facebook.com/ads/library/?active_status=active&amp;ad_type=all&amp;country=ALL&amp;q=Focanoensino&amp;search_type=keyword_unordered&amp;media_type=all" TargetMode="External"/><Relationship Id="rId35" Type="http://schemas.openxmlformats.org/officeDocument/2006/relationships/hyperlink" Target="https://l.facebook.com/l.php?u=https%3A%2F%2Ffocanoensino.com.br%2Fproduct%2Fdados-quebra-cabeca%2F%3Ffbclid%3DIwcGRvZgFleHRuA2FlbQIxMABicmlkETFXNzlsVXpoUDVDNVVuakFSc3J0YwZhcHBfaWQPNTQxNjM5NDkzODg5MDI1AAEefnH1UbdwofpdI_CiMiZqSVSkG-E51GXidOepqY31qSthTm9SFW" TargetMode="External"/><Relationship Id="rId36" Type="http://schemas.openxmlformats.org/officeDocument/2006/relationships/hyperlink" Target="https://www.facebook.com/ads/library/?active_status=active&amp;ad_type=all&amp;country=ALL&amp;q=Ensina%20Mais%20Franquias&amp;search_type=keyword_unordered&amp;media_type=all" TargetMode="External"/><Relationship Id="rId37" Type="http://schemas.openxmlformats.org/officeDocument/2006/relationships/hyperlink" Target="https://l.facebook.com/l.php?u=https%3A%2F%2Ffranquias.moveedu.com.br%2Fensina-mais-seja-franqueado%3Futm_source%3Dfacebook%26utm_medium%3Dcpc%26utm_campaign%3Densina-conversao-2023%26utm_term%3Dcadastro%26utm_content%3D02_empreendedorismo%26fbclid%3DIwcG" TargetMode="External"/><Relationship Id="rId38" Type="http://schemas.openxmlformats.org/officeDocument/2006/relationships/hyperlink" Target="https://www.facebook.com/ads/library/?active_status=active&amp;ad_type=all&amp;country=ALL&amp;q=Anhanguera%20Educacional&amp;search_type=keyword_unordered&amp;media_type=all" TargetMode="External"/><Relationship Id="rId39" Type="http://schemas.openxmlformats.org/officeDocument/2006/relationships/hyperlink" Target="https://api.whatsapp.com/send" TargetMode="External"/><Relationship Id="rId40" Type="http://schemas.openxmlformats.org/officeDocument/2006/relationships/hyperlink" Target="https://www.facebook.com/ads/library/?active_status=active&amp;ad_type=all&amp;country=ALL&amp;q=Col&#233;gio%20Nossa%20Senhora%20da%20Miseric&#243;rdia%20-%20Vargem%20Grande%20Paulista&amp;search_type=keyword_unordered&amp;media_type=all" TargetMode="External"/><Relationship Id="rId41" Type="http://schemas.openxmlformats.org/officeDocument/2006/relationships/hyperlink" Target="https://l.facebook.com/l.php?u=https%3A%2F%2Fone.crmeducacional.com%2FLandingPage%2FLP%2FREDUCAR%2FReducarVG%3Ffbclid%3DIwcGRvZgFleHRuA2FlbQIxMABicmlkETFXNzlsVXpoUDVDNVVuakFSc3J0YwZhcHBfaWQPNTQxNjM5NDkzODg5MDI1AAEefbFGDO-zrlIqJQIlM89BJn9ihvjEznXMXNSN5_rYb" TargetMode="External"/><Relationship Id="rId42" Type="http://schemas.openxmlformats.org/officeDocument/2006/relationships/hyperlink" Target="https://www.facebook.com/ads/library/?active_status=active&amp;ad_type=all&amp;country=ALL&amp;q=C&#226;mara%20Municipal%20da%20Serra&amp;search_type=keyword_unordered&amp;media_type=all" TargetMode="External"/><Relationship Id="rId43" Type="http://schemas.openxmlformats.org/officeDocument/2006/relationships/hyperlink" Target="https://www.facebook.com/ads/library/?active_status=active&amp;ad_type=all&amp;country=ALL&amp;q=CIEC%20Bil&#237;ngue&amp;search_type=keyword_unordered&amp;media_type=all" TargetMode="External"/><Relationship Id="rId44" Type="http://schemas.openxmlformats.org/officeDocument/2006/relationships/hyperlink" Target="https://l.facebook.com/l.php?u=http%3A%2F%2Fwww.ciecpe.com.br%2F%3Ffbclid%3DIwcGRvZgFleHRuA2FlbQIxMABicmlkETFXNzlsVXpoUDVDNVVuakFSc3J0YwZhcHBfaWQPNTQxNjM5NDkzODg5MDI1AAEeo6JyMjm1XPgMuTrdSlDmfT6YyerozLW2goY7wbM4vUwq0i3rwsBPh9wXcW0_aem_Bbd3xtFGd99neFp52YSVb" TargetMode="External"/><Relationship Id="rId45" Type="http://schemas.openxmlformats.org/officeDocument/2006/relationships/hyperlink" Target="https://www.facebook.com/ads/library/?active_status=active&amp;ad_type=all&amp;country=ALL&amp;q=ElloCursos%20Psicologia&amp;search_type=keyword_unordered&amp;media_type=all" TargetMode="External"/><Relationship Id="rId46" Type="http://schemas.openxmlformats.org/officeDocument/2006/relationships/hyperlink" Target="https://l.facebook.com/l.php?u=https%3A%2F%2Fwww.ellocursos.com.br%2Fkit-emocoes-infantis%2F%3Ffbclid%3DIwcGRvZgFleHRuA2FlbQIxMABicmlkETFXNzlsVXpoUDVDNVVuakFSc3J0YwZhcHBfaWQPNTQxNjM5NDkzODg5MDI1AAEemiG7ZJSZpG9eI9fq5mE7SXnRpY_yuEiuCxv85peaXE2F7vnxtjwNXuT-o" TargetMode="External"/><Relationship Id="rId47" Type="http://schemas.openxmlformats.org/officeDocument/2006/relationships/hyperlink" Target="https://www.facebook.com/ads/library/?active_status=active&amp;ad_type=all&amp;country=ALL&amp;q=Valecup%20-%20Cursos%20Pedag&#243;gicos&amp;search_type=keyword_unordered&amp;media_type=all" TargetMode="External"/><Relationship Id="rId48" Type="http://schemas.openxmlformats.org/officeDocument/2006/relationships/hyperlink" Target="https://l.facebook.com/l.php?u=https%3A%2F%2Fvalecup.com.br%2Fformacao-em-auxiliar-de-creche-e-bercarista%2F%3Ffbclid%3DIwcGRvZgFleHRuA2FlbQIxMABicmlkETFXNzlsVXpoUDVDNVVuakFSc3J0YwZhcHBfaWQPNTQxNjM5NDkzODg5MDI1AAEeH1AJh0vlnF3AlOcgu47q8hasJKuoUFcuVs3sw1Tqc" TargetMode="External"/><Relationship Id="rId49" Type="http://schemas.openxmlformats.org/officeDocument/2006/relationships/hyperlink" Target="https://www.facebook.com/ads/library/?active_status=active&amp;ad_type=all&amp;country=ALL&amp;q=S&#243;%20Educador&amp;search_type=keyword_unordered&amp;media_type=all" TargetMode="External"/><Relationship Id="rId50" Type="http://schemas.openxmlformats.org/officeDocument/2006/relationships/hyperlink" Target="https://l.facebook.com/l.php?u=https%3A%2F%2Fwww.soeducador.com.br%2F%3Ffbclid%3DIwcGRvZgFleHRuA2FlbQIxMABicmlkETFXNzlsVXpoUDVDNVVuakFSc3J0YwZhcHBfaWQPNTQxNjM5NDkzODg5MDI1AAEemiG7ZJSZpG9eI9fq5mE7SXnRpY_yuEiuCxv85peaXE2F7vnxtjwNXuT-oUQ_aem_8O1Am_K_CRhxY_Kq" TargetMode="External"/><Relationship Id="rId51" Type="http://schemas.openxmlformats.org/officeDocument/2006/relationships/hyperlink" Target="https://www.facebook.com/ads/library/?active_status=active&amp;ad_type=all&amp;country=ALL&amp;q=Bolsa&#234;&amp;search_type=keyword_unordered&amp;media_type=all" TargetMode="External"/><Relationship Id="rId52" Type="http://schemas.openxmlformats.org/officeDocument/2006/relationships/hyperlink" Target="https://l.facebook.com/l.php?u=https%3A%2F%2Fbolsae.com.br%2Fresultado.php%3FAcao%3Dpesquisa_basico%26cidade_pesquisa%3D9321%26valor_max%3D3665%26bairro_pesquisa%3DBento%2520Ribeiro%26escola%3D%26segmento_pesquisa%3D2%26fbclid%3DIwcGRvZgFleHRuA2FlbQIxMABi" TargetMode="External"/><Relationship Id="rId53" Type="http://schemas.openxmlformats.org/officeDocument/2006/relationships/hyperlink" Target="https://www.facebook.com/ads/library/?active_status=active&amp;ad_type=all&amp;country=ALL&amp;q=EducaBrasil&amp;search_type=keyword_unordered&amp;media_type=all" TargetMode="External"/><Relationship Id="rId54" Type="http://schemas.openxmlformats.org/officeDocument/2006/relationships/hyperlink" Target="https://l.facebook.com/l.php?u=http%3A%2F%2Ffb.me%2F&amp;h=AUCSvaiFYluCrwvUX96TO9ecJ379v9Bsu66JouQzAu7aUUZDyeYE9b8QMV6oarun2-207rbUBmWF7jqojuL7PdZPXWszSHGGccjzxqyzQ9B_fsJy8oVGZ0dgxqdbH3vhl2zeEKW5H_c" TargetMode="External"/><Relationship Id="rId55" Type="http://schemas.openxmlformats.org/officeDocument/2006/relationships/hyperlink" Target="https://www.facebook.com/ads/library/?active_status=active&amp;ad_type=all&amp;country=ALL&amp;q=Col&#233;gio%20Peres%20Osasco&amp;search_type=keyword_unordered&amp;media_type=all" TargetMode="External"/><Relationship Id="rId56" Type="http://schemas.openxmlformats.org/officeDocument/2006/relationships/hyperlink" Target="https://l.facebook.com/l.php?u=http%3A%2F%2Finstagram.com%2Fcolegioperesosasco%3Ffbclid%3DIwcGRvZgFleHRuA2FlbQIxMABicmlkETFXNzlsVXpoUDVDNVVuakFSc3J0YwZhcHBfaWQPNTQxNjM5NDkzODg5MDI1AAEe6-lGHam-0fdkKTskoHoSKGSmqNV9VvipHgVFi62EM8HQmWSe7Dfh30LV9E4_aem_jPsRlTW" TargetMode="External"/><Relationship Id="rId57" Type="http://schemas.openxmlformats.org/officeDocument/2006/relationships/hyperlink" Target="https://www.facebook.com/ads/library/?active_status=active&amp;ad_type=all&amp;country=ALL&amp;q=Instituto%20NeuroSaber&amp;search_type=keyword_unordered&amp;media_type=all" TargetMode="External"/><Relationship Id="rId58" Type="http://schemas.openxmlformats.org/officeDocument/2006/relationships/hyperlink" Target="https://l.facebook.com/l.php?u=https%3A%2F%2Fposneurosaber.com.br%2Flista-de-espera-pos-tdah%2F%3Ffbclid%3DIwcGRvZgFleHRuA2FlbQIxMABicmlkETFXNzlsVXpoUDVDNVVuakFSc3J0YwZhcHBfaWQPNTQxNjM5NDkzODg5MDI1AAEei-7k0OCV6rulAxe8m7jBCbQ9cA8KiGcW5XYIS0hD0RgB02J221k76a" TargetMode="External"/><Relationship Id="rId59" Type="http://schemas.openxmlformats.org/officeDocument/2006/relationships/hyperlink" Target="https://www.facebook.com/ads/library/?active_status=active&amp;ad_type=all&amp;country=ALL&amp;q=CLQ%20Col&#233;gio&amp;search_type=keyword_unordered&amp;media_type=all" TargetMode="External"/><Relationship Id="rId60" Type="http://schemas.openxmlformats.org/officeDocument/2006/relationships/hyperlink" Target="https://api.whatsapp.com/send" TargetMode="External"/><Relationship Id="rId61" Type="http://schemas.openxmlformats.org/officeDocument/2006/relationships/hyperlink" Target="https://www.facebook.com/ads/library/?active_status=active&amp;ad_type=all&amp;country=ALL&amp;q=Escola%20do%20S&#237;tio%20-%20Educa&#231;&#227;o%20Infantil%20e%20Ensino%20Fundamental%20Campinas&amp;search_type=keyword_unordered&amp;media_type=all" TargetMode="External"/><Relationship Id="rId62" Type="http://schemas.openxmlformats.org/officeDocument/2006/relationships/hyperlink" Target="https://l.facebook.com/l.php?u=http%3A%2F%2Finstagram.com%2Fescola_do_sitio%3Ffbclid%3DIwcGRvZgFleHRuA2FlbQIxMABicmlkETFXNzlsVXpoUDVDNVVuakFSc3J0YwZhcHBfaWQPNTQxNjM5NDkzODg5MDI1AAEefnH1UbdwofpdI_CiMiZqSVSkG-E51GXidOepqY31qSthTm9SFWcX8r87ZdM_aem_92EA8pIARN" TargetMode="External"/><Relationship Id="rId63" Type="http://schemas.openxmlformats.org/officeDocument/2006/relationships/hyperlink" Target="https://www.facebook.com/ads/library/?active_status=active&amp;ad_type=all&amp;country=ALL&amp;q=Escola%20L&#225;pis&amp;search_type=keyword_unordered&amp;media_type=all" TargetMode="External"/><Relationship Id="rId64" Type="http://schemas.openxmlformats.org/officeDocument/2006/relationships/hyperlink" Target="https://api.whatsapp.com/send" TargetMode="External"/><Relationship Id="rId65" Type="http://schemas.openxmlformats.org/officeDocument/2006/relationships/hyperlink" Target="https://www.facebook.com/ads/library/?active_status=active&amp;ad_type=all&amp;country=ALL&amp;q=IESV-Instituto%20Educacional%20Sol%20de%20Ver&#227;o&amp;search_type=keyword_unordered&amp;media_type=all" TargetMode="External"/><Relationship Id="rId66" Type="http://schemas.openxmlformats.org/officeDocument/2006/relationships/hyperlink" Target="https://l.facebook.com/l.php?u=http%3A%2F%2Fwww.iesv.com.br%2F%3Ffbclid%3DIwcGRvZgFleHRuA2FlbQIxMABicmlkETFXNzlsVXpoUDVDNVVuakFSc3J0YwZhcHBfaWQPNTQxNjM5NDkzODg5MDI1AAEefnH1UbdwofpdI_CiMiZqSVSkG-E51GXidOepqY31qSthTm9SFWcX8r87ZdM_aem_92EA8pIARN0bInN1Ypif_A&amp;" TargetMode="External"/><Relationship Id="rId67" Type="http://schemas.openxmlformats.org/officeDocument/2006/relationships/hyperlink" Target="https://www.facebook.com/ads/library/?active_status=active&amp;ad_type=all&amp;country=ALL&amp;q=Petit%20Kids%20Cultural%20Center&amp;search_type=keyword_unordered&amp;media_type=all" TargetMode="External"/><Relationship Id="rId68" Type="http://schemas.openxmlformats.org/officeDocument/2006/relationships/hyperlink" Target="https://api.whatsapp.com/send" TargetMode="External"/><Relationship Id="rId69" Type="http://schemas.openxmlformats.org/officeDocument/2006/relationships/hyperlink" Target="https://www.facebook.com/ads/library/?active_status=active&amp;ad_type=all&amp;country=ALL&amp;q=Escola%20Santa%20Marina&amp;search_type=keyword_unordered&amp;media_type=all" TargetMode="External"/><Relationship Id="rId70" Type="http://schemas.openxmlformats.org/officeDocument/2006/relationships/hyperlink" Target="https://api.whatsapp.com/send" TargetMode="External"/><Relationship Id="rId71" Type="http://schemas.openxmlformats.org/officeDocument/2006/relationships/hyperlink" Target="https://www.facebook.com/ads/library/?active_status=active&amp;ad_type=all&amp;country=ALL&amp;q=ECC&amp;search_type=keyword_unordered&amp;media_type=all" TargetMode="External"/><Relationship Id="rId72" Type="http://schemas.openxmlformats.org/officeDocument/2006/relationships/hyperlink" Target="https://api.whatsapp.com/send" TargetMode="External"/><Relationship Id="rId73" Type="http://schemas.openxmlformats.org/officeDocument/2006/relationships/hyperlink" Target="https://www.facebook.com/ads/library/?active_status=active&amp;ad_type=all&amp;country=ALL&amp;q=Col&#233;gio%20Santa%20M&#244;nica&amp;search_type=keyword_unordered&amp;media_type=all" TargetMode="External"/><Relationship Id="rId74" Type="http://schemas.openxmlformats.org/officeDocument/2006/relationships/hyperlink" Target="https://api.whatsapp.com/send" TargetMode="External"/><Relationship Id="rId75" Type="http://schemas.openxmlformats.org/officeDocument/2006/relationships/hyperlink" Target="https://www.facebook.com/ads/library/?active_status=active&amp;ad_type=all&amp;country=ALL&amp;q=Col&#233;gio%20CCAT.&amp;search_type=keyword_unordered&amp;media_type=all" TargetMode="External"/><Relationship Id="rId76" Type="http://schemas.openxmlformats.org/officeDocument/2006/relationships/hyperlink" Target="https://l.facebook.com/l.php?u=https%3A%2F%2Fberryconsultoria.com.br%2Ffinancial-growth%2Fc%3Ffbclid%3DIwcGRvZgFleHRuA2FlbQIxMABicmlkETFXNzlsVXpoUDVDNVVuakFSc3J0YwZhcHBfaWQPNTQxNjM5NDkzODg5MDI1AAEei-7k0OCV6rulAxe8m7jBCbQ9cA8KiGcW5XYIS0hD0RgB02J221k76asUC-" TargetMode="External"/><Relationship Id="rId77" Type="http://schemas.openxmlformats.org/officeDocument/2006/relationships/hyperlink" Target="https://www.facebook.com/ads/library/?active_status=active&amp;ad_type=all&amp;country=ALL&amp;q=Escola%20de%20Educa&#231;&#227;o%20Infantil%20Bal&#227;o%20M&#225;gico&amp;search_type=keyword_unordered&amp;media_type=all" TargetMode="External"/><Relationship Id="rId78" Type="http://schemas.openxmlformats.org/officeDocument/2006/relationships/hyperlink" Target="https://l.facebook.com/l.php?u=http%3A%2F%2Finstagram.com%2Febalaomagico%3Ffbclid%3DIwcGRvZgFleHRuA2FlbQIxMABicmlkETFXNzlsVXpoUDVDNVVuakFSc3J0YwZhcHBfaWQPNTQxNjM5NDkzODg5MDI1AAEefnH1UbdwofpdI_CiMiZqSVSkG-E51GXidOepqY31qSthTm9SFWcX8r87ZdM_aem_92EA8pIARN0bI" TargetMode="External"/><Relationship Id="rId79" Type="http://schemas.openxmlformats.org/officeDocument/2006/relationships/hyperlink" Target="https://www.facebook.com/ads/library/?active_status=active&amp;ad_type=all&amp;country=ALL&amp;q=Col&#233;gio%20J&#250;lio%20Mesquita&amp;search_type=keyword_unordered&amp;media_type=all" TargetMode="External"/><Relationship Id="rId80" Type="http://schemas.openxmlformats.org/officeDocument/2006/relationships/hyperlink" Target="https://api.whatsapp.com/send" TargetMode="External"/><Relationship Id="rId81" Type="http://schemas.openxmlformats.org/officeDocument/2006/relationships/hyperlink" Target="https://www.facebook.com/ads/library/?active_status=active&amp;ad_type=all&amp;country=ALL&amp;q=Instituto%20Educacional%20G&#234;nesis&amp;search_type=keyword_unordered&amp;media_type=all" TargetMode="External"/><Relationship Id="rId82" Type="http://schemas.openxmlformats.org/officeDocument/2006/relationships/hyperlink" Target="https://l.facebook.com/l.php?u=http%3A%2F%2Finstagram.com%2Fgenesis.educa%3Ffbclid%3DIwcGRvZgFleHRuA2FlbQIxMABicmlkETFXNzlsVXpoUDVDNVVuakFSc3J0YwZhcHBfaWQPNTQxNjM5NDkzODg5MDI1AAEeH1AJh0vlnF3AlOcgu47q8hasJKuoUFcuVs3sw1Tqc3snFg8RJeOheD-ct6c_aem_PtSsOKEOGa3v" TargetMode="External"/><Relationship Id="rId83" Type="http://schemas.openxmlformats.org/officeDocument/2006/relationships/hyperlink" Target="https://www.facebook.com/ads/library/?active_status=active&amp;ad_type=all&amp;country=ALL&amp;q=Realiza%20Cursos&amp;search_type=keyword_unordered&amp;media_type=all" TargetMode="External"/><Relationship Id="rId84" Type="http://schemas.openxmlformats.org/officeDocument/2006/relationships/hyperlink" Target="https://api.whatsapp.com/send" TargetMode="External"/><Relationship Id="rId85" Type="http://schemas.openxmlformats.org/officeDocument/2006/relationships/hyperlink" Target="https://www.facebook.com/ads/library/?active_status=active&amp;ad_type=all&amp;country=ALL&amp;q=Projeto%20Mission&#225;rio%20Luz%20Em%20Cristo%20&amp;search_type=keyword_unordered&amp;media_type=all" TargetMode="External"/><Relationship Id="rId86" Type="http://schemas.openxmlformats.org/officeDocument/2006/relationships/hyperlink" Target="https://l.facebook.com/l.php?u=https%3A%2F%2Fwww.instagram.com%2F_u%2Fluzemcristo.oficial%3Ffbclid%3DIwcGRvZgFleHRuA2FlbQIxMABicmlkETFXNzlsVXpoUDVDNVVuakFSc3J0YwZhcHBfaWQPNTQxNjM5NDkzODg5MDI1AAEemiG7ZJSZpG9eI9fq5mE7SXnRpY_yuEiuCxv85peaXE2F7vnxtjwNXuT-oUQ_" TargetMode="External"/><Relationship Id="rId87" Type="http://schemas.openxmlformats.org/officeDocument/2006/relationships/hyperlink" Target="https://www.facebook.com/ads/library/?active_status=active&amp;ad_type=all&amp;country=ALL&amp;q=Creche%20e%20Escola%20Raio%20de%20Sol&amp;search_type=keyword_unordered&amp;media_type=all" TargetMode="External"/><Relationship Id="rId88" Type="http://schemas.openxmlformats.org/officeDocument/2006/relationships/hyperlink" Target="https://l.facebook.com/l.php?u=http%3A%2F%2Finstagram.com%2Fcrechescolaraiodesol%3Ffbclid%3DIwcGRvZgFleHRuA2FlbQIxMABicmlkETFXNzlsVXpoUDVDNVVuakFSc3J0YwZhcHBfaWQPNTQxNjM5NDkzODg5MDI1AAEefnH1UbdwofpdI_CiMiZqSVSkG-E51GXidOepqY31qSthTm9SFWcX8r87ZdM_aem_92EA8" TargetMode="External"/><Relationship Id="rId89" Type="http://schemas.openxmlformats.org/officeDocument/2006/relationships/hyperlink" Target="https://www.facebook.com/ads/library/?active_status=active&amp;ad_type=all&amp;country=ALL&amp;q=Escola%20Florescer&amp;search_type=keyword_unordered&amp;media_type=all" TargetMode="External"/><Relationship Id="rId90" Type="http://schemas.openxmlformats.org/officeDocument/2006/relationships/hyperlink" Target="https://l.facebook.com/l.php?u=http%3A%2F%2Finstagram.com%2Fflorescertaubate%3Ffbclid%3DIwcGRvZgFleHRuA2FlbQIxMABicmlkETFXNzlsVXpoUDVDNVVuakFSc3J0YwZhcHBfaWQPNTQxNjM5NDkzODg5MDI1AAEemiG7ZJSZpG9eI9fq5mE7SXnRpY_yuEiuCxv85peaXE2F7vnxtjwNXuT-oUQ_aem_8O1Am_K_C" TargetMode="External"/><Relationship Id="rId91" Type="http://schemas.openxmlformats.org/officeDocument/2006/relationships/hyperlink" Target="https://www.facebook.com/ads/library/?active_status=active&amp;ad_type=all&amp;country=ALL&amp;q=Escola%20&#193;rvore%20da%20Vida%20S&#227;o%20Luis&amp;search_type=keyword_unordered&amp;media_type=all" TargetMode="External"/><Relationship Id="rId92" Type="http://schemas.openxmlformats.org/officeDocument/2006/relationships/hyperlink" Target="https://api.whatsapp.com/send" TargetMode="External"/><Relationship Id="rId93" Type="http://schemas.openxmlformats.org/officeDocument/2006/relationships/hyperlink" Target="https://www.facebook.com/ads/library/?active_status=active&amp;ad_type=all&amp;country=ALL&amp;q=CEPI%20Expans&#227;o&amp;search_type=keyword_unordered&amp;media_type=all" TargetMode="External"/><Relationship Id="rId94" Type="http://schemas.openxmlformats.org/officeDocument/2006/relationships/hyperlink" Target="https://l.facebook.com/l.php?u=https%3A%2F%2Fcepiexpansao-matriculas.com.br%2F%3Ffbclid%3DIwcGRvZgFleHRuA2FlbQIxMABicmlkETFXNzlsVXpoUDVDNVVuakFSc3J0YwZhcHBfaWQPNTQxNjM5NDkzODg5MDI1AAEefbFGDO-zrlIqJQIlM89BJn9ihvjEznXMXNSN5_rYbXTZcEwyAe3CyzX9PY4_aem_CQ8R76t" TargetMode="External"/><Relationship Id="rId95" Type="http://schemas.openxmlformats.org/officeDocument/2006/relationships/hyperlink" Target="https://www.facebook.com/ads/library/?active_status=active&amp;ad_type=all&amp;country=ALL&amp;q=Cata%20Vento%20Escola%20Educa&#231;&#227;o%20Infantil&amp;search_type=keyword_unordered&amp;media_type=all" TargetMode="External"/><Relationship Id="rId96" Type="http://schemas.openxmlformats.org/officeDocument/2006/relationships/hyperlink" Target="https://l.facebook.com/l.php?u=https%3A%2F%2Fapi.whatsapp.com%2Fsend%3Ffbclid%3DIwcGRvZgFleHRuA2FlbQIxMABicmlkETFXNzlsVXpoUDVDNVVuakFSc3J0YwZhcHBfaWQPNTQxNjM5NDkzODg5MDI1AAEeo6JyMjm1XPgMuTrdSlDmfT6YyerozLW2goY7wbM4vUwq0i3rwsBPh9wXcW0_aem_Bbd3xtFGd99neFp52" TargetMode="External"/><Relationship Id="rId97" Type="http://schemas.openxmlformats.org/officeDocument/2006/relationships/hyperlink" Target="https://www.facebook.com/ads/library/?active_status=active&amp;ad_type=all&amp;country=ALL&amp;q=Ber&#231;ario%20Crescer%20Kids&amp;search_type=keyword_unordered&amp;media_type=all" TargetMode="External"/><Relationship Id="rId98" Type="http://schemas.openxmlformats.org/officeDocument/2006/relationships/hyperlink" Target="https://api.whatsapp.com/send" TargetMode="External"/><Relationship Id="rId99" Type="http://schemas.openxmlformats.org/officeDocument/2006/relationships/hyperlink" Target="https://www.facebook.com/ads/library/?active_status=active&amp;ad_type=all&amp;country=ALL&amp;q=Col&#233;gio%20CB&amp;search_type=keyword_unordered&amp;media_type=all" TargetMode="External"/><Relationship Id="rId100" Type="http://schemas.openxmlformats.org/officeDocument/2006/relationships/hyperlink" Target="https://l.facebook.com/l.php?u=http%3A%2F%2Ffb.me%2F&amp;h=AUCSvaiFYluCrwvUX96TO9ecJ379v9Bsu66JouQzAu7aUUZDyeYE9b8QMV6oarun2-207rbUBmWF7jqojuL7PdZPXWszSHGGccjzxqyzQ9B_fsJy8oVGZ0dgxqdbH3vhl2zeEKW5H_c" TargetMode="External"/><Relationship Id="rId101" Type="http://schemas.openxmlformats.org/officeDocument/2006/relationships/hyperlink" Target="https://www.facebook.com/ads/library/?active_status=active&amp;ad_type=all&amp;country=ALL&amp;q=Kit%20Tarefinha%20L&#250;dica&amp;search_type=keyword_unordered&amp;media_type=all" TargetMode="External"/><Relationship Id="rId102" Type="http://schemas.openxmlformats.org/officeDocument/2006/relationships/hyperlink" Target="https://l.facebook.com/l.php?u=http%3A%2F%2Fwww.kittarefinhaludica.com.br%2FCOMBORECURSOS%3Ffbclid%3DIwcGRvZgFleHRuA2FlbQIxMABicmlkETFXNzlsVXpoUDVDNVVuakFSc3J0YwZhcHBfaWQPNTQxNjM5NDkzODg5MDI1AAEefnH1UbdwofpdI_CiMiZqSVSkG-E51GXidOepqY31qSthTm9SFWcX8r87ZdM_" TargetMode="External"/><Relationship Id="rId103" Type="http://schemas.openxmlformats.org/officeDocument/2006/relationships/hyperlink" Target="https://www.facebook.com/ads/library/?active_status=active&amp;ad_type=all&amp;country=ALL&amp;q=Colegio%20Redentor&amp;search_type=keyword_unordered&amp;media_type=all" TargetMode="External"/><Relationship Id="rId104" Type="http://schemas.openxmlformats.org/officeDocument/2006/relationships/hyperlink" Target="https://l.facebook.com/l.php?u=https%3A%2F%2Fapi.whatsapp.com%2Fsend%3Ffbclid%3DIwcGRvZgFleHRuA2FlbQIxMABicmlkETFXNzlsVXpoUDVDNVVuakFSc3J0YwZhcHBfaWQPNTQxNjM5NDkzODg5MDI1AAEeH1AJh0vlnF3AlOcgu47q8hasJKuoUFcuVs3sw1Tqc3snFg8RJeOheD-ct6c_aem_PtSsOKEOGa3vWkiK9" TargetMode="External"/><Relationship Id="rId105" Type="http://schemas.openxmlformats.org/officeDocument/2006/relationships/hyperlink" Target="https://www.facebook.com/ads/library/?active_status=active&amp;ad_type=all&amp;country=ALL&amp;q=Clube%20Fundamento&amp;search_type=keyword_unordered&amp;media_type=all" TargetMode="External"/><Relationship Id="rId106" Type="http://schemas.openxmlformats.org/officeDocument/2006/relationships/hyperlink" Target="https://l.facebook.com/l.php?u=https%3A%2F%2Fwww.instagram.com%2F_u%2Fumlivrosobre%3Ffbclid%3DIwcGRvZgFleHRuA2FlbQIxMABicmlkETFXNzlsVXpoUDVDNVVuakFSc3J0YwZhcHBfaWQPNTQxNjM5NDkzODg5MDI1AAEef2Ay9JH-w62yBzipAYnGYPW8DpiIbNWtsD3FV7TbiynhJrf2FJ-gR6gVWdQ_aem_Pkw" TargetMode="External"/><Relationship Id="rId107" Type="http://schemas.openxmlformats.org/officeDocument/2006/relationships/hyperlink" Target="https://www.facebook.com/ads/library/?active_status=active&amp;ad_type=all&amp;country=ALL&amp;q=Fam&#237;lia%20de%20Trigo&amp;search_type=keyword_unordered&amp;media_type=all" TargetMode="External"/><Relationship Id="rId108" Type="http://schemas.openxmlformats.org/officeDocument/2006/relationships/hyperlink" Target="https://l.facebook.com/l.php?u=https%3A%2F%2Floja.familiadetrigo.com.br%2Fcollections%2Fkits-com-15-de-desconto%3Futm_source%3Dfb-panfleto%26utm_medium%3Dfb-panfleto%26utm_campaign%3Dfb-panfleto%26utm_id%3Dfb-panfleto%26utm_term%3Dfb-panfleto%26utm_conten" TargetMode="External"/><Relationship Id="rId109" Type="http://schemas.openxmlformats.org/officeDocument/2006/relationships/hyperlink" Target="https://www.facebook.com/ads/library/?active_status=active&amp;ad_type=all&amp;country=ALL&amp;q=Central%20de%20Matr&#237;culas&amp;search_type=keyword_unordered&amp;media_type=all" TargetMode="External"/><Relationship Id="rId110" Type="http://schemas.openxmlformats.org/officeDocument/2006/relationships/hyperlink" Target="https://api.whatsapp.com/send" TargetMode="External"/><Relationship Id="rId111" Type="http://schemas.openxmlformats.org/officeDocument/2006/relationships/hyperlink" Target="https://www.facebook.com/ads/library/?active_status=active&amp;ad_type=all&amp;country=ALL&amp;q=Col&#233;gio%20Bertolazzi&amp;search_type=keyword_unordered&amp;media_type=all" TargetMode="External"/><Relationship Id="rId112" Type="http://schemas.openxmlformats.org/officeDocument/2006/relationships/hyperlink" Target="https://api.whatsapp.com/send" TargetMode="External"/><Relationship Id="rId113" Type="http://schemas.openxmlformats.org/officeDocument/2006/relationships/hyperlink" Target="https://www.facebook.com/ads/library/?active_status=active&amp;ad_type=all&amp;country=ALL&amp;q=Escola%20Crian&#231;a%20Arteira&amp;search_type=keyword_unordered&amp;media_type=all" TargetMode="External"/><Relationship Id="rId114" Type="http://schemas.openxmlformats.org/officeDocument/2006/relationships/hyperlink" Target="https://www.facebook.com/ads/library/?active_status=active&amp;ad_type=all&amp;country=ALL&amp;q=Comunidade%20Crescsemente&amp;search_type=keyword_unordered&amp;media_type=all" TargetMode="External"/><Relationship Id="rId115" Type="http://schemas.openxmlformats.org/officeDocument/2006/relationships/hyperlink" Target="https://l.facebook.com/l.php?u=http%3A%2F%2Finstagram.com%2Floja.crescsemente%3Ffbclid%3DIwcGRvZgFleHRuA2FlbQIxMABicmlkETFXNzlsVXpoUDVDNVVuakFSc3J0YwZhcHBfaWQPNTQxNjM5NDkzODg5MDI1AAEeo6JyMjm1XPgMuTrdSlDmfT6YyerozLW2goY7wbM4vUwq0i3rwsBPh9wXcW0_aem_Bbd3xtFG" TargetMode="External"/><Relationship Id="rId116" Type="http://schemas.openxmlformats.org/officeDocument/2006/relationships/hyperlink" Target="https://www.facebook.com/ads/library/?active_status=active&amp;ad_type=all&amp;country=ALL&amp;q=Little%20People%20School&amp;search_type=keyword_unordered&amp;media_type=all" TargetMode="External"/><Relationship Id="rId117" Type="http://schemas.openxmlformats.org/officeDocument/2006/relationships/hyperlink" Target="https://l.facebook.com/l.php?u=http%3A%2F%2Fwww.littlepeopleschool.com.br%2F%3Ffbclid%3DIwcGRvZgFleHRuA2FlbQIxMABicmlkETFXNzlsVXpoUDVDNVVuakFSc3J0YwZhcHBfaWQPNTQxNjM5NDkzODg5MDI1AAEei-7k0OCV6rulAxe8m7jBCbQ9cA8KiGcW5XYIS0hD0RgB02J221k76asUC-Q_aem_r7SThfJaU" TargetMode="External"/><Relationship Id="rId118" Type="http://schemas.openxmlformats.org/officeDocument/2006/relationships/hyperlink" Target="https://www.facebook.com/ads/library/?active_status=active&amp;ad_type=all&amp;country=ALL&amp;q=Colibri%20Athenas%20-%20Col&#233;gio%20e%20Curso&amp;search_type=keyword_unordered&amp;media_type=all" TargetMode="External"/><Relationship Id="rId119" Type="http://schemas.openxmlformats.org/officeDocument/2006/relationships/hyperlink" Target="https://api.whatsapp.com/send" TargetMode="External"/><Relationship Id="rId120" Type="http://schemas.openxmlformats.org/officeDocument/2006/relationships/hyperlink" Target="https://www.facebook.com/ads/library/?active_status=active&amp;ad_type=all&amp;country=ALL&amp;q=Col&#233;gio%20&#193;lamo%20Vinhedo&amp;search_type=keyword_unordered&amp;media_type=all" TargetMode="External"/><Relationship Id="rId121" Type="http://schemas.openxmlformats.org/officeDocument/2006/relationships/hyperlink" Target="https://colegioalamovinhedo.com.br/org/" TargetMode="External"/><Relationship Id="rId122" Type="http://schemas.openxmlformats.org/officeDocument/2006/relationships/hyperlink" Target="https://www.facebook.com/ads/library/?active_status=active&amp;ad_type=all&amp;country=ALL&amp;q=Acalanto%20Escolinha%20de%20Educa&#231;&#227;o%20Infantil&amp;search_type=keyword_unordered&amp;media_type=all" TargetMode="External"/><Relationship Id="rId123" Type="http://schemas.openxmlformats.org/officeDocument/2006/relationships/hyperlink" Target="https://api.whatsapp.com/send" TargetMode="External"/><Relationship Id="rId124" Type="http://schemas.openxmlformats.org/officeDocument/2006/relationships/hyperlink" Target="https://www.facebook.com/ads/library/?active_status=active&amp;ad_type=all&amp;country=ALL&amp;q=Maple%20Bear%20Belenzinho&amp;search_type=keyword_unordered&amp;media_type=all" TargetMode="External"/><Relationship Id="rId125" Type="http://schemas.openxmlformats.org/officeDocument/2006/relationships/hyperlink" Target="https://api.whatsapp.com/send" TargetMode="External"/><Relationship Id="rId126" Type="http://schemas.openxmlformats.org/officeDocument/2006/relationships/hyperlink" Target="https://www.facebook.com/ads/library/?active_status=active&amp;ad_type=all&amp;country=ALL&amp;q=Anglo%20Pouso%20Alegre&amp;search_type=keyword_unordered&amp;media_type=all" TargetMode="External"/><Relationship Id="rId127" Type="http://schemas.openxmlformats.org/officeDocument/2006/relationships/hyperlink" Target="https://l.facebook.com/l.php?u=https%3A%2F%2Fapi.whatsapp.com%2Fsend%3Ffbclid%3DIwcGRvZgFleHRuA2FlbQIxMABicmlkETFXNzlsVXpoUDVDNVVuakFSc3J0YwZhcHBfaWQPNTQxNjM5NDkzODg5MDI1AAEemiG7ZJSZpG9eI9fq5mE7SXnRpY_yuEiuCxv85peaXE2F7vnxtjwNXuT-oUQ_aem_8O1Am_K_CRhxY_Kqm" TargetMode="External"/><Relationship Id="rId128" Type="http://schemas.openxmlformats.org/officeDocument/2006/relationships/hyperlink" Target="https://www.facebook.com/ads/library/?active_status=active&amp;ad_type=all&amp;country=ALL&amp;q=Col&#233;gio%20ABC&amp;search_type=keyword_unordered&amp;media_type=all" TargetMode="External"/><Relationship Id="rId129" Type="http://schemas.openxmlformats.org/officeDocument/2006/relationships/hyperlink" Target="https://l.facebook.com/l.php?u=http%3A%2F%2Finstagram.com%2Fabccolegio%3Ffbclid%3DIwcGRvZgFleHRuA2FlbQIxMABicmlkETFXNzlsVXpoUDVDNVVuakFSc3J0YwZhcHBfaWQPNTQxNjM5NDkzODg5MDI1AAEefbFGDO-zrlIqJQIlM89BJn9ihvjEznXMXNSN5_rYbXTZcEwyAe3CyzX9PY4_aem_CQ8R76th59r1hQX" TargetMode="External"/><Relationship Id="rId130" Type="http://schemas.openxmlformats.org/officeDocument/2006/relationships/hyperlink" Target="https://www.facebook.com/ads/library/?active_status=active&amp;ad_type=all&amp;country=ALL&amp;q=Col&#233;gio%20Dimens&#227;o%20Avar&#233;&amp;search_type=keyword_unordered&amp;media_type=all" TargetMode="External"/><Relationship Id="rId131" Type="http://schemas.openxmlformats.org/officeDocument/2006/relationships/hyperlink" Target="https://api.whatsapp.com/send" TargetMode="External"/><Relationship Id="rId132" Type="http://schemas.openxmlformats.org/officeDocument/2006/relationships/hyperlink" Target="https://www.facebook.com/ads/library/?active_status=active&amp;ad_type=all&amp;country=ALL&amp;q=Centro%20Educacional%20Semente%20de%20Sabedoria%20do%20Amazonas%20-%20Cessam&amp;search_type=keyword_unordered&amp;media_type=all" TargetMode="External"/><Relationship Id="rId133" Type="http://schemas.openxmlformats.org/officeDocument/2006/relationships/hyperlink" Target="https://l.facebook.com/l.php?u=http%3A%2F%2Finstagram.com%2Fescolacessam%3Ffbclid%3DIwcGRvZgFleHRuA2FlbQIxMABicmlkETFXNzlsVXpoUDVDNVVuakFSc3J0YwZhcHBfaWQPNTQxNjM5NDkzODg5MDI1AAEeH1AJh0vlnF3AlOcgu47q8hasJKuoUFcuVs3sw1Tqc3snFg8RJeOheD-ct6c_aem_PtSsOKEOGa3vW" TargetMode="External"/><Relationship Id="rId134" Type="http://schemas.openxmlformats.org/officeDocument/2006/relationships/hyperlink" Target="https://www.facebook.com/ads/library/?active_status=active&amp;ad_type=all&amp;country=ALL&amp;q=Escola%20D&#243;R&#233;M&#237;&amp;search_type=keyword_unordered&amp;media_type=all" TargetMode="External"/><Relationship Id="rId135" Type="http://schemas.openxmlformats.org/officeDocument/2006/relationships/hyperlink" Target="https://api.whatsapp.com/send" TargetMode="External"/><Relationship Id="rId136" Type="http://schemas.openxmlformats.org/officeDocument/2006/relationships/hyperlink" Target="https://www.facebook.com/ads/library/?active_status=active&amp;ad_type=all&amp;country=ALL&amp;q=Fadelito%20Educa&#231;&#227;o%20Infantil&amp;search_type=keyword_unordered&amp;media_type=all" TargetMode="External"/><Relationship Id="rId137" Type="http://schemas.openxmlformats.org/officeDocument/2006/relationships/hyperlink" Target="https://lp.fadelito.com.br/marajoara" TargetMode="External"/><Relationship Id="rId138" Type="http://schemas.openxmlformats.org/officeDocument/2006/relationships/hyperlink" Target="https://www.facebook.com/ads/library/?active_status=active&amp;ad_type=all&amp;country=ALL&amp;q=Mini%20Mins&amp;search_type=keyword_unordered&amp;media_type=all" TargetMode="External"/><Relationship Id="rId139" Type="http://schemas.openxmlformats.org/officeDocument/2006/relationships/hyperlink" Target="https://l.facebook.com/l.php?u=https%3A%2F%2Fprofessoramarcellacampos.com.br%2Flp%3Ffbclid%3DIwcGRvZgFleHRuA2FlbQIxMABicmlkETFXNzlsVXpoUDVDNVVuakFSc3J0YwZhcHBfaWQPNTQxNjM5NDkzODg5MDI1AAEe6-lGHam-0fdkKTskoHoSKGSmqNV9VvipHgVFi62EM8HQmWSe7Dfh30LV9E4_aem_jPsR" TargetMode="External"/><Relationship Id="rId140" Type="http://schemas.openxmlformats.org/officeDocument/2006/relationships/hyperlink" Target="https://www.facebook.com/ads/library/?active_status=active&amp;ad_type=all&amp;country=ALL&amp;q=Mundo%20Moderno&amp;search_type=keyword_unordered&amp;media_type=all" TargetMode="External"/><Relationship Id="rId141" Type="http://schemas.openxmlformats.org/officeDocument/2006/relationships/hyperlink" Target="https://l.facebook.com/l.php?u=http%3A%2F%2Ffb.me%2F&amp;h=AUCSvaiFYluCrwvUX96TO9ecJ379v9Bsu66JouQzAu7aUUZDyeYE9b8QMV6oarun2-207rbUBmWF7jqojuL7PdZPXWszSHGGccjzxqyzQ9B_fsJy8oVGZ0dgxqdbH3vhl2zeEKW5H_c" TargetMode="External"/><Relationship Id="rId142" Type="http://schemas.openxmlformats.org/officeDocument/2006/relationships/hyperlink" Target="https://www.facebook.com/ads/library/?active_status=active&amp;ad_type=all&amp;country=ALL&amp;q=Col&#233;gio%20Oswald&amp;search_type=keyword_unordered&amp;media_type=all" TargetMode="External"/><Relationship Id="rId143" Type="http://schemas.openxmlformats.org/officeDocument/2006/relationships/hyperlink" Target="https://l.facebook.com/l.php?u=https%3A%2F%2Fmatriculas.colegiooswald.com.br%2F%3Futm_source%3Dmeta_ads%26utm_medium%3Dcpc_%257B%257Bplacement%257D%257D%26utm_campaign%3Dcaptacao_fb%26utm_content%3D%257B%257Badset.name%257D%257D_%257B%257Bad.name%257D%257" TargetMode="External"/><Relationship Id="rId144" Type="http://schemas.openxmlformats.org/officeDocument/2006/relationships/hyperlink" Target="https://www.facebook.com/ads/library/?active_status=active&amp;ad_type=all&amp;country=ALL&amp;q=Sabermais671%20Connected%20Page&amp;search_type=keyword_unordered&amp;media_type=all" TargetMode="External"/><Relationship Id="rId145" Type="http://schemas.openxmlformats.org/officeDocument/2006/relationships/hyperlink" Target="https://api.whatsapp.com/send" TargetMode="External"/><Relationship Id="rId146" Type="http://schemas.openxmlformats.org/officeDocument/2006/relationships/hyperlink" Target="https://www.facebook.com/ads/library/?active_status=active&amp;ad_type=all&amp;country=ALL&amp;q=Bal&#227;o%20M&#225;gico%20Escola%20de%20Ed.Infantil&amp;search_type=keyword_unordered&amp;media_type=all" TargetMode="External"/><Relationship Id="rId147" Type="http://schemas.openxmlformats.org/officeDocument/2006/relationships/hyperlink" Target="https://api.whatsapp.com/send" TargetMode="External"/><Relationship Id="rId148" Type="http://schemas.openxmlformats.org/officeDocument/2006/relationships/hyperlink" Target="https://www.facebook.com/ads/library/?active_status=active&amp;ad_type=all&amp;country=ALL&amp;q=Hoepers%20%26%20Neves%20Assessoria%20Jur&#237;dica%20Empresarial&amp;search_type=keyword_unordered&amp;media_type=all" TargetMode="External"/><Relationship Id="rId149" Type="http://schemas.openxmlformats.org/officeDocument/2006/relationships/hyperlink" Target="https://l.facebook.com/l.php?u=http%3A%2F%2Ffb.me%2F&amp;h=AUCSvaiFYluCrwvUX96TO9ecJ379v9Bsu66JouQzAu7aUUZDyeYE9b8QMV6oarun2-207rbUBmWF7jqojuL7PdZPXWszSHGGccjzxqyzQ9B_fsJy8oVGZ0dgxqdbH3vhl2zeEKW5H_c" TargetMode="External"/><Relationship Id="rId150" Type="http://schemas.openxmlformats.org/officeDocument/2006/relationships/hyperlink" Target="https://www.facebook.com/ads/library/?active_status=active&amp;ad_type=all&amp;country=ALL&amp;q=Col&#233;gio%20Franciscano%20S&#227;o%20Miguel%20Arcanjo&amp;search_type=keyword_unordered&amp;media_type=all" TargetMode="External"/><Relationship Id="rId151" Type="http://schemas.openxmlformats.org/officeDocument/2006/relationships/hyperlink" Target="https://l.facebook.com/l.php?u=https%3A%2F%2Fwww.colegiosaomiguel.com.br%2F%3Ffbclid%3DIwcGRvZgFleHRuA2FlbQIxMABicmlkETFXNzlsVXpoUDVDNVVuakFSc3J0YwZhcHBfaWQPNTQxNjM5NDkzODg5MDI1AAEe6-lGHam-0fdkKTskoHoSKGSmqNV9VvipHgVFi62EM8HQmWSe7Dfh30LV9E4_aem_jPsRlTWOrr" TargetMode="External"/><Relationship Id="rId152" Type="http://schemas.openxmlformats.org/officeDocument/2006/relationships/hyperlink" Target="https://www.facebook.com/ads/library/?active_status=active&amp;ad_type=all&amp;country=ALL&amp;q=Col&#233;gio%20Saint%20John&amp;search_type=keyword_unordered&amp;media_type=all" TargetMode="External"/><Relationship Id="rId153" Type="http://schemas.openxmlformats.org/officeDocument/2006/relationships/hyperlink" Target="https://l.facebook.com/l.php?u=https%3A%2F%2Fapi.whatsapp.com%2Fsend%3Ffbclid%3DIwcGRvZgFleHRuA2FlbQIxMABicmlkETFXNzlsVXpoUDVDNVVuakFSc3J0YwZhcHBfaWQPNTQxNjM5NDkzODg5MDI1AAEef2Ay9JH-w62yBzipAYnGYPW8DpiIbNWtsD3FV7TbiynhJrf2FJ-gR6gVWdQ_aem_PkwtiNv2ICYFUGr49" TargetMode="External"/><Relationship Id="rId154" Type="http://schemas.openxmlformats.org/officeDocument/2006/relationships/hyperlink" Target="https://www.facebook.com/ads/library/?active_status=active&amp;ad_type=all&amp;country=ALL&amp;q=Escola%20de%20Ensino%20M&#233;dio%20Aurora&amp;search_type=keyword_unordered&amp;media_type=all" TargetMode="External"/><Relationship Id="rId155" Type="http://schemas.openxmlformats.org/officeDocument/2006/relationships/hyperlink" Target="https://l.facebook.com/l.php?u=http%3A%2F%2Finstagram.com%2Fescolaauroraguapore%3Ffbclid%3DIwcGRvZgFleHRuA2FlbQIxMABicmlkETFXNzlsVXpoUDVDNVVuakFSc3J0YwZhcHBfaWQPNTQxNjM5NDkzODg5MDI1AAEeo6JyMjm1XPgMuTrdSlDmfT6YyerozLW2goY7wbM4vUwq0i3rwsBPh9wXcW0_aem_Bbd3xt" TargetMode="External"/><Relationship Id="rId156" Type="http://schemas.openxmlformats.org/officeDocument/2006/relationships/hyperlink" Target="https://www.facebook.com/ads/library/?active_status=active&amp;ad_type=all&amp;country=ALL&amp;q=Col&#233;gio%20Estrutural&amp;search_type=keyword_unordered&amp;media_type=all" TargetMode="External"/><Relationship Id="rId157" Type="http://schemas.openxmlformats.org/officeDocument/2006/relationships/hyperlink" Target="https://l.facebook.com/l.php?u=http%3A%2F%2Finstagram.com%2Fcolegioestrutural%3Ffbclid%3DIwcGRvZgFleHRuA2FlbQIxMABicmlkETFXNzlsVXpoUDVDNVVuakFSc3J0YwZhcHBfaWQPNTQxNjM5NDkzODg5MDI1AAEe6-lGHam-0fdkKTskoHoSKGSmqNV9VvipHgVFi62EM8HQmWSe7Dfh30LV9E4_aem_jPsRlTWO" TargetMode="External"/><Relationship Id="rId158" Type="http://schemas.openxmlformats.org/officeDocument/2006/relationships/hyperlink" Target="https://www.facebook.com/ads/library/?active_status=active&amp;ad_type=all&amp;country=ALL&amp;q=Petit%20Enfant%20-%20Escola%20de%20Educa&#231;&#227;o%20Infantil&amp;search_type=keyword_unordered&amp;media_type=all" TargetMode="External"/><Relationship Id="rId159" Type="http://schemas.openxmlformats.org/officeDocument/2006/relationships/hyperlink" Target="https://api.whatsapp.com/send" TargetMode="External"/><Relationship Id="rId160" Type="http://schemas.openxmlformats.org/officeDocument/2006/relationships/hyperlink" Target="https://www.facebook.com/ads/library/?active_status=active&amp;ad_type=all&amp;country=ALL&amp;q=Di&#225;logos%20Embalados&amp;search_type=keyword_unordered&amp;media_type=all" TargetMode="External"/><Relationship Id="rId161" Type="http://schemas.openxmlformats.org/officeDocument/2006/relationships/hyperlink" Target="https://l.facebook.com/l.php?u=http%3A%2F%2Finstagram.com%2Fdialogosembalados%3Ffbclid%3DIwcGRvZgFleHRuA2FlbQIxMABicmlkETFXNzlsVXpoUDVDNVVuakFSc3J0YwZhcHBfaWQPNTQxNjM5NDkzODg5MDI1AAEemiG7ZJSZpG9eI9fq5mE7SXnRpY_yuEiuCxv85peaXE2F7vnxtjwNXuT-oUQ_aem_8O1Am_K_" TargetMode="External"/><Relationship Id="rId162" Type="http://schemas.openxmlformats.org/officeDocument/2006/relationships/hyperlink" Target="https://www.facebook.com/ads/library/?active_status=active&amp;ad_type=all&amp;country=ALL&amp;q=Pontinho%20Educa&#231;&#227;o%20Infantil&amp;search_type=keyword_unordered&amp;media_type=all" TargetMode="External"/><Relationship Id="rId163" Type="http://schemas.openxmlformats.org/officeDocument/2006/relationships/hyperlink" Target="https://api.whatsapp.com/send" TargetMode="External"/><Relationship Id="rId164" Type="http://schemas.openxmlformats.org/officeDocument/2006/relationships/hyperlink" Target="https://www.facebook.com/ads/library/?active_status=active&amp;ad_type=all&amp;country=ALL&amp;q=Col&#233;gio%20SiriuS&amp;search_type=keyword_unordered&amp;media_type=all" TargetMode="External"/><Relationship Id="rId165" Type="http://schemas.openxmlformats.org/officeDocument/2006/relationships/hyperlink" Target="https://l.facebook.com/l.php?u=http%3A%2F%2Fwww.colegiosirius.com.br%2F%3Ffbclid%3DIwcGRvZgFleHRuA2FlbQIxMABicmlkETFXNzlsVXpoUDVDNVVuakFSc3J0YwZhcHBfaWQPNTQxNjM5NDkzODg5MDI1AAEeIbNyWNnqt2-4raZja4sSumcYQpNwnkV8H12szpx0xM1nhqpZ-pH7bYS1Jwo_aem_kq6TAF2G9pPUEJ" TargetMode="External"/><Relationship Id="rId166" Type="http://schemas.openxmlformats.org/officeDocument/2006/relationships/hyperlink" Target="https://www.facebook.com/ads/library/?active_status=active&amp;ad_type=all&amp;country=ALL&amp;q=Matr&#237;culas%20Faveni&amp;search_type=keyword_unordered&amp;media_type=all" TargetMode="External"/><Relationship Id="rId167" Type="http://schemas.openxmlformats.org/officeDocument/2006/relationships/hyperlink" Target="https://api.whatsapp.com/send" TargetMode="External"/><Relationship Id="rId168" Type="http://schemas.openxmlformats.org/officeDocument/2006/relationships/hyperlink" Target="https://www.facebook.com/ads/library/?active_status=active&amp;ad_type=all&amp;country=ALL&amp;q=Editora%20Via%20L&#250;dica&amp;search_type=keyword_unordered&amp;media_type=all" TargetMode="External"/><Relationship Id="rId169" Type="http://schemas.openxmlformats.org/officeDocument/2006/relationships/hyperlink" Target="https://l.facebook.com/l.php?u=https%3A%2F%2Fconteudo.editoravialudica.com.br%2Fbingo-literario%3Ffbclid%3DIwcGRvZgFleHRuA2FlbQIxMABicmlkETFXNzlsVXpoUDVDNVVuakFSc3J0YwZhcHBfaWQPNTQxNjM5NDkzODg5MDI1AAEe6-lGHam-0fdkKTskoHoSKGSmqNV9VvipHgVFi62EM8HQmWSe7Dfh30" TargetMode="External"/><Relationship Id="rId170" Type="http://schemas.openxmlformats.org/officeDocument/2006/relationships/hyperlink" Target="https://www.facebook.com/ads/library/?active_status=active&amp;ad_type=all&amp;country=ALL&amp;q=Col&#233;gio%20Future&amp;search_type=keyword_unordered&amp;media_type=all" TargetMode="External"/><Relationship Id="rId171" Type="http://schemas.openxmlformats.org/officeDocument/2006/relationships/hyperlink" Target="https://www.facebook.com/ads/library/?active_status=active&amp;ad_type=all&amp;country=ALL&amp;q=Col&#233;gio%20Master%20Educa&#231;&#227;o%20Infantil&amp;search_type=keyword_unordered&amp;media_type=all" TargetMode="External"/><Relationship Id="rId172" Type="http://schemas.openxmlformats.org/officeDocument/2006/relationships/hyperlink" Target="https://api.whatsapp.com/send" TargetMode="External"/><Relationship Id="rId173" Type="http://schemas.openxmlformats.org/officeDocument/2006/relationships/hyperlink" Target="https://www.facebook.com/ads/library/?active_status=active&amp;ad_type=all&amp;country=ALL&amp;q=Colegio%20Vertical%20&amp;search_type=keyword_unordered&amp;media_type=all" TargetMode="External"/><Relationship Id="rId174" Type="http://schemas.openxmlformats.org/officeDocument/2006/relationships/hyperlink" Target="https://l.facebook.com/l.php?u=http%3A%2F%2Finstagram.com%2Fcolegiovertical%3Ffbclid%3DIwcGRvZgFleHRuA2FlbQIxMABicmlkETFXNzlsVXpoUDVDNVVuakFSc3J0YwZhcHBfaWQPNTQxNjM5NDkzODg5MDI1AAEeomo5_C6J2q3cxfNXzkZroM0VILYhv9g6P2DO5yVgnfUBZbvhqs3M9JiYyF0_aem_ufln1sjNgm" TargetMode="External"/><Relationship Id="rId175" Type="http://schemas.openxmlformats.org/officeDocument/2006/relationships/hyperlink" Target="https://www.facebook.com/ads/library/?active_status=active&amp;ad_type=all&amp;country=ALL&amp;q=Col&#233;gio%20S&#227;o%20Jos&#233;%20da%20Imaculada%20Concei&#231;&#227;o%20Po&#231;os%20de%20Caldas&amp;search_type=keyword_unordered&amp;media_type=all" TargetMode="External"/><Relationship Id="rId176" Type="http://schemas.openxmlformats.org/officeDocument/2006/relationships/hyperlink" Target="https://api.whatsapp.com/send" TargetMode="External"/><Relationship Id="rId177" Type="http://schemas.openxmlformats.org/officeDocument/2006/relationships/hyperlink" Target="https://www.facebook.com/ads/library/?active_status=active&amp;ad_type=all&amp;country=ALL&amp;q=Sistema%20Anglo%20de%20Ensino&amp;search_type=keyword_unordered&amp;media_type=all" TargetMode="External"/><Relationship Id="rId178" Type="http://schemas.openxmlformats.org/officeDocument/2006/relationships/hyperlink" Target="https://l.facebook.com/l.php?u=https%3A%2F%2Fwww.sistemaanglo.com.br%2F%3Futm_source%3D%257B%257Bsite_source_name%257D%257D%26utm_medium%3Dcpc%26utm_campaign%3DAC_ANGLO_CP11_Institucional-75-anos-anglo_Awareness_Topo_ABO%26utm_content%3DANGLO_CP11_CJ4_Int" TargetMode="External"/><Relationship Id="rId179" Type="http://schemas.openxmlformats.org/officeDocument/2006/relationships/hyperlink" Target="https://www.facebook.com/ads/library/?active_status=active&amp;ad_type=all&amp;country=ALL&amp;q=Faveni%20Jo&#227;o%20Monlevade&amp;search_type=keyword_unordered&amp;media_type=all" TargetMode="External"/><Relationship Id="rId180" Type="http://schemas.openxmlformats.org/officeDocument/2006/relationships/hyperlink" Target="https://api.whatsapp.com/send" TargetMode="External"/><Relationship Id="rId181" Type="http://schemas.openxmlformats.org/officeDocument/2006/relationships/hyperlink" Target="https://www.facebook.com/ads/library/?active_status=active&amp;ad_type=all&amp;country=ALL&amp;q=Pequenos%20Fluentes&amp;search_type=keyword_unordered&amp;media_type=all" TargetMode="External"/><Relationship Id="rId182" Type="http://schemas.openxmlformats.org/officeDocument/2006/relationships/hyperlink" Target="https://l.facebook.com/l.php?u=https%3A%2F%2Fpequenosfluentes.com.br%2Fclass-books%2F%3Ffbclid%3DIwcGRvZgFleHRuA2FlbQIxMABicmlkETFXNzlsVXpoUDVDNVVuakFSc3J0YwZhcHBfaWQPNTQxNjM5NDkzODg5MDI1AAEe6-lGHam-0fdkKTskoHoSKGSmqNV9VvipHgVFi62EM8HQmWSe7Dfh30LV9E4_aem_" TargetMode="External"/><Relationship Id="rId183" Type="http://schemas.openxmlformats.org/officeDocument/2006/relationships/hyperlink" Target="https://www.facebook.com/ads/library/?active_status=active&amp;ad_type=all&amp;country=ALL&amp;q=Kingdom%20School&amp;search_type=keyword_unordered&amp;media_type=all" TargetMode="External"/><Relationship Id="rId184" Type="http://schemas.openxmlformats.org/officeDocument/2006/relationships/hyperlink" Target="https://l.facebook.com/l.php?u=https%3A%2F%2Fescola.mykingdomschool.com.br%2Feducacao-infantil%3Futm_source%3Dmeta%26utm_campaign%3Dtrafego%26utm_content%3Dsite%26fbclid%3DIwcGRvZgFleHRuA2FlbQIxMABicmlkETFXNzlsVXpoUDVDNVVuakFSc3J0YwZhcHBfaWQPNTQxNjM5NDkzO" TargetMode="External"/><Relationship Id="rId185" Type="http://schemas.openxmlformats.org/officeDocument/2006/relationships/hyperlink" Target="https://www.facebook.com/ads/library/?active_status=active&amp;ad_type=all&amp;country=ALL&amp;q=Col&#233;gio%20Semeador&amp;search_type=keyword_unordered&amp;media_type=all" TargetMode="External"/><Relationship Id="rId186" Type="http://schemas.openxmlformats.org/officeDocument/2006/relationships/hyperlink" Target="https://l.facebook.com/l.php?u=https%3A%2F%2Fcolegiosemeador.com.br%2F%3Futm_source%3Dmetaads%26utm_medium%3Dcpc%26utm_campaign%3Dicherry_seme_foz-iguacu_none_always-on_consideracao_trafego_leilao_metaads_none_none%26utm_content%3Dicherry_seme_foz-iguacu_" TargetMode="External"/><Relationship Id="rId187" Type="http://schemas.openxmlformats.org/officeDocument/2006/relationships/hyperlink" Target="https://www.facebook.com/ads/library/?active_status=active&amp;ad_type=all&amp;country=ALL&amp;q=Algo%20T&#227;o%20Doce%20CRI&amp;search_type=keyword_unordered&amp;media_type=all" TargetMode="External"/><Relationship Id="rId188" Type="http://schemas.openxmlformats.org/officeDocument/2006/relationships/hyperlink" Target="https://l.facebook.com/l.php?u=http%3A%2F%2Finstagram.com%2Falgotaodocecri%3Ffbclid%3DIwcGRvZgFleHRuA2FlbQIxMABicmlkETFXNzlsVXpoUDVDNVVuakFSc3J0YwZhcHBfaWQPNTQxNjM5NDkzODg5MDI1AAEemiG7ZJSZpG9eI9fq5mE7SXnRpY_yuEiuCxv85peaXE2F7vnxtjwNXuT-oUQ_aem_8O1Am_K_CRh" TargetMode="External"/><Relationship Id="rId189" Type="http://schemas.openxmlformats.org/officeDocument/2006/relationships/hyperlink" Target="https://www.facebook.com/ads/library/?active_status=active&amp;ad_type=all&amp;country=ALL&amp;q=Profesdainfancia&amp;search_type=keyword_unordered&amp;media_type=all" TargetMode="External"/><Relationship Id="rId190" Type="http://schemas.openxmlformats.org/officeDocument/2006/relationships/hyperlink" Target="https://l.facebook.com/l.php?u=https%3A%2F%2Fmonifaraon1755365946.hotmart.host%2Fmetodo-portfolio-encantado-dbcb0b33-24a5-4bae-b0be-058d64bbbc85%3Ffbclid%3DIwcGRvZgFleHRuA2FlbQIxMABicmlkETFXNzlsVXpoUDVDNVVuakFSc3J0YwZhcHBfaWQPNTQxNjM5NDkzODg5MDI1AAEef2Ay9" TargetMode="External"/><Relationship Id="rId191" Type="http://schemas.openxmlformats.org/officeDocument/2006/relationships/hyperlink" Target="https://www.facebook.com/ads/library/?active_status=active&amp;ad_type=all&amp;country=ALL&amp;q=Trelele%20Creche%20Escola&amp;search_type=keyword_unordered&amp;media_type=all" TargetMode="External"/><Relationship Id="rId192" Type="http://schemas.openxmlformats.org/officeDocument/2006/relationships/hyperlink" Target="https://api.whatsapp.com/send" TargetMode="External"/><Relationship Id="rId193" Type="http://schemas.openxmlformats.org/officeDocument/2006/relationships/hyperlink" Target="https://www.facebook.com/ads/library/?active_status=active&amp;ad_type=all&amp;country=ALL&amp;q=Prof&#170;%20Karina%20Tarefinhas&amp;search_type=keyword_unordered&amp;media_type=all" TargetMode="External"/><Relationship Id="rId194" Type="http://schemas.openxmlformats.org/officeDocument/2006/relationships/hyperlink" Target="https://api.whatsapp.com/send" TargetMode="External"/><Relationship Id="rId195" Type="http://schemas.openxmlformats.org/officeDocument/2006/relationships/hyperlink" Target="https://www.facebook.com/ads/library/?active_status=active&amp;ad_type=all&amp;country=ALL&amp;q=Col&#233;gio%20Notre%20Dame%20Ipanema&amp;search_type=keyword_unordered&amp;media_type=all" TargetMode="External"/><Relationship Id="rId196" Type="http://schemas.openxmlformats.org/officeDocument/2006/relationships/hyperlink" Target="https://l.facebook.com/l.php?u=https%3A%2F%2Fmatriculas.notredame.org.br%2Fnd_ipanema%2F%3Futm_source%3Dmeta-ads%26utm_medium%3Dcpc%26utm_campaign%3Dreconhecimento%26fbclid%3DIwcGRvZgFleHRuA2FlbQIxMABicmlkETFXNzlsVXpoUDVDNVVuakFSc3J0YwZhcHBfaWQPNTQxNjM5ND" TargetMode="External"/><Relationship Id="rId197" Type="http://schemas.openxmlformats.org/officeDocument/2006/relationships/hyperlink" Target="https://www.facebook.com/ads/library/?active_status=active&amp;ad_type=all&amp;country=ALL&amp;q=Col&#233;gio%20Gera&#231;&#227;o%202000%20(%20Oficial%20)&amp;search_type=keyword_unordered&amp;media_type=all" TargetMode="External"/><Relationship Id="rId198" Type="http://schemas.openxmlformats.org/officeDocument/2006/relationships/hyperlink" Target="https://l.facebook.com/l.php?u=https%3A%2F%2Fapi.whatsapp.com%2Fsend%3Ffbclid%3DIwcGRvZgFleHRuA2FlbQIxMABicmlkETFXNzlsVXpoUDVDNVVuakFSc3J0YwZhcHBfaWQPNTQxNjM5NDkzODg5MDI1AAEei-7k0OCV6rulAxe8m7jBCbQ9cA8KiGcW5XYIS0hD0RgB02J221k76asUC-Q_aem_r7SThfJaU_AvddXdg" TargetMode="External"/><Relationship Id="rId199" Type="http://schemas.openxmlformats.org/officeDocument/2006/relationships/hyperlink" Target="https://www.facebook.com/ads/library/?active_status=active&amp;ad_type=all&amp;country=ALL&amp;q=Col&#233;gio%20Rodrigues%20Lima&amp;search_type=keyword_unordered&amp;media_type=all" TargetMode="External"/><Relationship Id="rId200" Type="http://schemas.openxmlformats.org/officeDocument/2006/relationships/hyperlink" Target="https://l.facebook.com/l.php?u=https%3A%2F%2Fapi.whatsapp.com%2Fsend%3Ffbclid%3DIwcGRvZgFleHRuA2FlbQIxMABicmlkETFXNzlsVXpoUDVDNVVuakFSc3J0YwZhcHBfaWQPNTQxNjM5NDkzODg5MDI1AAEemiG7ZJSZpG9eI9fq5mE7SXnRpY_yuEiuCxv85peaXE2F7vnxtjwNXuT-oUQ_aem_8O1Am_K_CRhxY_Kqm" TargetMode="External"/><Relationship Id="rId201" Type="http://schemas.openxmlformats.org/officeDocument/2006/relationships/hyperlink" Target="https://www.facebook.com/ads/library/?active_status=active&amp;ad_type=all&amp;country=ALL&amp;q=Educa&#231;&#227;o%20Infantil&amp;search_type=keyword_unordered&amp;media_type=all" TargetMode="External"/><Relationship Id="rId202" Type="http://schemas.openxmlformats.org/officeDocument/2006/relationships/hyperlink" Target="https://l.facebook.com/l.php?u=https%3A%2F%2Fbrinquedosdepapelbr.netlify.app%2F%3Ffbclid%3DIwcGRvZgFleHRuA2FlbQIxMABicmlkETFXNzlsVXpoUDVDNVVuakFSc3J0YwZhcHBfaWQPNTQxNjM5NDkzODg5MDI1AAEeomo5_C6J2q3cxfNXzkZroM0VILYhv9g6P2DO5yVgnfUBZbvhqs3M9JiYyF0_aem_ufln1s" TargetMode="External"/><Relationship Id="rId203" Type="http://schemas.openxmlformats.org/officeDocument/2006/relationships/hyperlink" Target="https://www.facebook.com/ads/library/?active_status=active&amp;ad_type=all&amp;country=ALL&amp;q=Centro%20de%20Educa&#231;&#227;o%20Infantil%20Viv&#234;ncia&amp;search_type=keyword_unordered&amp;media_type=all" TargetMode="External"/><Relationship Id="rId204" Type="http://schemas.openxmlformats.org/officeDocument/2006/relationships/hyperlink" Target="https://api.whatsapp.com/send" TargetMode="External"/><Relationship Id="rId205" Type="http://schemas.openxmlformats.org/officeDocument/2006/relationships/hyperlink" Target="https://www.facebook.com/ads/library/?active_status=active&amp;ad_type=all&amp;country=ALL&amp;q=O%20Seu%20Professor&amp;search_type=keyword_unordered&amp;media_type=all" TargetMode="External"/><Relationship Id="rId206" Type="http://schemas.openxmlformats.org/officeDocument/2006/relationships/hyperlink" Target="https://l.facebook.com/l.php?u=https%3A%2F%2Foseuprofessor.com.br%2Feducacaofisica%2F%3Ffbclid%3DIwcGRvZgFleHRuA2FlbQIxMABicmlkETFXNzlsVXpoUDVDNVVuakFSc3J0YwZhcHBfaWQPNTQxNjM5NDkzODg5MDI1AAEei-7k0OCV6rulAxe8m7jBCbQ9cA8KiGcW5XYIS0hD0RgB02J221k76asUC-Q_aem_" TargetMode="External"/><Relationship Id="rId207" Type="http://schemas.openxmlformats.org/officeDocument/2006/relationships/hyperlink" Target="https://www.facebook.com/ads/library/?active_status=active&amp;ad_type=all&amp;country=ALL&amp;q=Escola%20S&#227;o%20Domingos&amp;search_type=keyword_unordered&amp;media_type=all" TargetMode="External"/><Relationship Id="rId208" Type="http://schemas.openxmlformats.org/officeDocument/2006/relationships/hyperlink" Target="https://l.facebook.com/l.php?u=https%3A%2F%2Fsundayseducacao.com.br%2F%3Ffbclid%3DIwcGRvZgFleHRuA2FlbQIxMABicmlkETFXNzlsVXpoUDVDNVVuakFSc3J0YwZhcHBfaWQPNTQxNjM5NDkzODg5MDI1AAEemiG7ZJSZpG9eI9fq5mE7SXnRpY_yuEiuCxv85peaXE2F7vnxtjwNXuT-oUQ_aem_8O1Am_K_CRhxY_K" TargetMode="External"/><Relationship Id="rId209" Type="http://schemas.openxmlformats.org/officeDocument/2006/relationships/hyperlink" Target="https://www.facebook.com/ads/library/?active_status=active&amp;ad_type=all&amp;country=ALL&amp;q=Sundays%20Educa&#231;&#227;o%20Infantil%20Integral&amp;search_type=keyword_unordered&amp;media_type=all" TargetMode="External"/><Relationship Id="rId210" Type="http://schemas.openxmlformats.org/officeDocument/2006/relationships/hyperlink" Target="https://l.facebook.com/l.php?u=https%3A%2F%2Fsundayseducacao.com.br%2F%3Ffbclid%3DIwcGRvZgFleHRuA2FlbQIxMABicmlkETFXNzlsVXpoUDVDNVVuakFSc3J0YwZhcHBfaWQPNTQxNjM5NDkzODg5MDI1AAEefbFGDO-zrlIqJQIlM89BJn9ihvjEznXMXNSN5_rYbXTZcEwyAe3CyzX9PY4_aem_CQ8R76th59r1hQX" TargetMode="External"/><Relationship Id="rId211" Type="http://schemas.openxmlformats.org/officeDocument/2006/relationships/hyperlink" Target="https://www.facebook.com/ads/library/?active_status=active&amp;ad_type=all&amp;country=ALL&amp;q=Liceu%20Jardim&amp;search_type=keyword_unordered&amp;media_type=all" TargetMode="External"/><Relationship Id="rId212" Type="http://schemas.openxmlformats.org/officeDocument/2006/relationships/hyperlink" Target="https://l.facebook.com/l.php?u=https%3A%2F%2Fliceujardim.com%2Feducacao-infantil-bilingue%2F%3Futm_source%3Dfacebook%26utm_medium%3Dcpc%26utm_campaign%3Dinfantil%26utm_id%3Dlead%26fbclid%3DIwcGRvZgFleHRuA2FlbQIxMABicmlkETFXNzlsVXpoUDVDNVVuakFSc3J0YwZhcHBf" TargetMode="External"/><Relationship Id="rId213" Type="http://schemas.openxmlformats.org/officeDocument/2006/relationships/hyperlink" Target="https://www.facebook.com/ads/library/?active_status=active&amp;ad_type=all&amp;country=ALL&amp;q=Escola%20Americana%20de%20Vit&#243;ria&amp;search_type=keyword_unordered&amp;media_type=all" TargetMode="External"/><Relationship Id="rId214" Type="http://schemas.openxmlformats.org/officeDocument/2006/relationships/hyperlink" Target="https://www.facebook.com/ads/library/?active_status=active&amp;ad_type=all&amp;country=ALL&amp;q=Solu&#231;&#245;es%20Moderna&amp;search_type=keyword_unordered&amp;media_type=all" TargetMode="External"/><Relationship Id="rId215" Type="http://schemas.openxmlformats.org/officeDocument/2006/relationships/hyperlink" Target="https://l.facebook.com/l.php?u=https%3A%2F%2Fwww.instagram.com%2F_u%2Fsolucoesmoderna%3Ffbclid%3DIwcGRvZgFleHRuA2FlbQIxMABicmlkETFXNzlsVXpoUDVDNVVuakFSc3J0YwZhcHBfaWQPNTQxNjM5NDkzODg5MDI1AAEef2Ay9JH-w62yBzipAYnGYPW8DpiIbNWtsD3FV7TbiynhJrf2FJ-gR6gVWdQ_aem_" TargetMode="External"/><Relationship Id="rId216" Type="http://schemas.openxmlformats.org/officeDocument/2006/relationships/hyperlink" Target="https://www.facebook.com/ads/library/?active_status=active&amp;ad_type=all&amp;country=ALL&amp;q=Legacy%20School&amp;search_type=keyword_unordered&amp;media_type=all" TargetMode="External"/><Relationship Id="rId217" Type="http://schemas.openxmlformats.org/officeDocument/2006/relationships/hyperlink" Target="https://l.facebook.com/l.php?u=https%3A%2F%2Flegacyschool.com.br%2F%3Futm_source%3Dmetaads%26utm_medium%3Dcpm%26utm_campaign%3Dmatriculas2026%26utm_id%3Dwtag%26fbclid%3DIwcGRvZgFleHRuA2FlbQIxMABicmlkETFXNzlsVXpoUDVDNVVuakFSc3J0YwZhcHBfaWQPNTQxNjM5NDkzODg5" TargetMode="External"/><Relationship Id="rId218" Type="http://schemas.openxmlformats.org/officeDocument/2006/relationships/hyperlink" Target="https://www.facebook.com/ads/library/?active_status=active&amp;ad_type=all&amp;country=ALL&amp;q=Col&#233;gio%20Positivo%20Master&amp;search_type=keyword_unordered&amp;media_type=all" TargetMode="External"/><Relationship Id="rId219" Type="http://schemas.openxmlformats.org/officeDocument/2006/relationships/hyperlink" Target="https://l.facebook.com/l.php?u=https%3A%2F%2Fapi.whatsapp.com%2Fsend%3Ffbclid%3DIwcGRvZgFleHRuA2FlbQIxMABicmlkETFXNzlsVXpoUDVDNVVuakFSc3J0YwZhcHBfaWQPNTQxNjM5NDkzODg5MDI1AAEe6-lGHam-0fdkKTskoHoSKGSmqNV9VvipHgVFi62EM8HQmWSe7Dfh30LV9E4_aem_jPsRlTWOrr4GIBSAU" TargetMode="External"/><Relationship Id="rId220" Type="http://schemas.openxmlformats.org/officeDocument/2006/relationships/hyperlink" Target="https://www.facebook.com/ads/library/?active_status=active&amp;ad_type=all&amp;country=ALL&amp;q=Kit%20Educa&#231;&#227;o%20Kids&amp;search_type=keyword_unordered&amp;media_type=all" TargetMode="External"/><Relationship Id="rId221" Type="http://schemas.openxmlformats.org/officeDocument/2006/relationships/hyperlink" Target="https://l.facebook.com/l.php?u=https%3A%2F%2Floja.educacaokids.com.br%2Fproduto%2Fkit-educacao-kids-mais-de-1000-atividades-interativas-para-alfabetizacao%3Ffbclid%3DIwcGRvZgFleHRuA2FlbQIxMABicmlkETFXNzlsVXpoUDVDNVVuakFSc3J0YwZhcHBfaWQPNTQxNjM5NDkzODg5MDI" TargetMode="External"/><Relationship Id="rId222" Type="http://schemas.openxmlformats.org/officeDocument/2006/relationships/hyperlink" Target="https://www.facebook.com/ads/library/?active_status=active&amp;ad_type=all&amp;country=ALL&amp;q=Legacy%20School%20Ilha%20do%20Governador&amp;search_type=keyword_unordered&amp;media_type=all" TargetMode="External"/><Relationship Id="rId223" Type="http://schemas.openxmlformats.org/officeDocument/2006/relationships/hyperlink" Target="https://l.facebook.com/l.php?u=http%3A%2F%2Finstagram.com%2Flegacyschoolilhadogovernador%3Ffbclid%3DIwcGRvZgFleHRuA2FlbQIxMABicmlkETFXNzlsVXpoUDVDNVVuakFSc3J0YwZhcHBfaWQPNTQxNjM5NDkzODg5MDI1AAEeo6JyMjm1XPgMuTrdSlDmfT6YyerozLW2goY7wbM4vUwq0i3rwsBPh9wXcW0_a" TargetMode="External"/><Relationship Id="rId224" Type="http://schemas.openxmlformats.org/officeDocument/2006/relationships/hyperlink" Target="https://www.facebook.com/ads/library/?active_status=active&amp;ad_type=all&amp;country=ALL&amp;q=Escola%20Em&#237;dio%20Bispo&amp;search_type=keyword_unordered&amp;media_type=all" TargetMode="External"/><Relationship Id="rId225" Type="http://schemas.openxmlformats.org/officeDocument/2006/relationships/hyperlink" Target="https://l.facebook.com/l.php?u=http%3A%2F%2Finstagram.com%2Fescolaemidiobispo%3Ffbclid%3DIwcGRvZgFleHRuA2FlbQIxMABicmlkETFXNzlsVXpoUDVDNVVuakFSc3J0YwZhcHBfaWQPNTQxNjM5NDkzODg5MDI1AAEei-7k0OCV6rulAxe8m7jBCbQ9cA8KiGcW5XYIS0hD0RgB02J221k76asUC-Q_aem_r7SThfJa" TargetMode="External"/><Relationship Id="rId226" Type="http://schemas.openxmlformats.org/officeDocument/2006/relationships/hyperlink" Target="https://www.facebook.com/ads/library/?active_status=active&amp;ad_type=all&amp;country=ALL&amp;q=Maple%20Bear%20Sete%20Lagoas&amp;search_type=keyword_unordered&amp;media_type=all" TargetMode="External"/><Relationship Id="rId227" Type="http://schemas.openxmlformats.org/officeDocument/2006/relationships/hyperlink" Target="https://l.facebook.com/l.php?u=http%3A%2F%2Finstagram.com%2Fmaplebearsetelagoas%3Ffbclid%3DIwcGRvZgFleHRuA2FlbQIxMABicmlkETFXNzlsVXpoUDVDNVVuakFSc3J0YwZhcHBfaWQPNTQxNjM5NDkzODg5MDI1AAEeIbNyWNnqt2-4raZja4sSumcYQpNwnkV8H12szpx0xM1nhqpZ-pH7bYS1Jwo_aem_kq6TAF" TargetMode="External"/><Relationship Id="rId228" Type="http://schemas.openxmlformats.org/officeDocument/2006/relationships/hyperlink" Target="https://www.facebook.com/ads/library/?active_status=active&amp;ad_type=all&amp;country=ALL&amp;q=Juliana%20Arruda&amp;search_type=keyword_unordered&amp;media_type=all" TargetMode="External"/><Relationship Id="rId229" Type="http://schemas.openxmlformats.org/officeDocument/2006/relationships/hyperlink" Target="https://l.facebook.com/l.php?u=https%3A%2F%2Fpnld.editoravialudica.com.br%2F%3Ffbclid%3DIwcGRvZgFleHRuA2FlbQIxMABicmlkETFXNzlsVXpoUDVDNVVuakFSc3J0YwZhcHBfaWQPNTQxNjM5NDkzODg5MDI1AAEeIbNyWNnqt2-4raZja4sSumcYQpNwnkV8H12szpx0xM1nhqpZ-pH7bYS1Jwo_aem_kq6TAF2G9" TargetMode="External"/><Relationship Id="rId230" Type="http://schemas.openxmlformats.org/officeDocument/2006/relationships/hyperlink" Target="https://www.facebook.com/ads/library/?active_status=active&amp;ad_type=all&amp;country=ALL&amp;q=Col&#233;gio%20Gutenberg&amp;search_type=keyword_unordered&amp;media_type=all" TargetMode="External"/><Relationship Id="rId231" Type="http://schemas.openxmlformats.org/officeDocument/2006/relationships/hyperlink" Target="https://api.whatsapp.com/send" TargetMode="External"/><Relationship Id="rId232" Type="http://schemas.openxmlformats.org/officeDocument/2006/relationships/hyperlink" Target="https://www.facebook.com/ads/library/?active_status=active&amp;ad_type=all&amp;country=ALL&amp;q=Meimei%20Escola&amp;search_type=keyword_unordered&amp;media_type=all" TargetMode="External"/><Relationship Id="rId233" Type="http://schemas.openxmlformats.org/officeDocument/2006/relationships/hyperlink" Target="https://www.facebook.com/ads/library/?active_status=active&amp;ad_type=all&amp;country=ALL&amp;q=Escola%20de%20Educa&#231;&#227;o%20Infantil%20Euro%20Kids&amp;search_type=keyword_unordered&amp;media_type=all" TargetMode="External"/><Relationship Id="rId234" Type="http://schemas.openxmlformats.org/officeDocument/2006/relationships/hyperlink" Target="https://api.whatsapp.com/send" TargetMode="External"/><Relationship Id="rId235" Type="http://schemas.openxmlformats.org/officeDocument/2006/relationships/hyperlink" Target="https://www.facebook.com/ads/library/?active_status=active&amp;ad_type=all&amp;country=ALL&amp;q=Algod&#227;o%20Doce%20%2F%20Ciem&amp;search_type=keyword_unordered&amp;media_type=all" TargetMode="External"/><Relationship Id="rId236" Type="http://schemas.openxmlformats.org/officeDocument/2006/relationships/hyperlink" Target="https://api.whatsapp.com/send" TargetMode="External"/><Relationship Id="rId237" Type="http://schemas.openxmlformats.org/officeDocument/2006/relationships/hyperlink" Target="https://www.facebook.com/ads/library/?active_status=active&amp;ad_type=all&amp;country=ALL&amp;q=Companhia%20na%20Educa&#231;&#227;o&amp;search_type=keyword_unordered&amp;media_type=all" TargetMode="External"/><Relationship Id="rId238" Type="http://schemas.openxmlformats.org/officeDocument/2006/relationships/hyperlink" Target="https://l.facebook.com/l.php?u=http%3A%2F%2Fbit.ly%2Fpnldliterarioeducacaoinfantil%3Ffbclid%3DIwcGRvZgFleHRuA2FlbQIxMABicmlkETFXNzlsVXpoUDVDNVVuakFSc3J0YwZhcHBfaWQPNTQxNjM5NDkzODg5MDI1AAEefnH1UbdwofpdI_CiMiZqSVSkG-E51GXidOepqY31qSthTm9SFWcX8r87ZdM_aem_92E" TargetMode="External"/><Relationship Id="rId239" Type="http://schemas.openxmlformats.org/officeDocument/2006/relationships/hyperlink" Target="https://www.facebook.com/ads/library/?active_status=active&amp;ad_type=all&amp;country=ALL&amp;q=Cultura%20Inglesa%20MG&amp;search_type=keyword_unordered&amp;media_type=all" TargetMode="External"/><Relationship Id="rId240" Type="http://schemas.openxmlformats.org/officeDocument/2006/relationships/hyperlink" Target="https://l.facebook.com/l.php?u=https%3A%2F%2Fculturainglesamg.com.br%2Ffor-schools%2F%3Ffbclid%3DIwcGRvZgFleHRuA2FlbQIxMABicmlkETFXNzlsVXpoUDVDNVVuakFSc3J0YwZhcHBfaWQPNTQxNjM5NDkzODg5MDI1AAEef2Ay9JH-w62yBzipAYnGYPW8DpiIbNWtsD3FV7TbiynhJrf2FJ-gR6gVWdQ_aem_" TargetMode="External"/><Relationship Id="rId241" Type="http://schemas.openxmlformats.org/officeDocument/2006/relationships/hyperlink" Target="https://www.facebook.com/ads/library/?active_status=active&amp;ad_type=all&amp;country=ALL&amp;q=UniFatecie%20Ensino%20&#224;%20Dist&#226;ncia&amp;search_type=keyword_unordered&amp;media_type=all" TargetMode="External"/><Relationship Id="rId242" Type="http://schemas.openxmlformats.org/officeDocument/2006/relationships/hyperlink" Target="https://api.whatsapp.com/send" TargetMode="External"/><Relationship Id="rId243" Type="http://schemas.openxmlformats.org/officeDocument/2006/relationships/hyperlink" Target="https://www.facebook.com/ads/library/?active_status=active&amp;ad_type=all&amp;country=ALL&amp;q=bercariohumaninhos&amp;search_type=keyword_unordered&amp;media_type=all" TargetMode="External"/><Relationship Id="rId244" Type="http://schemas.openxmlformats.org/officeDocument/2006/relationships/hyperlink" Target="https://l.facebook.com/l.php?u=https%3A%2F%2Fwww.instagram.com%2F_u%2Fbercariohumaninhos%3Ffbclid%3DIwcGRvZgFleHRuA2FlbQIxMABicmlkETFXNzlsVXpoUDVDNVVuakFSc3J0YwZhcHBfaWQPNTQxNjM5NDkzODg5MDI1AAEemiG7ZJSZpG9eI9fq5mE7SXnRpY_yuEiuCxv85peaXE2F7vnxtjwNXuT-oUQ_a" TargetMode="External"/><Relationship Id="rId245" Type="http://schemas.openxmlformats.org/officeDocument/2006/relationships/hyperlink" Target="https://www.facebook.com/ads/library/?active_status=active&amp;ad_type=all&amp;country=ALL&amp;q=Col&#233;gio%20Positivo%20Joinville&amp;search_type=keyword_unordered&amp;media_type=all" TargetMode="External"/><Relationship Id="rId246" Type="http://schemas.openxmlformats.org/officeDocument/2006/relationships/hyperlink" Target="https://l.facebook.com/l.php?u=http%3A%2F%2Finstagram.com%2Fcolegiopositivojoinville%3Ffbclid%3DIwcGRvZgFleHRuA2FlbQIxMABicmlkETFXNzlsVXpoUDVDNVVuakFSc3J0YwZhcHBfaWQPNTQxNjM5NDkzODg5MDI1AAEefbFGDO-zrlIqJQIlM89BJn9ihvjEznXMXNSN5_rYbXTZcEwyAe3CyzX9PY4_aem_C" TargetMode="External"/><Relationship Id="rId247" Type="http://schemas.openxmlformats.org/officeDocument/2006/relationships/hyperlink" Target="https://www.facebook.com/ads/library/?active_status=active&amp;ad_type=all&amp;country=ALL&amp;q=Vila%20Ol&#237;mpia%20Bilingual%20School&amp;search_type=keyword_unordered&amp;media_type=all" TargetMode="External"/><Relationship Id="rId248" Type="http://schemas.openxmlformats.org/officeDocument/2006/relationships/hyperlink" Target="https://l.facebook.com/l.php?u=http%3A%2F%2Finstagram.com%2Fcolegiovilaolimpia%3Ffbclid%3DIwcGRvZgFleHRuA2FlbQIxMABicmlkETFXNzlsVXpoUDVDNVVuakFSc3J0YwZhcHBfaWQPNTQxNjM5NDkzODg5MDI1AAEe6-lGHam-0fdkKTskoHoSKGSmqNV9VvipHgVFi62EM8HQmWSe7Dfh30LV9E4_aem_jPsRlTW" TargetMode="External"/><Relationship Id="rId249" Type="http://schemas.openxmlformats.org/officeDocument/2006/relationships/hyperlink" Target="https://www.facebook.com/ads/library/?active_status=active&amp;ad_type=all&amp;country=ALL&amp;q=NovaSaber%20Educacional&amp;search_type=keyword_unordered&amp;media_type=all" TargetMode="External"/><Relationship Id="rId250" Type="http://schemas.openxmlformats.org/officeDocument/2006/relationships/hyperlink" Target="https://l.facebook.com/l.php?u=https%3A%2F%2Fnovasaberedu.com.br%2Fmagisterio-curso-normal%3Ffbclid%3DIwcGRvZgFleHRuA2FlbQIxMABicmlkETFXNzlsVXpoUDVDNVVuakFSc3J0YwZhcHBfaWQPNTQxNjM5NDkzODg5MDI1AAEei-7k0OCV6rulAxe8m7jBCbQ9cA8KiGcW5XYIS0hD0RgB02J221k76asUC-Q" TargetMode="External"/><Relationship Id="rId251" Type="http://schemas.openxmlformats.org/officeDocument/2006/relationships/hyperlink" Target="https://www.facebook.com/ads/library/?active_status=active&amp;ad_type=all&amp;country=ALL&amp;q=Geekie%20Educa&#231;&#227;o&amp;search_type=keyword_unordered&amp;media_type=all" TargetMode="External"/><Relationship Id="rId252" Type="http://schemas.openxmlformats.org/officeDocument/2006/relationships/hyperlink" Target="https://l.facebook.com/l.php?u=https%3A%2F%2Fmaterial.geekie.com.br%2Fdemonstracao-gratuita-geekie-one%2F%3Futm_source%3Dsite_source_name%26utm_medium%3Dcpa%26utm_campaign%3Dgeekie_meta_fev26_awa_institucional-depoimento_v1%26utm_term%3Dad.name%26utm_cont" TargetMode="External"/><Relationship Id="rId253" Type="http://schemas.openxmlformats.org/officeDocument/2006/relationships/hyperlink" Target="https://www.facebook.com/ads/library/?active_status=active&amp;ad_type=all&amp;country=ALL&amp;q=Prof.%20Antonio%20Esteca%20&amp;search_type=keyword_unordered&amp;media_type=all" TargetMode="External"/><Relationship Id="rId254" Type="http://schemas.openxmlformats.org/officeDocument/2006/relationships/hyperlink" Target="https://l.facebook.com/l.php?u=http%3A%2F%2Finstagram.com%2Fprof.antonioesteca%3Ffbclid%3DIwcGRvZgFleHRuA2FlbQIxMABicmlkETFXNzlsVXpoUDVDNVVuakFSc3J0YwZhcHBfaWQPNTQxNjM5NDkzODg5MDI1AAEefnH1UbdwofpdI_CiMiZqSVSkG-E51GXidOepqY31qSthTm9SFWcX8r87ZdM_aem_92EA8pI" TargetMode="External"/><Relationship Id="rId255" Type="http://schemas.openxmlformats.org/officeDocument/2006/relationships/hyperlink" Target="https://www.facebook.com/ads/library/?active_status=active&amp;ad_type=all&amp;country=ALL&amp;q=Col&#233;gio%20S&#227;o%20Judas%20Tadeu&amp;search_type=keyword_unordered&amp;media_type=all" TargetMode="External"/><Relationship Id="rId256" Type="http://schemas.openxmlformats.org/officeDocument/2006/relationships/hyperlink" Target="https://www.facebook.com/ads/library/?active_status=active&amp;ad_type=all&amp;country=ALL&amp;q=Vila%20Materna%20Macei&#243;&amp;search_type=keyword_unordered&amp;media_type=all" TargetMode="External"/><Relationship Id="rId257" Type="http://schemas.openxmlformats.org/officeDocument/2006/relationships/hyperlink" Target="https://l.facebook.com/l.php?u=https%3A%2F%2Fapi.whatsapp.com%2Fsend%3Ffbclid%3DIwcGRvZgFleHRuA2FlbQIxMABicmlkETFXNzlsVXpoUDVDNVVuakFSc3J0YwZhcHBfaWQPNTQxNjM5NDkzODg5MDI1AAEeo6JyMjm1XPgMuTrdSlDmfT6YyerozLW2goY7wbM4vUwq0i3rwsBPh9wXcW0_aem_Bbd3xtFGd99neFp52" TargetMode="External"/><Relationship Id="rId258" Type="http://schemas.openxmlformats.org/officeDocument/2006/relationships/hyperlink" Target="https://www.facebook.com/ads/library/?active_status=active&amp;ad_type=all&amp;country=ALL&amp;q=Fadelito%20Piracicaba&amp;search_type=keyword_unordered&amp;media_type=all" TargetMode="External"/><Relationship Id="rId259" Type="http://schemas.openxmlformats.org/officeDocument/2006/relationships/hyperlink" Target="https://l.facebook.com/l.php?u=https%3A%2F%2Fwww.fadelito.com.br%2Fpiracicaba%2F%3Futm_source%3Dammo_meta%26utm_medium%3D%257B%257Bplacement%257D%257D%26utm_campaign%3D%257B%257Bad.name%257D%257D%26utm_content%3D%257B%257Bsite_source_name%257D%257D%26fbcl" TargetMode="External"/><Relationship Id="rId260" Type="http://schemas.openxmlformats.org/officeDocument/2006/relationships/hyperlink" Target="https://www.facebook.com/ads/library/?active_status=active&amp;ad_type=all&amp;country=ALL&amp;q=Jardim%20dos%20Saberes&amp;search_type=keyword_unordered&amp;media_type=all" TargetMode="External"/><Relationship Id="rId261" Type="http://schemas.openxmlformats.org/officeDocument/2006/relationships/hyperlink" Target="https://api.whatsapp.com/send" TargetMode="External"/><Relationship Id="rId262" Type="http://schemas.openxmlformats.org/officeDocument/2006/relationships/hyperlink" Target="https://www.facebook.com/ads/library/?active_status=active&amp;ad_type=all&amp;country=ALL&amp;q=Mais%20Visao%20Itaborai%20e%20Alcantara&amp;search_type=keyword_unordered&amp;media_type=all" TargetMode="External"/><Relationship Id="rId263" Type="http://schemas.openxmlformats.org/officeDocument/2006/relationships/hyperlink" Target="https://api.whatsapp.com/send" TargetMode="External"/><Relationship Id="rId264" Type="http://schemas.openxmlformats.org/officeDocument/2006/relationships/hyperlink" Target="https://www.facebook.com/ads/library/?active_status=active&amp;ad_type=all&amp;country=ALL&amp;q=Col&#233;gio%20Positivo%20Londrina&amp;search_type=keyword_unordered&amp;media_type=all" TargetMode="External"/><Relationship Id="rId265" Type="http://schemas.openxmlformats.org/officeDocument/2006/relationships/hyperlink" Target="https://l.facebook.com/l.php?u=http%3A%2F%2Finstagram.com%2Fcolegiopositivolondrina%3Ffbclid%3DIwcGRvZgFleHRuA2FlbQIxMABicmlkETFXNzlsVXpoUDVDNVVuakFSc3J0YwZhcHBfaWQPNTQxNjM5NDkzODg5MDI1AAEeomo5_C6J2q3cxfNXzkZroM0VILYhv9g6P2DO5yVgnfUBZbvhqs3M9JiYyF0_aem_uf" TargetMode="External"/><Relationship Id="rId266" Type="http://schemas.openxmlformats.org/officeDocument/2006/relationships/hyperlink" Target="https://www.facebook.com/ads/library/?active_status=active&amp;ad_type=all&amp;country=ALL&amp;q=Fadelito%20Campinas&amp;search_type=keyword_unordered&amp;media_type=all" TargetMode="External"/><Relationship Id="rId267" Type="http://schemas.openxmlformats.org/officeDocument/2006/relationships/hyperlink" Target="https://l.facebook.com/l.php?u=https%3A%2F%2Ffadelito.com.br%2Fcampinas%2F%3Ffbclid%3DIwcGRvZgFleHRuA2FlbQIxMABicmlkETFXNzlsVXpoUDVDNVVuakFSc3J0YwZhcHBfaWQPNTQxNjM5NDkzODg5MDI1AAEefbFGDO-zrlIqJQIlM89BJn9ihvjEznXMXNSN5_rYbXTZcEwyAe3CyzX9PY4_aem_CQ8R76th59r" TargetMode="External"/><Relationship Id="rId268" Type="http://schemas.openxmlformats.org/officeDocument/2006/relationships/hyperlink" Target="https://www.facebook.com/ads/library/?active_status=active&amp;ad_type=all&amp;country=ALL&amp;q=COL&#201;GIO%20APRENDIZ&amp;search_type=keyword_unordered&amp;media_type=all" TargetMode="External"/><Relationship Id="rId269" Type="http://schemas.openxmlformats.org/officeDocument/2006/relationships/hyperlink" Target="https://l.facebook.com/l.php?u=http%3A%2F%2Finstagram.com%2Fcolegioaprendizse%3Ffbclid%3DIwcGRvZgFleHRuA2FlbQIxMABicmlkETFXNzlsVXpoUDVDNVVuakFSc3J0YwZhcHBfaWQPNTQxNjM5NDkzODg5MDI1AAEeH1AJh0vlnF3AlOcgu47q8hasJKuoUFcuVs3sw1Tqc3snFg8RJeOheD-ct6c_aem_PtSsOKEO" TargetMode="External"/><Relationship Id="rId270" Type="http://schemas.openxmlformats.org/officeDocument/2006/relationships/hyperlink" Target="https://www.facebook.com/ads/library/?active_status=active&amp;ad_type=all&amp;country=ALL&amp;q=Amor%20de%20Pequenos&amp;search_type=keyword_unordered&amp;media_type=all" TargetMode="External"/><Relationship Id="rId271" Type="http://schemas.openxmlformats.org/officeDocument/2006/relationships/hyperlink" Target="https://l.facebook.com/l.php?u=https%3A%2F%2Feducarcomamor.xyz%2Fproduto%2Fvaral-dos-numeros%2F%3Ffbclid%3DIwcGRvZgFleHRuA2FlbQIxMABicmlkETFXNzlsVXpoUDVDNVVuakFSc3J0YwZhcHBfaWQPNTQxNjM5NDkzODg5MDI1AAEeo6JyMjm1XPgMuTrdSlDmfT6YyerozLW2goY7wbM4vUwq0i3rwsBPh9" TargetMode="External"/><Relationship Id="rId272" Type="http://schemas.openxmlformats.org/officeDocument/2006/relationships/hyperlink" Target="https://www.facebook.com/ads/library/?active_status=active&amp;ad_type=all&amp;country=ALL&amp;q=Jardim%20dos%20Saberes%20D&amp;search_type=keyword_unordered&amp;media_type=all" TargetMode="External"/><Relationship Id="rId273" Type="http://schemas.openxmlformats.org/officeDocument/2006/relationships/hyperlink" Target="https://l.facebook.com/l.php?u=https%3A%2F%2Fmaiaracosta.com.br%2Fproduto%2Fkit-fichas-de-leitura-silabas-simples-e-complexa%2F%3Ffbclid%3DIwcGRvZgFleHRuA2FlbQIxMABicmlkETFXNzlsVXpoUDVDNVVuakFSc3J0YwZhcHBfaWQPNTQxNjM5NDkzODg5MDI1AAEe6-lGHam-0fdkKTskoHoSKG" TargetMode="External"/><Relationship Id="rId274" Type="http://schemas.openxmlformats.org/officeDocument/2006/relationships/hyperlink" Target="https://www.facebook.com/ads/library/?active_status=active&amp;ad_type=all&amp;country=ALL&amp;q=Dom%20Alberto&amp;search_type=keyword_unordered&amp;media_type=all" TargetMode="External"/><Relationship Id="rId275" Type="http://schemas.openxmlformats.org/officeDocument/2006/relationships/hyperlink" Target="https://api.whatsapp.com/send" TargetMode="External"/><Relationship Id="rId276" Type="http://schemas.openxmlformats.org/officeDocument/2006/relationships/hyperlink" Target="https://www.facebook.com/ads/library/?active_status=active&amp;ad_type=all&amp;country=ALL&amp;q=Faveni%20-%20CenterLink&amp;search_type=keyword_unordered&amp;media_type=all" TargetMode="External"/><Relationship Id="rId277" Type="http://schemas.openxmlformats.org/officeDocument/2006/relationships/hyperlink" Target="https://l.facebook.com/l.php?u=http%3A%2F%2Ffb.me%2F&amp;h=AUCSvaiFYluCrwvUX96TO9ecJ379v9Bsu66JouQzAu7aUUZDyeYE9b8QMV6oarun2-207rbUBmWF7jqojuL7PdZPXWszSHGGccjzxqyzQ9B_fsJy8oVGZ0dgxqdbH3vhl2zeEKW5H_c" TargetMode="External"/><Relationship Id="rId278" Type="http://schemas.openxmlformats.org/officeDocument/2006/relationships/hyperlink" Target="https://www.facebook.com/ads/library/?active_status=active&amp;ad_type=all&amp;country=ALL&amp;q=acasadascriancas1&amp;search_type=keyword_unordered&amp;media_type=all" TargetMode="External"/><Relationship Id="rId279" Type="http://schemas.openxmlformats.org/officeDocument/2006/relationships/hyperlink" Target="https://l.facebook.com/l.php?u=https%3A%2F%2Fwww.instagram.com%2F_u%2Facasadascriancas1%3Ffbclid%3DIwcGRvZgFleHRuA2FlbQIxMABicmlkETFXNzlsVXpoUDVDNVVuakFSc3J0YwZhcHBfaWQPNTQxNjM5NDkzODg5MDI1AAEemiG7ZJSZpG9eI9fq5mE7SXnRpY_yuEiuCxv85peaXE2F7vnxtjwNXuT-oUQ_ae" TargetMode="External"/><Relationship Id="rId280" Type="http://schemas.openxmlformats.org/officeDocument/2006/relationships/hyperlink" Target="https://www.facebook.com/ads/library/?active_status=active&amp;ad_type=all&amp;country=ALL&amp;q=Expert%20Kids&amp;search_type=keyword_unordered&amp;media_type=all" TargetMode="External"/><Relationship Id="rId281" Type="http://schemas.openxmlformats.org/officeDocument/2006/relationships/hyperlink" Target="https://l.facebook.com/l.php?u=http%3A%2F%2Fingles.expertacademypro.com.br%2F%3Ffbclid%3DIwcGRvZgFleHRuA2FlbQIxMABicmlkETFXNzlsVXpoUDVDNVVuakFSc3J0YwZhcHBfaWQPNTQxNjM5NDkzODg5MDI1AAEefbFGDO-zrlIqJQIlM89BJn9ihvjEznXMXNSN5_rYbXTZcEwyAe3CyzX9PY4_aem_CQ8R76th" TargetMode="External"/><Relationship Id="rId282" Type="http://schemas.openxmlformats.org/officeDocument/2006/relationships/hyperlink" Target="https://www.facebook.com/ads/library/?active_status=active&amp;ad_type=all&amp;country=ALL&amp;q=Educacional%20Faveni&amp;search_type=keyword_unordered&amp;media_type=all" TargetMode="External"/><Relationship Id="rId283" Type="http://schemas.openxmlformats.org/officeDocument/2006/relationships/hyperlink" Target="https://l.facebook.com/l.php?u=http%3A%2F%2Ffb.me%2F&amp;h=AUCSvaiFYluCrwvUX96TO9ecJ379v9Bsu66JouQzAu7aUUZDyeYE9b8QMV6oarun2-207rbUBmWF7jqojuL7PdZPXWszSHGGccjzxqyzQ9B_fsJy8oVGZ0dgxqdbH3vhl2zeEKW5H_c" TargetMode="External"/><Relationship Id="rId284" Type="http://schemas.openxmlformats.org/officeDocument/2006/relationships/hyperlink" Target="https://www.facebook.com/ads/library/?active_status=active&amp;ad_type=all&amp;country=ALL&amp;q=Pedagomania%20Kids&amp;search_type=keyword_unordered&amp;media_type=all" TargetMode="External"/><Relationship Id="rId285" Type="http://schemas.openxmlformats.org/officeDocument/2006/relationships/hyperlink" Target="https://api.whatsapp.com/send" TargetMode="External"/><Relationship Id="rId286" Type="http://schemas.openxmlformats.org/officeDocument/2006/relationships/hyperlink" Target="https://www.facebook.com/ads/library/?active_status=active&amp;ad_type=all&amp;country=ALL&amp;q=Am&#233;rico%20Escribo&amp;search_type=keyword_unordered&amp;media_type=all" TargetMode="External"/><Relationship Id="rId287" Type="http://schemas.openxmlformats.org/officeDocument/2006/relationships/hyperlink" Target="https://l.facebook.com/l.php?u=https%3A%2F%2Fwww.instagram.com%2F%3Ffbclid%3DIwcGRvZgFleHRuA2FlbQIxMABicmlkETFXNzlsVXpoUDVDNVVuakFSc3J0YwZhcHBfaWQPNTQxNjM5NDkzODg5MDI1AAEei-7k0OCV6rulAxe8m7jBCbQ9cA8KiGcW5XYIS0hD0RgB02J221k76asUC-Q_aem_r7SThfJaU_AvddXdgkbf" TargetMode="External"/><Relationship Id="rId288" Type="http://schemas.openxmlformats.org/officeDocument/2006/relationships/hyperlink" Target="https://www.facebook.com/ads/library/?active_status=active&amp;ad_type=all&amp;country=ALL&amp;q=Polo%20Faveni%20S&#227;o%20Sebasti&#227;o&amp;search_type=keyword_unordered&amp;media_type=all" TargetMode="External"/><Relationship Id="rId289" Type="http://schemas.openxmlformats.org/officeDocument/2006/relationships/hyperlink" Target="https://api.whatsapp.com/send" TargetMode="External"/><Relationship Id="rId290" Type="http://schemas.openxmlformats.org/officeDocument/2006/relationships/hyperlink" Target="https://www.facebook.com/ads/library/?active_status=active&amp;ad_type=all&amp;country=ALL&amp;q=Maple%20Bear%20Belo%20Horizonte&amp;search_type=keyword_unordered&amp;media_type=all" TargetMode="External"/><Relationship Id="rId291" Type="http://schemas.openxmlformats.org/officeDocument/2006/relationships/hyperlink" Target="https://l.facebook.com/l.php?u=http%3A%2F%2Ffb.me%2F&amp;h=AUCSvaiFYluCrwvUX96TO9ecJ379v9Bsu66JouQzAu7aUUZDyeYE9b8QMV6oarun2-207rbUBmWF7jqojuL7PdZPXWszSHGGccjzxqyzQ9B_fsJy8oVGZ0dgxqdbH3vhl2zeEKW5H_c" TargetMode="External"/><Relationship Id="rId292" Type="http://schemas.openxmlformats.org/officeDocument/2006/relationships/hyperlink" Target="https://www.facebook.com/ads/library/?active_status=active&amp;ad_type=all&amp;country=ALL&amp;q=Col&#233;gio%20Cristo%20Rei&amp;search_type=keyword_unordered&amp;media_type=all" TargetMode="External"/><Relationship Id="rId293" Type="http://schemas.openxmlformats.org/officeDocument/2006/relationships/hyperlink" Target="https://l.facebook.com/l.php?u=http%3A%2F%2Finstagram.com%2Fcristoreilinhares%3Ffbclid%3DIwcGRvZgFleHRuA2FlbQIxMABicmlkETFXNzlsVXpoUDVDNVVuakFSc3J0YwZhcHBfaWQPNTQxNjM5NDkzODg5MDI1AAEeIbNyWNnqt2-4raZja4sSumcYQpNwnkV8H12szpx0xM1nhqpZ-pH7bYS1Jwo_aem_kq6TAF2G" TargetMode="External"/><Relationship Id="rId294" Type="http://schemas.openxmlformats.org/officeDocument/2006/relationships/hyperlink" Target="https://www.facebook.com/ads/library/?active_status=active&amp;ad_type=all&amp;country=ALL&amp;q=Educaline%20Brasil&amp;search_type=keyword_unordered&amp;media_type=all" TargetMode="External"/><Relationship Id="rId295" Type="http://schemas.openxmlformats.org/officeDocument/2006/relationships/hyperlink" Target="https://l.facebook.com/l.php?u=https%3A%2F%2Fwww.educaline.com.br%2F%3Ffbclid%3DIwcGRvZgFleHRuA2FlbQIxMABicmlkETFXNzlsVXpoUDVDNVVuakFSc3J0YwZhcHBfaWQPNTQxNjM5NDkzODg5MDI1AAEei-7k0OCV6rulAxe8m7jBCbQ9cA8KiGcW5XYIS0hD0RgB02J221k76asUC-Q_aem_r7SThfJaU_AvddXdg" TargetMode="External"/><Relationship Id="rId296" Type="http://schemas.openxmlformats.org/officeDocument/2006/relationships/hyperlink" Target="https://www.facebook.com/ads/library/?active_status=active&amp;ad_type=all&amp;country=ALL&amp;q=Escola%20Guril&#226;ndia&amp;search_type=keyword_unordered&amp;media_type=all" TargetMode="External"/><Relationship Id="rId297" Type="http://schemas.openxmlformats.org/officeDocument/2006/relationships/hyperlink" Target="https://l.facebook.com/l.php?u=https%3A%2F%2Flp.gurilandia.com.br%2Freserva-de-vagas-federacao%3Ffbclid%3DIwcGRvZgFleHRuA2FlbQIxMABicmlkETFXNzlsVXpoUDVDNVVuakFSc3J0YwZhcHBfaWQPNTQxNjM5NDkzODg5MDI1AAEefnH1UbdwofpdI_CiMiZqSVSkG-E51GXidOepqY31qSthTm9SFWcX8r8" TargetMode="External"/><Relationship Id="rId298" Type="http://schemas.openxmlformats.org/officeDocument/2006/relationships/hyperlink" Target="https://www.facebook.com/ads/library/?active_status=active&amp;ad_type=all&amp;country=ALL&amp;q=ANTON%20-%20O%20App%20educativo%20gratuito%20para%20a%20escola&amp;search_type=keyword_unordered&amp;media_type=all" TargetMode="External"/><Relationship Id="rId299" Type="http://schemas.openxmlformats.org/officeDocument/2006/relationships/hyperlink" Target="https://l.facebook.com/l.php?u=https%3A%2F%2Flp.anton.app%2Flp%2Fstatic%2F05_simple%2Fpt%3Futm_source%3D%257B%257Bsite_source_name%257D%257D%26utm_medium%3D%257B%257Bplacement%257D%257D%26utm_campaign%3D%257B%257Bcampaign.id%257D%257D%26utm_content%3D%257" TargetMode="External"/><Relationship Id="rId300" Type="http://schemas.openxmlformats.org/officeDocument/2006/relationships/hyperlink" Target="https://www.facebook.com/ads/library/?active_status=active&amp;ad_type=all&amp;country=ALL&amp;q=Educare%20Cursos%20Online&amp;search_type=keyword_unordered&amp;media_type=all" TargetMode="External"/><Relationship Id="rId301" Type="http://schemas.openxmlformats.org/officeDocument/2006/relationships/hyperlink" Target="https://l.facebook.com/l.php?u=https%3A%2F%2Fmaterialgratis.educarepedagogia.com.br%2Faee-47-90-otimizado-dez-2025%3Fsrc%3D%26utm_source%3D%257B%257Bplacement%257D%257D%26utm_medium%3D%257B%257Badset.name%257D%257D%26utm_content%3D%257B%257Bad.name%257D%2" TargetMode="External"/><Relationship Id="rId302" Type="http://schemas.openxmlformats.org/officeDocument/2006/relationships/hyperlink" Target="https://www.facebook.com/ads/library/?active_status=active&amp;ad_type=all&amp;country=ALL&amp;q=Col&#233;gio%20Bernoulli%20Vale%20do%20Sereno&amp;search_type=keyword_unordered&amp;media_type=all" TargetMode="External"/><Relationship Id="rId303" Type="http://schemas.openxmlformats.org/officeDocument/2006/relationships/hyperlink" Target="https://l.facebook.com/l.php?u=https%3A%2F%2Fviva.bernoulli.com.br%2Finscreva-se-vse%3Ffbclid%3DIwcGRvZgFleHRuA2FlbQIxMABicmlkETFXNzlsVXpoUDVDNVVuakFSc3J0YwZhcHBfaWQPNTQxNjM5NDkzODg5MDI1AAEefbFGDO-zrlIqJQIlM89BJn9ihvjEznXMXNSN5_rYbXTZcEwyAe3CyzX9PY4_aem_C" TargetMode="External"/><Relationship Id="rId304" Type="http://schemas.openxmlformats.org/officeDocument/2006/relationships/hyperlink" Target="https://www.facebook.com/ads/library/?active_status=active&amp;ad_type=all&amp;country=ALL&amp;q=Col&#233;gio%20ETAPA&amp;search_type=keyword_unordered&amp;media_type=all" TargetMode="External"/><Relationship Id="rId305" Type="http://schemas.openxmlformats.org/officeDocument/2006/relationships/hyperlink" Target="https://l.facebook.com/l.php?u=https%3A%2F%2Fevento.etapa.com.br%2Facolher-desenvolver-site%3Ffbclid%3DIwcGRvZgFleHRuA2FlbQIxMABicmlkETFXNzlsVXpoUDVDNVVuakFSc3J0YwZhcHBfaWQPNTQxNjM5NDkzODg5MDI1AAEemiG7ZJSZpG9eI9fq5mE7SXnRpY_yuEiuCxv85peaXE2F7vnxtjwNXuT-oU" TargetMode="External"/><Relationship Id="rId306" Type="http://schemas.openxmlformats.org/officeDocument/2006/relationships/hyperlink" Target="https://www.facebook.com/ads/library/?active_status=active&amp;ad_type=all&amp;country=ALL&amp;q=RED%20HOUSE%20Santo%20Andr&#233;&amp;search_type=keyword_unordered&amp;media_type=all" TargetMode="External"/><Relationship Id="rId307" Type="http://schemas.openxmlformats.org/officeDocument/2006/relationships/hyperlink" Target="https://l.facebook.com/l.php?u=https%3A%2F%2Fredhouse.com.br%2Fcampussantoandre%2F%3Ffbclid%3DIwcGRvZgFleHRuA2FlbQIxMABicmlkETFXNzlsVXpoUDVDNVVuakFSc3J0YwZhcHBfaWQPNTQxNjM5NDkzODg5MDI1AAEemiG7ZJSZpG9eI9fq5mE7SXnRpY_yuEiuCxv85peaXE2F7vnxtjwNXuT-oUQ_aem_8O1" TargetMode="External"/><Relationship Id="rId308" Type="http://schemas.openxmlformats.org/officeDocument/2006/relationships/hyperlink" Target="https://www.facebook.com/ads/library/?active_status=active&amp;ad_type=all&amp;country=ALL&amp;q=Escola%20Viva&amp;search_type=keyword_unordered&amp;media_type=all" TargetMode="External"/><Relationship Id="rId309" Type="http://schemas.openxmlformats.org/officeDocument/2006/relationships/hyperlink" Target="https://l.facebook.com/l.php?u=https%3A%2F%2Fsaibamais.escolaviva.com.br%2Fmatriculas-abertas%3Ffbclid%3DIwcGRvZgFleHRuA2FlbQIxMABicmlkETFXNzlsVXpoUDVDNVVuakFSc3J0YwZhcHBfaWQPNTQxNjM5NDkzODg5MDI1AAEeo6JyMjm1XPgMuTrdSlDmfT6YyerozLW2goY7wbM4vUwq0i3rwsBPh9wX" TargetMode="External"/><Relationship Id="rId310" Type="http://schemas.openxmlformats.org/officeDocument/2006/relationships/hyperlink" Target="https://www.facebook.com/ads/library/?active_status=active&amp;ad_type=all&amp;country=ALL&amp;q=Faveni%20Ead&amp;search_type=keyword_unordered&amp;media_type=all" TargetMode="External"/><Relationship Id="rId311" Type="http://schemas.openxmlformats.org/officeDocument/2006/relationships/hyperlink" Target="https://api.whatsapp.com/send" TargetMode="External"/><Relationship Id="rId312" Type="http://schemas.openxmlformats.org/officeDocument/2006/relationships/hyperlink" Target="https://www.facebook.com/ads/library/?active_status=active&amp;ad_type=all&amp;country=ALL&amp;q=Fadelito%20Jardins&amp;search_type=keyword_unordered&amp;media_type=all" TargetMode="External"/><Relationship Id="rId313" Type="http://schemas.openxmlformats.org/officeDocument/2006/relationships/hyperlink" Target="https://l.facebook.com/l.php?u=https%3A%2F%2Fwww.fadelito.com.br%2Fjardins%2F%3Ffbclid%3DIwcGRvZgFleHRuA2FlbQIxMABicmlkETFXNzlsVXpoUDVDNVVuakFSc3J0YwZhcHBfaWQPNTQxNjM5NDkzODg5MDI1AAEeomo5_C6J2q3cxfNXzkZroM0VILYhv9g6P2DO5yVgnfUBZbvhqs3M9JiYyF0_aem_ufln1sjN" TargetMode="External"/><Relationship Id="rId314" Type="http://schemas.openxmlformats.org/officeDocument/2006/relationships/hyperlink" Target="https://www.facebook.com/ads/library/?active_status=active&amp;ad_type=all&amp;country=ALL&amp;q=RED%20HOUSE%20Sorocaba&amp;search_type=keyword_unordered&amp;media_type=all" TargetMode="External"/><Relationship Id="rId315" Type="http://schemas.openxmlformats.org/officeDocument/2006/relationships/hyperlink" Target="https://l.facebook.com/l.php?u=https%3A%2F%2Fredhouse.com.br%2Fcampussorocaba%2F%3Ffbclid%3DIwcGRvZgFleHRuA2FlbQIxMABicmlkETFXNzlsVXpoUDVDNVVuakFSc3J0YwZhcHBfaWQPNTQxNjM5NDkzODg5MDI1AAEeo6JyMjm1XPgMuTrdSlDmfT6YyerozLW2goY7wbM4vUwq0i3rwsBPh9wXcW0_aem_Bbd3x" TargetMode="External"/><Relationship Id="rId316" Type="http://schemas.openxmlformats.org/officeDocument/2006/relationships/hyperlink" Target="https://www.facebook.com/ads/library/?active_status=active&amp;ad_type=all&amp;country=ALL&amp;q=Alfabetizando%20Baixinhos&amp;search_type=keyword_unordered&amp;media_type=all" TargetMode="External"/><Relationship Id="rId317" Type="http://schemas.openxmlformats.org/officeDocument/2006/relationships/hyperlink" Target="https://api.whatsapp.com/send" TargetMode="External"/><Relationship Id="rId318" Type="http://schemas.openxmlformats.org/officeDocument/2006/relationships/hyperlink" Target="https://www.facebook.com/ads/library/?active_status=active&amp;ad_type=all&amp;country=ALL&amp;q=Sistema%20de%20Ensino%20pH&amp;search_type=keyword_unordered&amp;media_type=all" TargetMode="External"/><Relationship Id="rId319" Type="http://schemas.openxmlformats.org/officeDocument/2006/relationships/hyperlink" Target="https://l.facebook.com/l.php?u=https%3A%2F%2Fconteudos.somoseducacao.com.br%2Fph-ebook-gestor-escolar%3Futm_source%3D%257B%257Bsite_source_name%257D%257D%26utm_medium%3Dcpc%26utm_campaign%3DAC_PH_CP16_ebook-ph-mudanca-de-sistema_Conversao-Lead_Meio_ABO%26" TargetMode="External"/><Relationship Id="rId320" Type="http://schemas.openxmlformats.org/officeDocument/2006/relationships/hyperlink" Target="https://www.facebook.com/ads/library/?active_status=active&amp;ad_type=all&amp;country=ALL&amp;q=Escola%20Granja%20Viana&amp;search_type=keyword_unordered&amp;media_type=all" TargetMode="External"/><Relationship Id="rId321" Type="http://schemas.openxmlformats.org/officeDocument/2006/relationships/hyperlink" Target="https://l.facebook.com/l.php?u=https%3A%2F%2Finfantil.escolagranjaviana.com.br%2F%3Futm_source%3Dinstagram%26utm_medium%3Dcpc%26utm_campaign%3Dmeta-trafego-infantil%26fbclid%3DIwcGRvZgFleHRuA2FlbQIxMABicmlkETFXNzlsVXpoUDVDNVVuakFSc3J0YwZhcHBfaWQPNTQxNjM5N" TargetMode="External"/><Relationship Id="rId322" Type="http://schemas.openxmlformats.org/officeDocument/2006/relationships/hyperlink" Target="https://www.facebook.com/ads/library/?active_status=active&amp;ad_type=all&amp;country=ALL&amp;q=Dra.%20Camila%20R.&amp;search_type=keyword_unordered&amp;media_type=all" TargetMode="External"/><Relationship Id="rId323" Type="http://schemas.openxmlformats.org/officeDocument/2006/relationships/hyperlink" Target="https://l.facebook.com/l.php?u=https%3A%2F%2Fkitpsicomotorinfantil.lovable.app%2F%3Ffbclid%3DIwcGRvZgFleHRuA2FlbQIxMABicmlkETFXNzlsVXpoUDVDNVVuakFSc3J0YwZhcHBfaWQPNTQxNjM5NDkzODg5MDI1AAEeo6JyMjm1XPgMuTrdSlDmfT6YyerozLW2goY7wbM4vUwq0i3rwsBPh9wXcW0_aem_Bbd3" TargetMode="External"/><Relationship Id="rId324" Type="http://schemas.openxmlformats.org/officeDocument/2006/relationships/hyperlink" Target="https://www.facebook.com/ads/library/?active_status=active&amp;ad_type=all&amp;country=ALL&amp;q=Xplay%20Education&amp;search_type=keyword_unordered&amp;media_type=all" TargetMode="External"/><Relationship Id="rId325" Type="http://schemas.openxmlformats.org/officeDocument/2006/relationships/hyperlink" Target="https://api.whatsapp.com/send" TargetMode="External"/><Relationship Id="rId326" Type="http://schemas.openxmlformats.org/officeDocument/2006/relationships/hyperlink" Target="https://www.facebook.com/ads/library/?active_status=active&amp;ad_type=all&amp;country=ALL&amp;q=Profa%20Evelyn%20Cassillo&amp;search_type=keyword_unordered&amp;media_type=all" TargetMode="External"/><Relationship Id="rId327" Type="http://schemas.openxmlformats.org/officeDocument/2006/relationships/hyperlink" Target="https://l.facebook.com/l.php?u=http%3A%2F%2Finstagram.com%2Fprofaevelyncassillo%3Ffbclid%3DIwcGRvZgFleHRuA2FlbQIxMABicmlkETFXNzlsVXpoUDVDNVVuakFSc3J0YwZhcHBfaWQPNTQxNjM5NDkzODg5MDI1AAEef2Ay9JH-w62yBzipAYnGYPW8DpiIbNWtsD3FV7TbiynhJrf2FJ-gR6gVWdQ_aem_PkwtiN" TargetMode="External"/><Relationship Id="rId328" Type="http://schemas.openxmlformats.org/officeDocument/2006/relationships/hyperlink" Target="https://www.facebook.com/ads/library/?active_status=active&amp;ad_type=all&amp;country=ALL&amp;q=BL%20Apoio%20Pedag&#243;gico&amp;search_type=keyword_unordered&amp;media_type=all" TargetMode="External"/><Relationship Id="rId329" Type="http://schemas.openxmlformats.org/officeDocument/2006/relationships/hyperlink" Target="https://l.facebook.com/l.php?u=http%3A%2F%2Fwww.apoiopedagogico.com%2F%3Ffbclid%3DIwcGRvZgFleHRuA2FlbQIxMABicmlkETFXNzlsVXpoUDVDNVVuakFSc3J0YwZhcHBfaWQPNTQxNjM5NDkzODg5MDI1AAEemiG7ZJSZpG9eI9fq5mE7SXnRpY_yuEiuCxv85peaXE2F7vnxtjwNXuT-oUQ_aem_8O1Am_K_CRhxY_K" TargetMode="External"/><Relationship Id="rId330" Type="http://schemas.openxmlformats.org/officeDocument/2006/relationships/hyperlink" Target="https://www.facebook.com/ads/library/?active_status=active&amp;ad_type=all&amp;country=ALL&amp;q=Prof%20&#186;%20Jaqueline&amp;search_type=keyword_unordered&amp;media_type=all" TargetMode="External"/><Relationship Id="rId331" Type="http://schemas.openxmlformats.org/officeDocument/2006/relationships/hyperlink" Target="https://api.whatsapp.com/send" TargetMode="External"/><Relationship Id="rId332" Type="http://schemas.openxmlformats.org/officeDocument/2006/relationships/hyperlink" Target="https://www.facebook.com/ads/library/?active_status=active&amp;ad_type=all&amp;country=ALL&amp;q=Paulo%20S&#233;rgio&amp;search_type=keyword_unordered&amp;media_type=all" TargetMode="External"/><Relationship Id="rId333" Type="http://schemas.openxmlformats.org/officeDocument/2006/relationships/hyperlink" Target="https://www.facebook.com/ads/library/?active_status=active&amp;ad_type=all&amp;country=ALL&amp;q=Congresso%20Brincar&amp;search_type=keyword_unordered&amp;media_type=all" TargetMode="External"/><Relationship Id="rId334" Type="http://schemas.openxmlformats.org/officeDocument/2006/relationships/hyperlink" Target="https://l.facebook.com/l.php?u=http%3A%2F%2Fcongressobrincar.com%2Fcongresso-brincar-digital-edicao-especial-educacao-infantil-na-pratica%3Ffbclid%3DIwcGRvZgFleHRuA2FlbQIxMABicmlkETFXNzlsVXpoUDVDNVVuakFSc3J0YwZhcHBfaWQPNTQxNjM5NDkzODg5MDI1AAEeIbNyWNnqt2-4" TargetMode="External"/><Relationship Id="rId335" Type="http://schemas.openxmlformats.org/officeDocument/2006/relationships/hyperlink" Target="https://www.facebook.com/ads/library/?active_status=active&amp;ad_type=all&amp;country=ALL&amp;q=Col&#233;gio%20Companhia%20do%20Saber&amp;search_type=keyword_unordered&amp;media_type=all" TargetMode="External"/><Relationship Id="rId336" Type="http://schemas.openxmlformats.org/officeDocument/2006/relationships/hyperlink" Target="https://api.whatsapp.com/send" TargetMode="External"/><Relationship Id="rId337" Type="http://schemas.openxmlformats.org/officeDocument/2006/relationships/hyperlink" Target="https://www.facebook.com/ads/library/?active_status=active&amp;ad_type=all&amp;country=ALL&amp;q=Skooly&amp;search_type=keyword_unordered&amp;media_type=all" TargetMode="External"/><Relationship Id="rId338" Type="http://schemas.openxmlformats.org/officeDocument/2006/relationships/hyperlink" Target="https://l.facebook.com/l.php?u=https%3A%2F%2Fskooly.com.br%2Fia-para-professores%2F%3Ffbclid%3DIwcGRvZgFleHRuA2FlbQIxMABicmlkETFXNzlsVXpoUDVDNVVuakFSc3J0YwZhcHBfaWQPNTQxNjM5NDkzODg5MDI1AAEe6-lGHam-0fdkKTskoHoSKGSmqNV9VvipHgVFi62EM8HQmWSe7Dfh30LV9E4_aem_jP" TargetMode="External"/><Relationship Id="rId339" Type="http://schemas.openxmlformats.org/officeDocument/2006/relationships/hyperlink" Target="https://www.facebook.com/ads/library/?active_status=active&amp;ad_type=all&amp;country=ALL&amp;q=Anglo%20S&#227;o%20Carlos&amp;search_type=keyword_unordered&amp;media_type=all" TargetMode="External"/><Relationship Id="rId340" Type="http://schemas.openxmlformats.org/officeDocument/2006/relationships/hyperlink" Target="https://l.facebook.com/l.php?u=https%3A%2F%2Fwww.anglosaocarlos.com.br%2F%3Ffbclid%3DIwcGRvZgFleHRuA2FlbQIxMABicmlkETFXNzlsVXpoUDVDNVVuakFSc3J0YwZhcHBfaWQPNTQxNjM5NDkzODg5MDI1AAEeomo5_C6J2q3cxfNXzkZroM0VILYhv9g6P2DO5yVgnfUBZbvhqs3M9JiYyF0_aem_ufln1sjNgmn5" TargetMode="External"/><Relationship Id="rId341" Type="http://schemas.openxmlformats.org/officeDocument/2006/relationships/hyperlink" Target="https://www.facebook.com/ads/library/?active_status=active&amp;ad_type=all&amp;country=ALL&amp;q=Instituto%20Quintino%20Escola%20-%20Espa&#231;o%20Kids&amp;search_type=keyword_unordered&amp;media_type=all" TargetMode="External"/><Relationship Id="rId342" Type="http://schemas.openxmlformats.org/officeDocument/2006/relationships/hyperlink" Target="https://api.whatsapp.com/send" TargetMode="External"/><Relationship Id="rId343" Type="http://schemas.openxmlformats.org/officeDocument/2006/relationships/hyperlink" Target="https://www.facebook.com/ads/library/?active_status=active&amp;ad_type=all&amp;country=ALL&amp;q=Col&#233;gio%20Objetivo%20DF&amp;search_type=keyword_unordered&amp;media_type=all" TargetMode="External"/><Relationship Id="rId344" Type="http://schemas.openxmlformats.org/officeDocument/2006/relationships/hyperlink" Target="https://l.facebook.com/l.php?u=http%3A%2F%2Ffb.me%2F&amp;h=AUCSvaiFYluCrwvUX96TO9ecJ379v9Bsu66JouQzAu7aUUZDyeYE9b8QMV6oarun2-207rbUBmWF7jqojuL7PdZPXWszSHGGccjzxqyzQ9B_fsJy8oVGZ0dgxqdbH3vhl2zeEKW5H_c" TargetMode="External"/><Relationship Id="rId345" Type="http://schemas.openxmlformats.org/officeDocument/2006/relationships/hyperlink" Target="https://www.facebook.com/ads/library/?active_status=active&amp;ad_type=all&amp;country=ALL&amp;q=Pegada&amp;search_type=keyword_unordered&amp;media_type=all" TargetMode="External"/><Relationship Id="rId346" Type="http://schemas.openxmlformats.org/officeDocument/2006/relationships/hyperlink" Target="https://l.facebook.com/l.php?u=https%3A%2F%2Fproduct-flair-maker.lovable.app%2F%3Ffbclid%3DIwcGRvZgFleHRuA2FlbQIxMABicmlkETFXNzlsVXpoUDVDNVVuakFSc3J0YwZhcHBfaWQPNTQxNjM5NDkzODg5MDI1AAEe6-lGHam-0fdkKTskoHoSKGSmqNV9VvipHgVFi62EM8HQmWSe7Dfh30LV9E4_aem_jPsRlT" TargetMode="External"/><Relationship Id="rId347" Type="http://schemas.openxmlformats.org/officeDocument/2006/relationships/hyperlink" Target="https://www.facebook.com/ads/library/?active_status=active&amp;ad_type=all&amp;country=ALL&amp;q=Col&#233;gio%20Marista%20S&#227;o%20Jos&#233;&amp;search_type=keyword_unordered&amp;media_type=all" TargetMode="External"/><Relationship Id="rId348" Type="http://schemas.openxmlformats.org/officeDocument/2006/relationships/hyperlink" Target="https://l.facebook.com/l.php?u=https%3A%2F%2Fcolegiosmaristas.com.br%2Fsao-jose-montes-claros%2F%3Ffbclid%3DIwcGRvZgFleHRuA2FlbQIxMABicmlkETFXNzlsVXpoUDVDNVVuakFSc3J0YwZhcHBfaWQPNTQxNjM5NDkzODg5MDI1AAEemiG7ZJSZpG9eI9fq5mE7SXnRpY_yuEiuCxv85peaXE2F7vnxtjwNX" TargetMode="External"/><Relationship Id="rId349" Type="http://schemas.openxmlformats.org/officeDocument/2006/relationships/hyperlink" Target="https://www.facebook.com/ads/library/?active_status=active&amp;ad_type=all&amp;country=ALL&amp;q=Pedagoga%20Aprovada&amp;search_type=keyword_unordered&amp;media_type=all" TargetMode="External"/><Relationship Id="rId350" Type="http://schemas.openxmlformats.org/officeDocument/2006/relationships/hyperlink" Target="https://api.whatsapp.com/send" TargetMode="External"/><Relationship Id="rId351" Type="http://schemas.openxmlformats.org/officeDocument/2006/relationships/hyperlink" Target="https://www.facebook.com/ads/library/?active_status=active&amp;ad_type=all&amp;country=ALL&amp;q=Sistema%20Maxi%20de%20Ensino&amp;search_type=keyword_unordered&amp;media_type=all" TargetMode="External"/><Relationship Id="rId352" Type="http://schemas.openxmlformats.org/officeDocument/2006/relationships/hyperlink" Target="https://l.facebook.com/l.php?u=https%3A%2F%2Fconteudos.sistemamaxi.com.br%2Fsistema-maxi-lp-lm-converse-com-especialista%3Futm_source%3D%257B%257Bsite_source_name%257D%257D%26utm_medium%3Dcpc%26utm_campaign%3DAC_MAXI_CP4_Institucional_Cadastro_Fundo_ABO%2" TargetMode="External"/><Relationship Id="rId353" Type="http://schemas.openxmlformats.org/officeDocument/2006/relationships/hyperlink" Target="https://www.facebook.com/ads/library/?active_status=active&amp;ad_type=all&amp;country=ALL&amp;q=SIS%20Swiss%20International%20School&amp;search_type=keyword_unordered&amp;media_type=all" TargetMode="External"/><Relationship Id="rId354" Type="http://schemas.openxmlformats.org/officeDocument/2006/relationships/hyperlink" Target="https://l.facebook.com/l.php?u=http%3A%2F%2Ffb.me%2F&amp;h=AUCSvaiFYluCrwvUX96TO9ecJ379v9Bsu66JouQzAu7aUUZDyeYE9b8QMV6oarun2-207rbUBmWF7jqojuL7PdZPXWszSHGGccjzxqyzQ9B_fsJy8oVGZ0dgxqdbH3vhl2zeEKW5H_c" TargetMode="External"/><Relationship Id="rId355" Type="http://schemas.openxmlformats.org/officeDocument/2006/relationships/hyperlink" Target="https://www.facebook.com/ads/library/?active_status=active&amp;ad_type=all&amp;country=ALL&amp;q=Antes%20que%20Vire&amp;search_type=keyword_unordered&amp;media_type=all" TargetMode="External"/><Relationship Id="rId356" Type="http://schemas.openxmlformats.org/officeDocument/2006/relationships/hyperlink" Target="https://l.facebook.com/l.php?u=https%3A%2F%2Fantesquevire.com.br%2Fteste-risco-pre-diabetes%3Futm_source%3Dmeta-ads%26utm_medium%3Dpago%26utm_campaign%3D2026_projeto-especial_consideracao_meta-ads_reels%26utm_content%3Dprojeto-especial_meta-ads_considerac" TargetMode="External"/><Relationship Id="rId357" Type="http://schemas.openxmlformats.org/officeDocument/2006/relationships/hyperlink" Target="https://www.facebook.com/ads/library/?active_status=active&amp;ad_type=all&amp;country=ALL&amp;q=Col&#233;gio%20Santa%20M&#244;nica%20-%20Bonsucesso&amp;search_type=keyword_unordered&amp;media_type=all" TargetMode="External"/><Relationship Id="rId358" Type="http://schemas.openxmlformats.org/officeDocument/2006/relationships/hyperlink" Target="https://www.facebook.com/ads/library/?active_status=active&amp;ad_type=all&amp;country=ALL&amp;q=Col&#233;gio%20Cebama&amp;search_type=keyword_unordered&amp;media_type=all" TargetMode="External"/><Relationship Id="rId359" Type="http://schemas.openxmlformats.org/officeDocument/2006/relationships/hyperlink" Target="https://l.facebook.com/l.php?u=https%3A%2F%2Fapi.whatsapp.com%2Fsend%3Ffbclid%3DIwcGRvZgFleHRuA2FlbQIxMABicmlkETFXNzlsVXpoUDVDNVVuakFSc3J0YwZhcHBfaWQPNTQxNjM5NDkzODg5MDI1AAEeomo5_C6J2q3cxfNXzkZroM0VILYhv9g6P2DO5yVgnfUBZbvhqs3M9JiYyF0_aem_ufln1sjNgmn5B-KCb" TargetMode="External"/><Relationship Id="rId360" Type="http://schemas.openxmlformats.org/officeDocument/2006/relationships/hyperlink" Target="https://www.facebook.com/ads/library/?active_status=active&amp;ad_type=all&amp;country=ALL&amp;q=Col&#233;gio%20Santa%20M&#244;nica%20-%20S&#227;o%20Gon&#231;alo&amp;search_type=keyword_unordered&amp;media_type=all" TargetMode="External"/><Relationship Id="rId361" Type="http://schemas.openxmlformats.org/officeDocument/2006/relationships/hyperlink" Target="https://www.facebook.com/ads/library/?active_status=active&amp;ad_type=all&amp;country=ALL&amp;q=Col&#233;gio%20Americano%20Guarapari&amp;search_type=keyword_unordered&amp;media_type=all" TargetMode="External"/><Relationship Id="rId362" Type="http://schemas.openxmlformats.org/officeDocument/2006/relationships/hyperlink" Target="https://l.facebook.com/l.php?u=https%3A%2F%2Famericanoguarapari.doctum.edu.br%2F%3Ffbclid%3DIwcGRvZgFleHRuA2FlbQIxMABicmlkETFXNzlsVXpoUDVDNVVuakFSc3J0YwZhcHBfaWQPNTQxNjM5NDkzODg5MDI1AAEef2Ay9JH-w62yBzipAYnGYPW8DpiIbNWtsD3FV7TbiynhJrf2FJ-gR6gVWdQ_aem_Pkwti" TargetMode="External"/><Relationship Id="rId363" Type="http://schemas.openxmlformats.org/officeDocument/2006/relationships/hyperlink" Target="https://www.facebook.com/ads/library/?active_status=active&amp;ad_type=all&amp;country=ALL&amp;q=Col&#233;gio%20Americano%20Laranjeiras&amp;search_type=keyword_unordered&amp;media_type=all" TargetMode="External"/><Relationship Id="rId364" Type="http://schemas.openxmlformats.org/officeDocument/2006/relationships/hyperlink" Target="https://l.facebook.com/l.php?u=https%3A%2F%2Famericanoserra.doctum.edu.br%2F%3Ffbclid%3DIwcGRvZgFleHRuA2FlbQIxMABicmlkETFXNzlsVXpoUDVDNVVuakFSc3J0YwZhcHBfaWQPNTQxNjM5NDkzODg5MDI1AAEeomo5_C6J2q3cxfNXzkZroM0VILYhv9g6P2DO5yVgnfUBZbvhqs3M9JiYyF0_aem_ufln1sjNg" TargetMode="External"/><Relationship Id="rId365" Type="http://schemas.openxmlformats.org/officeDocument/2006/relationships/hyperlink" Target="https://www.facebook.com/ads/library/?active_status=active&amp;ad_type=all&amp;country=ALL&amp;q=Maple%20Bear%20Brasil&amp;search_type=keyword_unordered&amp;media_type=all" TargetMode="External"/><Relationship Id="rId366" Type="http://schemas.openxmlformats.org/officeDocument/2006/relationships/hyperlink" Target="https://l.facebook.com/l.php?u=http%3A%2F%2Ffb.me%2F&amp;h=AUCSvaiFYluCrwvUX96TO9ecJ379v9Bsu66JouQzAu7aUUZDyeYE9b8QMV6oarun2-207rbUBmWF7jqojuL7PdZPXWszSHGGccjzxqyzQ9B_fsJy8oVGZ0dgxqdbH3vhl2zeEKW5H_c" TargetMode="External"/><Relationship Id="rId367" Type="http://schemas.openxmlformats.org/officeDocument/2006/relationships/hyperlink" Target="https://www.facebook.com/ads/library/?active_status=active&amp;ad_type=all&amp;country=ALL&amp;q=EadUnicv&amp;search_type=keyword_unordered&amp;media_type=all" TargetMode="External"/><Relationship Id="rId368" Type="http://schemas.openxmlformats.org/officeDocument/2006/relationships/hyperlink" Target="https://l.facebook.com/l.php?u=https%3A%2F%2Funicvedu.com.br%2Ftecnico-para-tecnologo%2F%3Ffbclid%3DIwcGRvZgFleHRuA2FlbQIxMABicmlkETFXNzlsVXpoUDVDNVVuakFSc3J0YwZhcHBfaWQPNTQxNjM5NDkzODg5MDI1AAEe6-lGHam-0fdkKTskoHoSKGSmqNV9VvipHgVFi62EM8HQmWSe7Dfh30LV9E4_a" TargetMode="External"/><Relationship Id="rId369" Type="http://schemas.openxmlformats.org/officeDocument/2006/relationships/hyperlink" Target="https://www.facebook.com/ads/library/?active_status=active&amp;ad_type=all&amp;country=ALL&amp;q=SESI%20Amazonas&amp;search_type=keyword_unordered&amp;media_type=all" TargetMode="External"/><Relationship Id="rId370" Type="http://schemas.openxmlformats.org/officeDocument/2006/relationships/hyperlink" Target="https://l.facebook.com/l.php?u=https%3A%2F%2Fforms.cloud.microsoft%2Fpages%2Fresponsepage.aspx%3Fid%3Dq0LpbeZpYEqaqYUXBxnIC04tOhEtGZhLkHOSagzAQZpUNEdWTEFGWDExSzFIUExLUDZLR1IyMUNDQi4u%26origin%3DlprLink%26route%3Dshorturl%26fbclid%3DIwcGRvZgFleHRuA2FlbQIxM" TargetMode="External"/><Relationship Id="rId371" Type="http://schemas.openxmlformats.org/officeDocument/2006/relationships/hyperlink" Target="https://www.facebook.com/ads/library/?active_status=active&amp;ad_type=all&amp;country=ALL&amp;q=Maple%20Bear%20Guarulhos&amp;search_type=keyword_unordered&amp;media_type=all" TargetMode="External"/><Relationship Id="rId372" Type="http://schemas.openxmlformats.org/officeDocument/2006/relationships/hyperlink" Target="https://api.whatsapp.com/send" TargetMode="External"/><Relationship Id="rId373" Type="http://schemas.openxmlformats.org/officeDocument/2006/relationships/hyperlink" Target="https://www.facebook.com/ads/library/?active_status=active&amp;ad_type=all&amp;country=ALL&amp;q=Educomunica&#231;&#227;o&amp;search_type=keyword_unordered&amp;media_type=all" TargetMode="External"/><Relationship Id="rId374" Type="http://schemas.openxmlformats.org/officeDocument/2006/relationships/hyperlink" Target="https://l.facebook.com/l.php?u=https%3A%2F%2Feducomunicacao.ead.guru%2F%3Ffbclid%3DIwcGRvZgFleHRuA2FlbQIxMABicmlkETFXNzlsVXpoUDVDNVVuakFSc3J0YwZhcHBfaWQPNTQxNjM5NDkzODg5MDI1AAEefbFGDO-zrlIqJQIlM89BJn9ihvjEznXMXNSN5_rYbXTZcEwyAe3CyzX9PY4_aem_CQ8R76th59r1hQ" TargetMode="External"/><Relationship Id="rId375" Type="http://schemas.openxmlformats.org/officeDocument/2006/relationships/hyperlink" Target="https://www.facebook.com/ads/library/?active_status=active&amp;ad_type=all&amp;country=ALL&amp;q=Julifadel&amp;search_type=keyword_unordered&amp;media_type=all" TargetMode="External"/><Relationship Id="rId376" Type="http://schemas.openxmlformats.org/officeDocument/2006/relationships/hyperlink" Target="https://l.facebook.com/l.php?u=http%3A%2F%2Finstagram.com%2Fjulifadel%3Ffbclid%3DIwcGRvZgFleHRuA2FlbQIxMABicmlkETFXNzlsVXpoUDVDNVVuakFSc3J0YwZhcHBfaWQPNTQxNjM5NDkzODg5MDI1AAEe6-lGHam-0fdkKTskoHoSKGSmqNV9VvipHgVFi62EM8HQmWSe7Dfh30LV9E4_aem_jPsRlTWOrr4GIBSA" TargetMode="External"/><Relationship Id="rId377" Type="http://schemas.openxmlformats.org/officeDocument/2006/relationships/hyperlink" Target="https://www.facebook.com/ads/library/?active_status=active&amp;ad_type=all&amp;country=ALL&amp;q=Objetivo%20de%20Atibaia&amp;search_type=keyword_unordered&amp;media_type=all" TargetMode="External"/><Relationship Id="rId378" Type="http://schemas.openxmlformats.org/officeDocument/2006/relationships/hyperlink" Target="https://l.facebook.com/l.php?u=http%3A%2F%2Finstagram.com%2Fobjetivoatibaia%3Ffbclid%3DIwcGRvZgFleHRuA2FlbQIxMABicmlkETFXNzlsVXpoUDVDNVVuakFSc3J0YwZhcHBfaWQPNTQxNjM5NDkzODg5MDI1AAEefnH1UbdwofpdI_CiMiZqSVSkG-E51GXidOepqY31qSthTm9SFWcX8r87ZdM_aem_92EA8pIARN" TargetMode="External"/><Relationship Id="rId379" Type="http://schemas.openxmlformats.org/officeDocument/2006/relationships/hyperlink" Target="https://www.facebook.com/ads/library/?active_status=active&amp;ad_type=all&amp;country=ALL&amp;q=Sistema%20Degraus%20de%20Ensino&amp;search_type=keyword_unordered&amp;media_type=all" TargetMode="External"/><Relationship Id="rId380" Type="http://schemas.openxmlformats.org/officeDocument/2006/relationships/hyperlink" Target="https://l.facebook.com/l.php?u=http%3A%2F%2Finstagram.com%2Fsistemadegraus%3Ffbclid%3DIwcGRvZgFleHRuA2FlbQIxMABicmlkETFXNzlsVXpoUDVDNVVuakFSc3J0YwZhcHBfaWQPNTQxNjM5NDkzODg5MDI1AAEeIbNyWNnqt2-4raZja4sSumcYQpNwnkV8H12szpx0xM1nhqpZ-pH7bYS1Jwo_aem_kq6TAF2G9pP" TargetMode="External"/><Relationship Id="rId381" Type="http://schemas.openxmlformats.org/officeDocument/2006/relationships/hyperlink" Target="https://www.facebook.com/ads/library/?active_status=active&amp;ad_type=all&amp;country=ALL&amp;q=Funda&#231;&#227;o%20Tide%20Setubal&amp;search_type=keyword_unordered&amp;media_type=all" TargetMode="External"/><Relationship Id="rId382" Type="http://schemas.openxmlformats.org/officeDocument/2006/relationships/hyperlink" Target="https://www.facebook.com/ads/library/?active_status=active&amp;ad_type=all&amp;country=ALL&amp;q=EAD%20Pleno%20S&#227;o%20Lu&#237;s&amp;search_type=keyword_unordered&amp;media_type=all" TargetMode="External"/><Relationship Id="rId383" Type="http://schemas.openxmlformats.org/officeDocument/2006/relationships/hyperlink" Target="https://l.facebook.com/l.php?u=https%3A%2F%2Fwww.poseadsaoluis.com.br%2Fcurso%2Fpos-educacao-infantil-abordagem-reggio-emilia-ead%2F%3Ffbclid%3DIwcGRvZgFleHRuA2FlbQIxMABicmlkETFXNzlsVXpoUDVDNVVuakFSc3J0YwZhcHBfaWQPNTQxNjM5NDkzODg5MDI1AAEe6-lGHam-0fdkKTsko" TargetMode="External"/><Relationship Id="rId384" Type="http://schemas.openxmlformats.org/officeDocument/2006/relationships/hyperlink" Target="https://www.facebook.com/ads/library/?active_status=active&amp;ad_type=all&amp;country=ALL&amp;q=%20%20%20%20Prof.%20Jaci%20Recursos%20Pedag&#243;gicos&amp;search_type=keyword_unordered&amp;media_type=all" TargetMode="External"/><Relationship Id="rId385" Type="http://schemas.openxmlformats.org/officeDocument/2006/relationships/hyperlink" Target="https://api.whatsapp.com/send" TargetMode="External"/><Relationship Id="rId386" Type="http://schemas.openxmlformats.org/officeDocument/2006/relationships/hyperlink" Target="https://www.facebook.com/ads/library/?active_status=active&amp;ad_type=all&amp;country=ALL&amp;q=EPEI%20Nossa%20Senhora%20Aparecida&amp;search_type=keyword_unordered&amp;media_type=all" TargetMode="External"/><Relationship Id="rId387" Type="http://schemas.openxmlformats.org/officeDocument/2006/relationships/hyperlink" Target="https://l.facebook.com/l.php?u=http%3A%2F%2Finstagram.com%2Fescolanossasenhoraparecida%3Ffbclid%3DIwcGRvZgFleHRuA2FlbQIxMABicmlkETFXNzlsVXpoUDVDNVVuakFSc3J0YwZhcHBfaWQPNTQxNjM5NDkzODg5MDI1AAEef2Ay9JH-w62yBzipAYnGYPW8DpiIbNWtsD3FV7TbiynhJrf2FJ-gR6gVWdQ_aem" TargetMode="External"/><Relationship Id="rId388" Type="http://schemas.openxmlformats.org/officeDocument/2006/relationships/hyperlink" Target="https://www.facebook.com/ads/library/?active_status=active&amp;ad_type=all&amp;country=ALL&amp;q=Instituto%20Preparat&#243;rio%20para%20Professores&amp;search_type=keyword_unordered&amp;media_type=all" TargetMode="External"/><Relationship Id="rId389" Type="http://schemas.openxmlformats.org/officeDocument/2006/relationships/hyperlink" Target="https://l.facebook.com/l.php?u=http%3A%2F%2Finstagram.com%2Finstituto.preparatorio%3Ffbclid%3DIwcGRvZgFleHRuA2FlbQIxMABicmlkETFXNzlsVXpoUDVDNVVuakFSc3J0YwZhcHBfaWQPNTQxNjM5NDkzODg5MDI1AAEemiG7ZJSZpG9eI9fq5mE7SXnRpY_yuEiuCxv85peaXE2F7vnxtjwNXuT-oUQ_aem_8O1" TargetMode="External"/><Relationship Id="rId390" Type="http://schemas.openxmlformats.org/officeDocument/2006/relationships/hyperlink" Target="https://www.facebook.com/ads/library/?active_status=active&amp;ad_type=all&amp;country=ALL&amp;q=Pallotti%20-%20Col&#233;gio%20Ant&#244;nio%20Alves%20Ramos&amp;search_type=keyword_unordered&amp;media_type=all" TargetMode="External"/><Relationship Id="rId391" Type="http://schemas.openxmlformats.org/officeDocument/2006/relationships/hyperlink" Target="https://l.facebook.com/l.php?u=http%3A%2F%2Finstagram.com%2Fcolegiopallottism%3Ffbclid%3DIwcGRvZgFleHRuA2FlbQIxMABicmlkETFXNzlsVXpoUDVDNVVuakFSc3J0YwZhcHBfaWQPNTQxNjM5NDkzODg5MDI1AAEef2Ay9JH-w62yBzipAYnGYPW8DpiIbNWtsD3FV7TbiynhJrf2FJ-gR6gVWdQ_aem_PkwtiNv2" TargetMode="External"/><Relationship Id="rId392" Type="http://schemas.openxmlformats.org/officeDocument/2006/relationships/hyperlink" Target="https://www.facebook.com/ads/library/?active_status=active&amp;ad_type=all&amp;country=ALL&amp;q=The%20Joy%20School%20Eloy%20Chaves&amp;search_type=keyword_unordered&amp;media_type=all" TargetMode="External"/><Relationship Id="rId393" Type="http://schemas.openxmlformats.org/officeDocument/2006/relationships/hyperlink" Target="https://api.whatsapp.com/send" TargetMode="External"/><Relationship Id="rId394" Type="http://schemas.openxmlformats.org/officeDocument/2006/relationships/hyperlink" Target="https://www.facebook.com/ads/library/?active_status=active&amp;ad_type=all&amp;country=ALL&amp;q=jeitoprofessoradeser&amp;search_type=keyword_unordered&amp;media_type=all" TargetMode="External"/><Relationship Id="rId395" Type="http://schemas.openxmlformats.org/officeDocument/2006/relationships/hyperlink" Target="https://l.facebook.com/l.php?u=https%3A%2F%2Fjeitoprofessoradeser.com.br%2Fproduct%2Frotina%2F%3Ffbclid%3DIwcGRvZgFleHRuA2FlbQIxMABicmlkETFXNzlsVXpoUDVDNVVuakFSc3J0YwZhcHBfaWQPNTQxNjM5NDkzODg5MDI1AAEe6-lGHam-0fdkKTskoHoSKGSmqNV9VvipHgVFi62EM8HQmWSe7Dfh30L" TargetMode="External"/><Relationship Id="rId396" Type="http://schemas.openxmlformats.org/officeDocument/2006/relationships/hyperlink" Target="https://www.facebook.com/ads/library/?active_status=active&amp;ad_type=all&amp;country=ALL&amp;q=Prime%20Cursos&amp;search_type=keyword_unordered&amp;media_type=all" TargetMode="External"/><Relationship Id="rId397" Type="http://schemas.openxmlformats.org/officeDocument/2006/relationships/hyperlink" Target="https://l.facebook.com/l.php?u=https%3A%2F%2Fwww.primecursos.com.br%2Fbusca%2F%3Ftermo%3DCreche%26search-button%3D%26fbclid%3DIwcGRvZgFleHRuA2FlbQIxMABicmlkETFXNzlsVXpoUDVDNVVuakFSc3J0YwZhcHBfaWQPNTQxNjM5NDkzODg5MDI1AAEeo6JyMjm1XPgMuTrdSlDmfT6YyerozLW2goY" TargetMode="External"/><Relationship Id="rId398" Type="http://schemas.openxmlformats.org/officeDocument/2006/relationships/hyperlink" Target="https://www.facebook.com/ads/library/?active_status=active&amp;ad_type=all&amp;country=ALL&amp;q=CEI%20Pequeno%20Anjo&amp;search_type=keyword_unordered&amp;media_type=all" TargetMode="External"/><Relationship Id="rId399" Type="http://schemas.openxmlformats.org/officeDocument/2006/relationships/hyperlink" Target="https://api.whatsapp.com/send" TargetMode="External"/><Relationship Id="rId400" Type="http://schemas.openxmlformats.org/officeDocument/2006/relationships/hyperlink" Target="https://www.facebook.com/ads/library/?active_status=active&amp;ad_type=all&amp;country=ALL&amp;q=Col&#233;gio%20Movhi&amp;search_type=keyword_unordered&amp;media_type=all" TargetMode="External"/><Relationship Id="rId401" Type="http://schemas.openxmlformats.org/officeDocument/2006/relationships/hyperlink" Target="https://l.facebook.com/l.php?u=https%3A%2F%2Fmateriais.colegiomovhi.com.br%2Fmatriculas-2026-educacao-infantil%3Ffbclid%3DIwcGRvZgFleHRuA2FlbQIxMABicmlkETFXNzlsVXpoUDVDNVVuakFSc3J0YwZhcHBfaWQPNTQxNjM5NDkzODg5MDI1AAEeo6JyMjm1XPgMuTrdSlDmfT6YyerozLW2goY7wbM" TargetMode="External"/><Relationship Id="rId402" Type="http://schemas.openxmlformats.org/officeDocument/2006/relationships/hyperlink" Target="https://www.facebook.com/ads/library/?active_status=active&amp;ad_type=all&amp;country=ALL&amp;q=Cultura%20Inglesa%20Bilingual%20School&amp;search_type=keyword_unordered&amp;media_type=all" TargetMode="External"/><Relationship Id="rId403" Type="http://schemas.openxmlformats.org/officeDocument/2006/relationships/hyperlink" Target="https://facebook.com/61590998430435" TargetMode="External"/><Relationship Id="rId404" Type="http://schemas.openxmlformats.org/officeDocument/2006/relationships/hyperlink" Target="https://www.facebook.com/ads/library/?active_status=active&amp;ad_type=all&amp;country=ALL&amp;q=Red%20Balloon%20Escola%20de%20Ingl&#234;s&amp;search_type=keyword_unordered&amp;media_type=all" TargetMode="External"/><Relationship Id="rId405" Type="http://schemas.openxmlformats.org/officeDocument/2006/relationships/hyperlink" Target="https://l.facebook.com/l.php?u=http%3A%2F%2Ffb.me%2F&amp;h=AUCSvaiFYluCrwvUX96TO9ecJ379v9Bsu66JouQzAu7aUUZDyeYE9b8QMV6oarun2-207rbUBmWF7jqojuL7PdZPXWszSHGGccjzxqyzQ9B_fsJy8oVGZ0dgxqdbH3vhl2zeEKW5H_c" TargetMode="External"/><Relationship Id="rId406" Type="http://schemas.openxmlformats.org/officeDocument/2006/relationships/hyperlink" Target="https://www.facebook.com/ads/library/?active_status=active&amp;ad_type=all&amp;country=ALL&amp;q=RosaeAzul01&amp;search_type=keyword_unordered&amp;media_type=all" TargetMode="External"/><Relationship Id="rId407" Type="http://schemas.openxmlformats.org/officeDocument/2006/relationships/hyperlink" Target="https://api.whatsapp.com/send" TargetMode="External"/><Relationship Id="rId408" Type="http://schemas.openxmlformats.org/officeDocument/2006/relationships/hyperlink" Target="https://www.facebook.com/ads/library/?active_status=active&amp;ad_type=all&amp;country=ALL&amp;q=Col&#233;gio%20Tutor&amp;search_type=keyword_unordered&amp;media_type=all" TargetMode="External"/><Relationship Id="rId409" Type="http://schemas.openxmlformats.org/officeDocument/2006/relationships/hyperlink" Target="https://l.facebook.com/l.php?u=https%3A%2F%2Fmatriculas26.colegiotutor.com.br%2Ftutor-educacao-infantil%3Futm_source%3Dfacebook%26utm_medium%3Dcpc%26utm_campaign%3Dmontessori%26fbclid%3DIwcGRvZgFleHRuA2FlbQIxMABicmlkETFXNzlsVXpoUDVDNVVuakFSc3J0YwZhcHBfaWQ" TargetMode="External"/><Relationship Id="rId410" Type="http://schemas.openxmlformats.org/officeDocument/2006/relationships/hyperlink" Target="https://www.facebook.com/ads/library/?active_status=active&amp;ad_type=all&amp;country=ALL&amp;q=Ensinar%20e%20Transformar&amp;search_type=keyword_unordered&amp;media_type=all" TargetMode="External"/><Relationship Id="rId411" Type="http://schemas.openxmlformats.org/officeDocument/2006/relationships/hyperlink" Target="https://l.facebook.com/l.php?u=https%3A%2F%2Fensinaretransformar.com.br%2Fditados-que-fazem-pensar%2Fpv%3Ffbclid%3DIwcGRvZgFleHRuA2FlbQIxMABicmlkETFXNzlsVXpoUDVDNVVuakFSc3J0YwZhcHBfaWQPNTQxNjM5NDkzODg5MDI1AAEeH1AJh0vlnF3AlOcgu47q8hasJKuoUFcuVs3sw1Tqc3snFg" TargetMode="External"/><Relationship Id="rId412" Type="http://schemas.openxmlformats.org/officeDocument/2006/relationships/hyperlink" Target="https://www.facebook.com/ads/library/?active_status=active&amp;ad_type=all&amp;country=ALL&amp;q=Prof%20Decorativa&amp;search_type=keyword_unordered&amp;media_type=all" TargetMode="External"/><Relationship Id="rId413" Type="http://schemas.openxmlformats.org/officeDocument/2006/relationships/hyperlink" Target="https://l.facebook.com/l.php?u=https%3A%2F%2Fprofdecorativa.com.br%2Fproduto%2Fdescubra-o-numero%2F%3Ffbclid%3DIwcGRvZgFleHRuA2FlbQIxMABicmlkETFXNzlsVXpoUDVDNVVuakFSc3J0YwZhcHBfaWQPNTQxNjM5NDkzODg5MDI1AAEef2Ay9JH-w62yBzipAYnGYPW8DpiIbNWtsD3FV7TbiynhJrf2FJ" TargetMode="External"/><Relationship Id="rId414" Type="http://schemas.openxmlformats.org/officeDocument/2006/relationships/hyperlink" Target="https://www.facebook.com/ads/library/?active_status=active&amp;ad_type=all&amp;country=ALL&amp;q=FTD%20PNLD&amp;search_type=keyword_unordered&amp;media_type=all" TargetMode="External"/><Relationship Id="rId415" Type="http://schemas.openxmlformats.org/officeDocument/2006/relationships/hyperlink" Target="https://l.facebook.com/l.php?u=https%3A%2F%2Fpnld.ftd.com.br%2Fguia-digital%2Fensino-fundamental-anos-iniciais-2027%2F%3Futm_source%3Dmeta%26utm_medium%3Dcpv%26utm_campaign%3Dpnld_ensino_fundamental_anos_iniciais%26utm_id%3Dreconhecimento%26utm_term%3Dpro" TargetMode="External"/><Relationship Id="rId416" Type="http://schemas.openxmlformats.org/officeDocument/2006/relationships/hyperlink" Target="https://www.facebook.com/ads/library/?active_status=active&amp;ad_type=all&amp;country=ALL&amp;q=Col&#233;gio%20Nova%20Gera&#231;&#227;o&amp;search_type=keyword_unordered&amp;media_type=all" TargetMode="External"/><Relationship Id="rId417" Type="http://schemas.openxmlformats.org/officeDocument/2006/relationships/hyperlink" Target="https://l.facebook.com/l.php?u=https%3A%2F%2Fapi.whatsapp.com%2Fsend%3Ffbclid%3DIwcGRvZgFleHRuA2FlbQIxMABicmlkETFXNzlsVXpoUDVDNVVuakFSc3J0YwZhcHBfaWQPNTQxNjM5NDkzODg5MDI1AAEeo6JyMjm1XPgMuTrdSlDmfT6YyerozLW2goY7wbM4vUwq0i3rwsBPh9wXcW0_aem_Bbd3xtFGd99neFp52" TargetMode="External"/><Relationship Id="rId418" Type="http://schemas.openxmlformats.org/officeDocument/2006/relationships/hyperlink" Target="https://www.facebook.com/ads/library/?active_status=active&amp;ad_type=all&amp;country=ALL&amp;q=Prof%20Juliana%20&amp;search_type=keyword_unordered&amp;media_type=all" TargetMode="External"/><Relationship Id="rId419" Type="http://schemas.openxmlformats.org/officeDocument/2006/relationships/hyperlink" Target="https://api.whatsapp.com/send" TargetMode="External"/><Relationship Id="rId420" Type="http://schemas.openxmlformats.org/officeDocument/2006/relationships/hyperlink" Target="https://www.facebook.com/ads/library/?active_status=active&amp;ad_type=all&amp;country=ALL&amp;q=Col&#233;gio%20Nossa%20Senhora%20da%20Concei&#231;&#227;o&amp;search_type=keyword_unordered&amp;media_type=all" TargetMode="External"/><Relationship Id="rId421" Type="http://schemas.openxmlformats.org/officeDocument/2006/relationships/hyperlink" Target="https://l.facebook.com/l.php?u=http%3A%2F%2Finstagram.com%2Fcnscsalvador%3Ffbclid%3DIwcGRvZgFleHRuA2FlbQIxMABicmlkETFXNzlsVXpoUDVDNVVuakFSc3J0YwZhcHBfaWQPNTQxNjM5NDkzODg5MDI1AAEef2Ay9JH-w62yBzipAYnGYPW8DpiIbNWtsD3FV7TbiynhJrf2FJ-gR6gVWdQ_aem_PkwtiNv2ICYFU" TargetMode="External"/><Relationship Id="rId422" Type="http://schemas.openxmlformats.org/officeDocument/2006/relationships/hyperlink" Target="https://www.facebook.com/ads/library/?active_status=active&amp;ad_type=all&amp;country=ALL&amp;q=Amo.alfabetizar&amp;search_type=keyword_unordered&amp;media_type=all" TargetMode="External"/><Relationship Id="rId423" Type="http://schemas.openxmlformats.org/officeDocument/2006/relationships/hyperlink" Target="https://api.whatsapp.com/send" TargetMode="External"/><Relationship Id="rId424" Type="http://schemas.openxmlformats.org/officeDocument/2006/relationships/hyperlink" Target="https://www.facebook.com/ads/library/?active_status=active&amp;ad_type=all&amp;country=ALL&amp;q=Col&#233;gio%2024%20de%20Maio&amp;search_type=keyword_unordered&amp;media_type=all" TargetMode="External"/><Relationship Id="rId425" Type="http://schemas.openxmlformats.org/officeDocument/2006/relationships/hyperlink" Target="https://api.whatsapp.com/send?phone=5511980162718" TargetMode="External"/><Relationship Id="rId426" Type="http://schemas.openxmlformats.org/officeDocument/2006/relationships/hyperlink" Target="https://www.facebook.com/ads/library/?active_status=active&amp;ad_type=all&amp;country=ALL&amp;q=Escola%20Op&#231;&#227;o%20Kids&amp;search_type=keyword_unordered&amp;media_type=all" TargetMode="External"/><Relationship Id="rId427" Type="http://schemas.openxmlformats.org/officeDocument/2006/relationships/hyperlink" Target="https://api.whatsapp.com/send" TargetMode="External"/><Relationship Id="rId428" Type="http://schemas.openxmlformats.org/officeDocument/2006/relationships/hyperlink" Target="https://www.facebook.com/ads/library/?active_status=active&amp;ad_type=all&amp;country=ALL&amp;q=Bolacha%20Pedag&#243;gica&amp;search_type=keyword_unordered&amp;media_type=all" TargetMode="External"/><Relationship Id="rId429" Type="http://schemas.openxmlformats.org/officeDocument/2006/relationships/hyperlink" Target="https://l.facebook.com/l.php?u=http%3A%2F%2Finstagram.com%2Fbolacha_pedagogica%3Ffbclid%3DIwcGRvZgFleHRuA2FlbQIxMABicmlkETFXNzlsVXpoUDVDNVVuakFSc3J0YwZhcHBfaWQPNTQxNjM5NDkzODg5MDI1AAEeIbNyWNnqt2-4raZja4sSumcYQpNwnkV8H12szpx0xM1nhqpZ-pH7bYS1Jwo_aem_kq6TAF2" TargetMode="External"/><Relationship Id="rId430" Type="http://schemas.openxmlformats.org/officeDocument/2006/relationships/hyperlink" Target="https://www.facebook.com/ads/library/?active_status=active&amp;ad_type=all&amp;country=ALL&amp;q=Criar%20e%20Alfabetizar%20Site&amp;search_type=keyword_unordered&amp;media_type=all" TargetMode="External"/><Relationship Id="rId431" Type="http://schemas.openxmlformats.org/officeDocument/2006/relationships/hyperlink" Target="https://l.facebook.com/l.php?u=https%3A%2F%2Fcriarealfabetizar.com%2Fshop%2Fatividades%2Ftirinhas-parlendas-e-cantigas%2F%3Ffbclid%3DIwcGRvZgFleHRuA2FlbQIxMABicmlkETFXNzlsVXpoUDVDNVVuakFSc3J0YwZhcHBfaWQPNTQxNjM5NDkzODg5MDI1AAEe6-lGHam-0fdkKTskoHoSKGSmqNV9" TargetMode="External"/><Relationship Id="rId432" Type="http://schemas.openxmlformats.org/officeDocument/2006/relationships/hyperlink" Target="https://www.facebook.com/ads/library/?active_status=active&amp;ad_type=all&amp;country=ALL&amp;q=Col&#233;gio%20Davina%20Gasparini&amp;search_type=keyword_unordered&amp;media_type=all" TargetMode="External"/><Relationship Id="rId433" Type="http://schemas.openxmlformats.org/officeDocument/2006/relationships/hyperlink" Target="https://l.facebook.com/l.php?u=http%3A%2F%2Finstagram.com%2Fdavinagasparini%3Ffbclid%3DIwcGRvZgFleHRuA2FlbQIxMABicmlkETFXNzlsVXpoUDVDNVVuakFSc3J0YwZhcHBfaWQPNTQxNjM5NDkzODg5MDI1AAEeo6JyMjm1XPgMuTrdSlDmfT6YyerozLW2goY7wbM4vUwq0i3rwsBPh9wXcW0_aem_Bbd3xtFGd9" TargetMode="External"/><Relationship Id="rId434" Type="http://schemas.openxmlformats.org/officeDocument/2006/relationships/hyperlink" Target="https://www.facebook.com/ads/library/?active_status=active&amp;ad_type=all&amp;country=ALL&amp;q=Escola%20Colmeia&amp;search_type=keyword_unordered&amp;media_type=all" TargetMode="External"/><Relationship Id="rId435" Type="http://schemas.openxmlformats.org/officeDocument/2006/relationships/hyperlink" Target="https://l.facebook.com/l.php?u=http%3A%2F%2Ffb.me%2F&amp;h=AUCSvaiFYluCrwvUX96TO9ecJ379v9Bsu66JouQzAu7aUUZDyeYE9b8QMV6oarun2-207rbUBmWF7jqojuL7PdZPXWszSHGGccjzxqyzQ9B_fsJy8oVGZ0dgxqdbH3vhl2zeEKW5H_c" TargetMode="External"/><Relationship Id="rId436" Type="http://schemas.openxmlformats.org/officeDocument/2006/relationships/hyperlink" Target="https://www.facebook.com/ads/library/?active_status=active&amp;ad_type=all&amp;country=ALL&amp;q=Irium%20Educa&#231;&#227;o&amp;search_type=keyword_unordered&amp;media_type=all" TargetMode="External"/><Relationship Id="rId437" Type="http://schemas.openxmlformats.org/officeDocument/2006/relationships/hyperlink" Target="https://l.facebook.com/l.php?u=http%3A%2F%2Ffb.me%2F&amp;h=AUCSvaiFYluCrwvUX96TO9ecJ379v9Bsu66JouQzAu7aUUZDyeYE9b8QMV6oarun2-207rbUBmWF7jqojuL7PdZPXWszSHGGccjzxqyzQ9B_fsJy8oVGZ0dgxqdbH3vhl2zeEKW5H_c" TargetMode="External"/><Relationship Id="rId438" Type="http://schemas.openxmlformats.org/officeDocument/2006/relationships/hyperlink" Target="https://www.facebook.com/ads/library/?active_status=active&amp;ad_type=all&amp;country=ALL&amp;q=Poliedro%20Col&#233;gio&amp;search_type=keyword_unordered&amp;media_type=all" TargetMode="External"/><Relationship Id="rId439" Type="http://schemas.openxmlformats.org/officeDocument/2006/relationships/hyperlink" Target="https://l.facebook.com/l.php?u=https%3A%2F%2Fwww.colegiopoliedro.com.br%2Fetapas%2Feducacao-infantil%2F%3Ffbclid%3DIwcGRvZgFleHRuA2FlbQIxMABicmlkETFXNzlsVXpoUDVDNVVuakFSc3J0YwZhcHBfaWQPNTQxNjM5NDkzODg5MDI1AAEemiG7ZJSZpG9eI9fq5mE7SXnRpY_yuEiuCxv85peaXE2F7v" TargetMode="External"/><Relationship Id="rId440" Type="http://schemas.openxmlformats.org/officeDocument/2006/relationships/hyperlink" Target="https://www.facebook.com/ads/library/?active_status=active&amp;ad_type=all&amp;country=ALL&amp;q=Col&#233;gio%20Dom%20Castello%20Objetivo%20Ourinhos&amp;search_type=keyword_unordered&amp;media_type=all" TargetMode="External"/><Relationship Id="rId441" Type="http://schemas.openxmlformats.org/officeDocument/2006/relationships/hyperlink" Target="https://api.whatsapp.com/send" TargetMode="External"/><Relationship Id="rId442" Type="http://schemas.openxmlformats.org/officeDocument/2006/relationships/hyperlink" Target="https://www.facebook.com/ads/library/?active_status=active&amp;ad_type=all&amp;country=ALL&amp;q=Clube%20Educa&#231;&#227;o%20F&#237;sica&amp;search_type=keyword_unordered&amp;media_type=all" TargetMode="External"/><Relationship Id="rId443" Type="http://schemas.openxmlformats.org/officeDocument/2006/relationships/hyperlink" Target="https://l.facebook.com/l.php?u=https%3A%2F%2Fpay.kiwify.com.br%2FS4017OX%3Ffbclid%3DIwcGRvZgFleHRuA2FlbQIxMABicmlkETFXNzlsVXpoUDVDNVVuakFSc3J0YwZhcHBfaWQPNTQxNjM5NDkzODg5MDI1AAEeo6JyMjm1XPgMuTrdSlDmfT6YyerozLW2goY7wbM4vUwq0i3rwsBPh9wXcW0_aem_Bbd3xtFGd99ne" TargetMode="External"/><Relationship Id="rId444" Type="http://schemas.openxmlformats.org/officeDocument/2006/relationships/hyperlink" Target="https://www.facebook.com/ads/library/?active_status=active&amp;ad_type=all&amp;country=ALL&amp;q=Col&#233;gio%20Cat&#243;lica%20Curitiba&amp;search_type=keyword_unordered&amp;media_type=all" TargetMode="External"/><Relationship Id="rId445" Type="http://schemas.openxmlformats.org/officeDocument/2006/relationships/hyperlink" Target="https://l.facebook.com/l.php?u=https%3A%2F%2Flp.curitiba.catolica.edu.br%2Fmatriculas%2F%3Futm_campaign%3Dcolegio_catolica_curitiba_matriculas_2027%26utm_medium%3Dpost_trafego%26utm_source%3Dpublya_meta%26utm_term%3Dimg_1080x1920%26utm_content%3Dpost_1%26" TargetMode="External"/><Relationship Id="rId446" Type="http://schemas.openxmlformats.org/officeDocument/2006/relationships/hyperlink" Target="https://www.facebook.com/ads/library/?active_status=active&amp;ad_type=all&amp;country=ALL&amp;q=Col&#233;gio%20Positivo&amp;search_type=keyword_unordered&amp;media_type=all" TargetMode="External"/><Relationship Id="rId447" Type="http://schemas.openxmlformats.org/officeDocument/2006/relationships/hyperlink" Target="https://l.facebook.com/l.php?u=https%3A%2F%2Fcolegiopositivo.com.br%2F%3Ffbclid%3DIwcGRvZgFleHRuA2FlbQIxMABicmlkETFXNzlsVXpoUDVDNVVuakFSc3J0YwZhcHBfaWQPNTQxNjM5NDkzODg5MDI1AAEeIbNyWNnqt2-4raZja4sSumcYQpNwnkV8H12szpx0xM1nhqpZ-pH7bYS1Jwo_aem_kq6TAF2G9pPUEJN" TargetMode="External"/><Relationship Id="rId448" Type="http://schemas.openxmlformats.org/officeDocument/2006/relationships/hyperlink" Target="https://www.facebook.com/ads/library/?active_status=active&amp;ad_type=all&amp;country=ALL&amp;q=Escola%20de%20Educa&#231;&#227;o%20Infantil%20Amor%20Educa%20-%20S&#227;o%20Bento&amp;search_type=keyword_unordered&amp;media_type=all" TargetMode="External"/><Relationship Id="rId449" Type="http://schemas.openxmlformats.org/officeDocument/2006/relationships/hyperlink" Target="https://www.facebook.com/ads/library/?active_status=active&amp;ad_type=all&amp;country=ALL&amp;q=Maple%20Bear%20Santa%20Rosa&amp;search_type=keyword_unordered&amp;media_type=all" TargetMode="External"/><Relationship Id="rId450" Type="http://schemas.openxmlformats.org/officeDocument/2006/relationships/hyperlink" Target="https://l.facebook.com/l.php?u=https%3A%2F%2Fwww.instagram.com%2Fmaplebearniteroi.middle%2F%3Ffbclid%3DIwcGRvZgFleHRuA2FlbQIxMABicmlkETFXNzlsVXpoUDVDNVVuakFSc3J0YwZhcHBfaWQPNTQxNjM5NDkzODg5MDI1AAEei-7k0OCV6rulAxe8m7jBCbQ9cA8KiGcW5XYIS0hD0RgB02J221k76asUC-" TargetMode="External"/><Relationship Id="rId451" Type="http://schemas.openxmlformats.org/officeDocument/2006/relationships/hyperlink" Target="https://www.facebook.com/ads/library/?active_status=active&amp;ad_type=all&amp;country=ALL&amp;q=Aprende%20Brasil%20Educa&#231;&#227;o&amp;search_type=keyword_unordered&amp;media_type=all" TargetMode="External"/><Relationship Id="rId452" Type="http://schemas.openxmlformats.org/officeDocument/2006/relationships/hyperlink" Target="https://l.facebook.com/l.php?u=https%3A%2F%2Fsistemaname.com.br%2F%3Ffbclid%3DIwcGRvZgFleHRuA2FlbQIxMABicmlkETFXNzlsVXpoUDVDNVVuakFSc3J0YwZhcHBfaWQPNTQxNjM5NDkzODg5MDI1AAEeH1AJh0vlnF3AlOcgu47q8hasJKuoUFcuVs3sw1Tqc3snFg8RJeOheD-ct6c_aem_PtSsOKEOGa3vWkiK9CL" TargetMode="External"/><Relationship Id="rId453" Type="http://schemas.openxmlformats.org/officeDocument/2006/relationships/hyperlink" Target="https://www.facebook.com/ads/library/?active_status=active&amp;ad_type=all&amp;country=ALL&amp;q=Col&#233;gio%20Christus&amp;search_type=keyword_unordered&amp;media_type=all" TargetMode="External"/><Relationship Id="rId454" Type="http://schemas.openxmlformats.org/officeDocument/2006/relationships/hyperlink" Target="https://l.facebook.com/l.php?u=http%3A%2F%2Finstagram.com%2Fcolegiochristus%3Ffbclid%3DIwcGRvZgFleHRuA2FlbQIxMABicmlkETFXNzlsVXpoUDVDNVVuakFSc3J0YwZhcHBfaWQPNTQxNjM5NDkzODg5MDI1AAEeo6JyMjm1XPgMuTrdSlDmfT6YyerozLW2goY7wbM4vUwq0i3rwsBPh9wXcW0_aem_Bbd3xtFGd9" TargetMode="External"/><Relationship Id="rId455" Type="http://schemas.openxmlformats.org/officeDocument/2006/relationships/hyperlink" Target="https://www.facebook.com/ads/library/?active_status=active&amp;ad_type=all&amp;country=ALL&amp;q=CPR%20Col&#233;gio%20Pedro%20e%20Rafael&amp;search_type=keyword_unordered&amp;media_type=all" TargetMode="External"/><Relationship Id="rId456" Type="http://schemas.openxmlformats.org/officeDocument/2006/relationships/hyperlink" Target="https://l.facebook.com/l.php?u=http%3A%2F%2Ffb.me%2F&amp;h=AUCSvaiFYluCrwvUX96TO9ecJ379v9Bsu66JouQzAu7aUUZDyeYE9b8QMV6oarun2-207rbUBmWF7jqojuL7PdZPXWszSHGGccjzxqyzQ9B_fsJy8oVGZ0dgxqdbH3vhl2zeEKW5H_c" TargetMode="External"/><Relationship Id="rId457" Type="http://schemas.openxmlformats.org/officeDocument/2006/relationships/hyperlink" Target="https://www.facebook.com/ads/library/?active_status=active&amp;ad_type=all&amp;country=ALL&amp;q=Col&#233;gio%20&#193;baco&amp;search_type=keyword_unordered&amp;media_type=all" TargetMode="External"/><Relationship Id="rId458" Type="http://schemas.openxmlformats.org/officeDocument/2006/relationships/hyperlink" Target="https://l.facebook.com/l.php?u=http%3A%2F%2Fwww.colegioabaco.com.br%2Fmatriculas2027%3Ffbclid%3DIwcGRvZgFleHRuA2FlbQIxMABicmlkETFXNzlsVXpoUDVDNVVuakFSc3J0YwZhcHBfaWQPNTQxNjM5NDkzODg5MDI1AAEeH1AJh0vlnF3AlOcgu47q8hasJKuoUFcuVs3sw1Tqc3snFg8RJeOheD-ct6c_aem_P" TargetMode="External"/><Relationship Id="rId459" Type="http://schemas.openxmlformats.org/officeDocument/2006/relationships/hyperlink" Target="https://www.facebook.com/ads/library/?active_status=active&amp;ad_type=all&amp;country=ALL&amp;q=International%20School&amp;search_type=keyword_unordered&amp;media_type=all" TargetMode="External"/><Relationship Id="rId460" Type="http://schemas.openxmlformats.org/officeDocument/2006/relationships/hyperlink" Target="https://l.facebook.com/l.php?u=https%3A%2F%2Finternationalschool.global%2Fseja-nosso-parceiro%2F%3Futm_source%3D%257B%257Bsite_source_name%257D%257D%26utm_medium%3Dcpa%26utm_campaign%3Dis_meta_jul26_awa_awareness-institucional_v1%26utm_term%3Dis_video_1_l" TargetMode="External"/><Relationship Id="rId461" Type="http://schemas.openxmlformats.org/officeDocument/2006/relationships/hyperlink" Target="https://www.facebook.com/ads/library/?active_status=active&amp;ad_type=all&amp;country=ALL&amp;q=Tudo%20para%20o%20Professor&amp;search_type=keyword_unordered&amp;media_type=all" TargetMode="External"/><Relationship Id="rId462" Type="http://schemas.openxmlformats.org/officeDocument/2006/relationships/hyperlink" Target="https://l.facebook.com/l.php?u=https%3A%2F%2Ftudoparaoprofessor.com.br%2Fproduto%2Fpainel-semana-farroupilha%2F%3Futm_source%3Dmeta_andromeda_RS%26utm_medium%3Dpainel-semana-farroupilha%26utm_id%3Dmeta_painel-semana-farroupilha%26fbclid%3DIwcGRvZgFleHRuA2" TargetMode="External"/><Relationship Id="rId463" Type="http://schemas.openxmlformats.org/officeDocument/2006/relationships/hyperlink" Target="https://www.facebook.com/ads/library/?active_status=active&amp;ad_type=all&amp;country=ALL&amp;q=Maple%20Bear%20Recreio&amp;search_type=keyword_unordered&amp;media_type=all" TargetMode="External"/><Relationship Id="rId464" Type="http://schemas.openxmlformats.org/officeDocument/2006/relationships/hyperlink" Target="https://api.whatsapp.com/send" TargetMode="External"/><Relationship Id="rId465" Type="http://schemas.openxmlformats.org/officeDocument/2006/relationships/hyperlink" Target="https://www.facebook.com/ads/library/?active_status=active&amp;ad_type=all&amp;country=ALL&amp;q=Col&#233;gio%20DOM%20de%20Educar&amp;search_type=keyword_unordered&amp;media_type=all" TargetMode="External"/><Relationship Id="rId466" Type="http://schemas.openxmlformats.org/officeDocument/2006/relationships/hyperlink" Target="https://api.whatsapp.com/send" TargetMode="External"/><Relationship Id="rId467" Type="http://schemas.openxmlformats.org/officeDocument/2006/relationships/hyperlink" Target="https://www.facebook.com/ads/library/?active_status=active&amp;ad_type=all&amp;country=ALL&amp;q=Imagine%20S&#243;%20Educa&#231;&#227;o%20Infantil&amp;search_type=keyword_unordered&amp;media_type=all" TargetMode="External"/><Relationship Id="rId468" Type="http://schemas.openxmlformats.org/officeDocument/2006/relationships/hyperlink" Target="https://l.facebook.com/l.php?u=https%3A%2F%2Finstagram.com%2Fescolaimagineso%3Ffbclid%3DIwcGRvZgFleHRuA2FlbQIxMABicmlkETFXNzlsVXpoUDVDNVVuakFSc3J0YwZhcHBfaWQPNTQxNjM5NDkzODg5MDI1AAEefbFGDO-zrlIqJQIlM89BJn9ihvjEznXMXNSN5_rYbXTZcEwyAe3CyzX9PY4_aem_CQ8R76th5" TargetMode="External"/><Relationship Id="rId469" Type="http://schemas.openxmlformats.org/officeDocument/2006/relationships/hyperlink" Target="https://www.facebook.com/ads/library/?active_status=active&amp;ad_type=all&amp;country=ALL&amp;q=Estev&#227;o%20Torres&amp;search_type=keyword_unordered&amp;media_type=all" TargetMode="External"/><Relationship Id="rId470" Type="http://schemas.openxmlformats.org/officeDocument/2006/relationships/hyperlink" Target="https://l.facebook.com/l.php?u=https%3A%2F%2Fsite.arquivopratico.online%2Fatv-autistas-6-ao-9%3Ffbclid%3DIwcGRvZgFleHRuA2FlbQIxMABicmlkETFXNzlsVXpoUDVDNVVuakFSc3J0YwZhcHBfaWQPNTQxNjM5NDkzODg5MDI1AAEemiG7ZJSZpG9eI9fq5mE7SXnRpY_yuEiuCxv85peaXE2F7vnxtjwNXuT-" TargetMode="External"/><Relationship Id="rId471" Type="http://schemas.openxmlformats.org/officeDocument/2006/relationships/hyperlink" Target="https://www.facebook.com/ads/library/?active_status=active&amp;ad_type=all&amp;country=ALL&amp;q=Col&#233;gio%20Santa%20Maria%20Minas&amp;search_type=keyword_unordered&amp;media_type=all" TargetMode="External"/><Relationship Id="rId472" Type="http://schemas.openxmlformats.org/officeDocument/2006/relationships/hyperlink" Target="https://l.facebook.com/l.php?u=https%3A%2F%2Fsantamaria.pucminas.br%2Fadmissao-de-novos-alunos%2F%3Futm_source%3Dmeta%26utm_medium%3Dcpc%26utm_campaign%3Dadm2027_rede_integral_fundo%26utm_content%3Dgeral-carrossel-geral-1080x1920%26fbclid%3DIwcGRvZgFleHRu" TargetMode="External"/><Relationship Id="rId473" Type="http://schemas.openxmlformats.org/officeDocument/2006/relationships/hyperlink" Target="https://www.facebook.com/ads/library/?active_status=active&amp;ad_type=all&amp;country=ALL&amp;q=EducaPr&#225;tica&amp;search_type=keyword_unordered&amp;media_type=all" TargetMode="External"/><Relationship Id="rId474" Type="http://schemas.openxmlformats.org/officeDocument/2006/relationships/hyperlink" Target="https://api.whatsapp.com/send" TargetMode="External"/><Relationship Id="rId475" Type="http://schemas.openxmlformats.org/officeDocument/2006/relationships/hyperlink" Target="https://www.facebook.com/ads/library/?active_status=active&amp;ad_type=all&amp;country=ALL&amp;q=SAS%20Plataforma%20de%20Educa&#231;&#227;o&amp;search_type=keyword_unordered&amp;media_type=all" TargetMode="External"/><Relationship Id="rId476" Type="http://schemas.openxmlformats.org/officeDocument/2006/relationships/hyperlink" Target="https://l.facebook.com/l.php?u=http%3A%2F%2Ffb.me%2F&amp;h=AUCSvaiFYluCrwvUX96TO9ecJ379v9Bsu66JouQzAu7aUUZDyeYE9b8QMV6oarun2-207rbUBmWF7jqojuL7PdZPXWszSHGGccjzxqyzQ9B_fsJy8oVGZ0dgxqdbH3vhl2zeEKW5H_c" TargetMode="External"/><Relationship Id="rId477" Type="http://schemas.openxmlformats.org/officeDocument/2006/relationships/hyperlink" Target="https://www.facebook.com/ads/library/?active_status=active&amp;ad_type=all&amp;country=ALL&amp;q=Escola%20Crist&#227;%20Gomes&amp;search_type=keyword_unordered&amp;media_type=all" TargetMode="External"/><Relationship Id="rId478" Type="http://schemas.openxmlformats.org/officeDocument/2006/relationships/hyperlink" Target="https://www.facebook.com/ads/library/?active_status=active&amp;ad_type=all&amp;country=ALL&amp;q=Eduhot%20Cursos%20Online&amp;search_type=keyword_unordered&amp;media_type=all" TargetMode="External"/><Relationship Id="rId479" Type="http://schemas.openxmlformats.org/officeDocument/2006/relationships/hyperlink" Target="https://l.facebook.com/l.php?u=https%3A%2F%2Feduhot.com.br%2Fcursos%2Finfo%2F120%2Fenfermagem-em-servicos-pediatricos-e-neonatais%3Ffbclid%3DIwcGRvZgFleHRuA2FlbQIxMABicmlkETFXNzlsVXpoUDVDNVVuakFSc3J0YwZhcHBfaWQPNTQxNjM5NDkzODg5MDI1AAEeH1AJh0vlnF3AlOcgu47q" TargetMode="External"/><Relationship Id="rId480" Type="http://schemas.openxmlformats.org/officeDocument/2006/relationships/hyperlink" Target="https://www.facebook.com/ads/library/?active_status=active&amp;ad_type=all&amp;country=ALL&amp;q=Aprendendo%20para%20Ensinar&amp;search_type=keyword_unordered&amp;media_type=all" TargetMode="External"/><Relationship Id="rId481" Type="http://schemas.openxmlformats.org/officeDocument/2006/relationships/hyperlink" Target="https://l.facebook.com/l.php?u=https%3A%2F%2Flnk.bio%2Faprendendoparaensinar%3Ffbclid%3DIwcGRvZgFleHRuA2FlbQIxMABicmlkETFXNzlsVXpoUDVDNVVuakFSc3J0YwZhcHBfaWQPNTQxNjM5NDkzODg5MDI1AAEei-7k0OCV6rulAxe8m7jBCbQ9cA8KiGcW5XYIS0hD0RgB02J221k76asUC-Q_aem_r7SThfJaU" TargetMode="External"/><Relationship Id="rId482" Type="http://schemas.openxmlformats.org/officeDocument/2006/relationships/hyperlink" Target="https://www.facebook.com/ads/library/?active_status=active&amp;ad_type=all&amp;country=ALL&amp;q=Mundo%20Pedag&#243;gico%20Prof&#170;%20Greice%20Moura&amp;search_type=keyword_unordered&amp;media_type=all" TargetMode="External"/><Relationship Id="rId483" Type="http://schemas.openxmlformats.org/officeDocument/2006/relationships/hyperlink" Target="https://l.facebook.com/l.php?u=https%3A%2F%2Fmundopedagogicogm.com.br%2Fproduto%2Fcantinho-da-calma%2F%3Ffbclid%3DIwcGRvZgFleHRuA2FlbQIxMABicmlkETFXNzlsVXpoUDVDNVVuakFSc3J0YwZhcHBfaWQPNTQxNjM5NDkzODg5MDI1AAEei-7k0OCV6rulAxe8m7jBCbQ9cA8KiGcW5XYIS0hD0RgB02J" TargetMode="External"/><Relationship Id="rId484" Type="http://schemas.openxmlformats.org/officeDocument/2006/relationships/hyperlink" Target="https://www.facebook.com/ads/library/?active_status=active&amp;ad_type=all&amp;country=ALL&amp;q=teterecoss&amp;search_type=keyword_unordered&amp;media_type=all" TargetMode="External"/><Relationship Id="rId485" Type="http://schemas.openxmlformats.org/officeDocument/2006/relationships/hyperlink" Target="https://l.facebook.com/l.php?u=https%3A%2F%2Fteterecoss.com.br%2Fproduto%2Fcantinho-da-leitura-arvore-grande%2F%3Ffbclid%3DIwcGRvZgFleHRuA2FlbQIxMABicmlkETFXNzlsVXpoUDVDNVVuakFSc3J0YwZhcHBfaWQPNTQxNjM5NDkzODg5MDI1AAEefbFGDO-zrlIqJQIlM89BJn9ihvjEznXMXNSN5_" TargetMode="External"/><Relationship Id="rId486" Type="http://schemas.openxmlformats.org/officeDocument/2006/relationships/hyperlink" Target="https://www.facebook.com/ads/library/?active_status=active&amp;ad_type=all&amp;country=ALL&amp;q=Escola%20SEB%20Dom%20Bosco&amp;search_type=keyword_unordered&amp;media_type=all" TargetMode="External"/><Relationship Id="rId487" Type="http://schemas.openxmlformats.org/officeDocument/2006/relationships/hyperlink" Target="https://l.facebook.com/l.php?u=https%3A%2F%2Flp.curitiba-dombosco.escolaseb.com.br%2Fagendamento%3Ffbclid%3DIwcGRvZgFleHRuA2FlbQIxMABicmlkETFXNzlsVXpoUDVDNVVuakFSc3J0YwZhcHBfaWQPNTQxNjM5NDkzODg5MDI1AAEefbFGDO-zrlIqJQIlM89BJn9ihvjEznXMXNSN5_rYbXTZcEwyAe3Cy" TargetMode="External"/><Relationship Id="rId488" Type="http://schemas.openxmlformats.org/officeDocument/2006/relationships/hyperlink" Target="https://www.facebook.com/ads/library/?active_status=active&amp;ad_type=all&amp;country=ALL&amp;q=Col&#233;gio%20Santa%20Maria&amp;search_type=keyword_unordered&amp;media_type=all" TargetMode="External"/><Relationship Id="rId489" Type="http://schemas.openxmlformats.org/officeDocument/2006/relationships/hyperlink" Target="https://l.facebook.com/l.php?u=https%3A%2F%2Flp.colegiosantamaria.com.br%2Fagende-uma-visita%3Ffbclid%3DIwcGRvZgFleHRuA2FlbQIxMABicmlkETFXNzlsVXpoUDVDNVVuakFSc3J0YwZhcHBfaWQPNTQxNjM5NDkzODg5MDI1AAEeomo5_C6J2q3cxfNXzkZroM0VILYhv9g6P2DO5yVgnfUBZbvhqs3M9JiYy" TargetMode="External"/><Relationship Id="rId490" Type="http://schemas.openxmlformats.org/officeDocument/2006/relationships/hyperlink" Target="https://www.facebook.com/ads/library/?active_status=active&amp;ad_type=all&amp;country=ALL&amp;q=Escola%20SEB%20Unimaster&amp;search_type=keyword_unordered&amp;media_type=all" TargetMode="External"/><Relationship Id="rId491" Type="http://schemas.openxmlformats.org/officeDocument/2006/relationships/hyperlink" Target="https://l.facebook.com/l.php?u=https%3A%2F%2Flp.escolaseb.com.br%2Funimaster-belo-horizonte-agende-uma-visita%3Ffbclid%3DIwcGRvZgFleHRuA2FlbQIxMABicmlkETFXNzlsVXpoUDVDNVVuakFSc3J0YwZhcHBfaWQPNTQxNjM5NDkzODg5MDI1AAEefbFGDO-zrlIqJQIlM89BJn9ihvjEznXMXNSN5_rY" TargetMode="External"/><Relationship Id="rId492" Type="http://schemas.openxmlformats.org/officeDocument/2006/relationships/hyperlink" Target="https://www.facebook.com/ads/library/?active_status=active&amp;ad_type=all&amp;country=ALL&amp;q=Col&#233;gio%20Objetivo%20Peru&#237;be&amp;search_type=keyword_unordered&amp;media_type=all" TargetMode="External"/><Relationship Id="rId493" Type="http://schemas.openxmlformats.org/officeDocument/2006/relationships/hyperlink" Target="https://l.facebook.com/l.php?u=http%3A%2F%2Fwww.objetivoperuibe.com.br%2Fdesafio%3Ffbclid%3DIwcGRvZgFleHRuA2FlbQIxMABicmlkETFXNzlsVXpoUDVDNVVuakFSc3J0YwZhcHBfaWQPNTQxNjM5NDkzODg5MDI1AAEemiG7ZJSZpG9eI9fq5mE7SXnRpY_yuEiuCxv85peaXE2F7vnxtjwNXuT-oUQ_aem_8O1Am" TargetMode="External"/><Relationship Id="rId494" Type="http://schemas.openxmlformats.org/officeDocument/2006/relationships/hyperlink" Target="https://www.facebook.com/ads/library/?active_status=active&amp;ad_type=all&amp;country=ALL&amp;q=Chromos%20Col&#233;gio%20E%20Pr&#233;&amp;search_type=keyword_unordered&amp;media_type=all" TargetMode="External"/><Relationship Id="rId495" Type="http://schemas.openxmlformats.org/officeDocument/2006/relationships/hyperlink" Target="https://l.facebook.com/l.php?u=http%3A%2F%2Fchromos.com.br%2Fadmissao%3Ffbclid%3DIwcGRvZgFleHRuA2FlbQIxMABicmlkETFXNzlsVXpoUDVDNVVuakFSc3J0YwZhcHBfaWQPNTQxNjM5NDkzODg5MDI1AAEeo6JyMjm1XPgMuTrdSlDmfT6YyerozLW2goY7wbM4vUwq0i3rwsBPh9wXcW0_aem_Bbd3xtFGd99neFp5" TargetMode="External"/><Relationship Id="rId496" Type="http://schemas.openxmlformats.org/officeDocument/2006/relationships/hyperlink" Target="https://www.facebook.com/ads/library/?active_status=active&amp;ad_type=all&amp;country=ALL&amp;q=Instituto%20Hilda%20Ferreira&amp;search_type=keyword_unordered&amp;media_type=all" TargetMode="External"/><Relationship Id="rId497" Type="http://schemas.openxmlformats.org/officeDocument/2006/relationships/hyperlink" Target="https://api.whatsapp.com/send" TargetMode="External"/><Relationship Id="rId498" Type="http://schemas.openxmlformats.org/officeDocument/2006/relationships/hyperlink" Target="https://www.facebook.com/ads/library/?active_status=active&amp;ad_type=all&amp;country=ALL&amp;q=Pensi%2B&amp;search_type=keyword_unordered&amp;media_type=all" TargetMode="External"/><Relationship Id="rId499" Type="http://schemas.openxmlformats.org/officeDocument/2006/relationships/hyperlink" Target="https://l.facebook.com/l.php?u=https%3A%2F%2Fwww.pensimais.com.br%2Fmatriculas2027%3Ffbclid%3DIwcGRvZgFleHRuA2FlbQIxMABicmlkETFXNzlsVXpoUDVDNVVuakFSc3J0YwZhcHBfaWQPNTQxNjM5NDkzODg5MDI1AAEeomo5_C6J2q3cxfNXzkZroM0VILYhv9g6P2DO5yVgnfUBZbvhqs3M9JiYyF0_aem_ufl" TargetMode="External"/><Relationship Id="rId500" Type="http://schemas.openxmlformats.org/officeDocument/2006/relationships/hyperlink" Target="https://www.facebook.com/ads/library/?active_status=active&amp;ad_type=all&amp;country=ALL&amp;q=Guias%20e%20Manuais%20para%20ajuda&amp;search_type=keyword_unordered&amp;media_type=all" TargetMode="External"/><Relationship Id="rId501" Type="http://schemas.openxmlformats.org/officeDocument/2006/relationships/hyperlink" Target="https://l.facebook.com/l.php?u=https%3A%2F%2Fjogoseducativosr.vercel.app%2F%3Ffbclid%3DIwcGRvZgFleHRuA2FlbQIxMABicmlkETFXNzlsVXpoUDVDNVVuakFSc3J0YwZhcHBfaWQPNTQxNjM5NDkzODg5MDI1AAEei-7k0OCV6rulAxe8m7jBCbQ9cA8KiGcW5XYIS0hD0RgB02J221k76asUC-Q_aem_r7SThfJaU_" TargetMode="External"/><Relationship Id="rId502" Type="http://schemas.openxmlformats.org/officeDocument/2006/relationships/hyperlink" Target="https://www.facebook.com/ads/library/?active_status=active&amp;ad_type=all&amp;country=ALL&amp;q=Col&#233;gio%20Integrado&amp;search_type=keyword_unordered&amp;media_type=all" TargetMode="External"/><Relationship Id="rId503" Type="http://schemas.openxmlformats.org/officeDocument/2006/relationships/hyperlink" Target="https://l.facebook.com/l.php?u=http%3A%2F%2Fwww.souintegrado.com.br%2Fmatriculas2027%3Ffbclid%3DIwcGRvZgFleHRuA2FlbQIxMABicmlkETFXNzlsVXpoUDVDNVVuakFSc3J0YwZhcHBfaWQPNTQxNjM5NDkzODg5MDI1AAEefbFGDO-zrlIqJQIlM89BJn9ihvjEznXMXNSN5_rYbXTZcEwyAe3CyzX9PY4_aem_C" TargetMode="External"/><Relationship Id="rId504" Type="http://schemas.openxmlformats.org/officeDocument/2006/relationships/hyperlink" Target="https://www.facebook.com/ads/library/?active_status=active&amp;ad_type=all&amp;country=ALL&amp;q=Col&#233;gio%20Singular%20Anglo%20-%20Oficial&amp;search_type=keyword_unordered&amp;media_type=all" TargetMode="External"/><Relationship Id="rId505" Type="http://schemas.openxmlformats.org/officeDocument/2006/relationships/hyperlink" Target="https://l.facebook.com/l.php?u=http%3A%2F%2Finstagram.com%2Fsingularanglo%3Ffbclid%3DIwcGRvZgFleHRuA2FlbQIxMABicmlkETFXNzlsVXpoUDVDNVVuakFSc3J0YwZhcHBfaWQPNTQxNjM5NDkzODg5MDI1AAEei-7k0OCV6rulAxe8m7jBCbQ9cA8KiGcW5XYIS0hD0RgB02J221k76asUC-Q_aem_r7SThfJaU_Av" TargetMode="External"/><Relationship Id="rId506" Type="http://schemas.openxmlformats.org/officeDocument/2006/relationships/hyperlink" Target="https://www.facebook.com/ads/library/?active_status=active&amp;ad_type=all&amp;country=ALL&amp;q=Ciranda%20Escola&amp;search_type=keyword_unordered&amp;media_type=all" TargetMode="External"/><Relationship Id="rId507" Type="http://schemas.openxmlformats.org/officeDocument/2006/relationships/hyperlink" Target="https://l.facebook.com/l.php?u=https%3A%2F%2Fwww.instagram.com%2F%3Ffbclid%3DIwcGRvZgFleHRuA2FlbQIxMABicmlkETFXNzlsVXpoUDVDNVVuakFSc3J0YwZhcHBfaWQPNTQxNjM5NDkzODg5MDI1AAEeo6JyMjm1XPgMuTrdSlDmfT6YyerozLW2goY7wbM4vUwq0i3rwsBPh9wXcW0_aem_Bbd3xtFGd99neFp52YSV" TargetMode="External"/><Relationship Id="rId508" Type="http://schemas.openxmlformats.org/officeDocument/2006/relationships/hyperlink" Target="https://www.facebook.com/ads/library/?active_status=active&amp;ad_type=all&amp;country=ALL&amp;q=Camila%20Medeiros%20-%20Psicopedagoga&amp;search_type=keyword_unordered&amp;media_type=all" TargetMode="External"/><Relationship Id="rId509" Type="http://schemas.openxmlformats.org/officeDocument/2006/relationships/hyperlink" Target="https://l.facebook.com/l.php?u=https%3A%2F%2Fwww.profcamila.com%2Feducacaoinfantil%3Ffbclid%3DIwcGRvZgFleHRuA2FlbQIxMABicmlkETFXNzlsVXpoUDVDNVVuakFSc3J0YwZhcHBfaWQPNTQxNjM5NDkzODg5MDI1AAEei-7k0OCV6rulAxe8m7jBCbQ9cA8KiGcW5XYIS0hD0RgB02J221k76asUC-Q_aem_r7S" TargetMode="External"/><Relationship Id="rId510" Type="http://schemas.openxmlformats.org/officeDocument/2006/relationships/hyperlink" Target="https://www.facebook.com/ads/library/?active_status=active&amp;ad_type=all&amp;country=ALL&amp;q=Mundo%20Pedag&#243;gico%20Kids&amp;search_type=keyword_unordered&amp;media_type=all" TargetMode="External"/><Relationship Id="rId511" Type="http://schemas.openxmlformats.org/officeDocument/2006/relationships/hyperlink" Target="https://api.whatsapp.com/send" TargetMode="External"/><Relationship Id="rId512" Type="http://schemas.openxmlformats.org/officeDocument/2006/relationships/hyperlink" Target="https://www.facebook.com/ads/library/?active_status=active&amp;ad_type=all&amp;country=ALL&amp;q=Col&#233;gio%20Bagozzi&amp;search_type=keyword_unordered&amp;media_type=all" TargetMode="External"/><Relationship Id="rId513" Type="http://schemas.openxmlformats.org/officeDocument/2006/relationships/hyperlink" Target="https://l.facebook.com/l.php?u=https%3A%2F%2Fvisite.bagozzi.edu.br%2Fagende-sua-visita%3Futm_source%3DMeta-2027%26utm_medium%3DBG-CWB%2520%25C2%25B7%2520C2%2520%25C2%25B7%2520Awareness%2520EI%2520Priorit%25C3%25A1rio%2520%25C2%25B7%25202027%26utm_campaign" TargetMode="External"/><Relationship Id="rId514" Type="http://schemas.openxmlformats.org/officeDocument/2006/relationships/hyperlink" Target="https://www.facebook.com/ads/library/?active_status=active&amp;ad_type=all&amp;country=ALL&amp;q=Espa&#231;o%20Col&#233;gio%20Day%20Care&amp;search_type=keyword_unordered&amp;media_type=all" TargetMode="External"/><Relationship Id="rId515" Type="http://schemas.openxmlformats.org/officeDocument/2006/relationships/hyperlink" Target="https://espacodaycare.com.br/" TargetMode="External"/><Relationship Id="rId516" Type="http://schemas.openxmlformats.org/officeDocument/2006/relationships/hyperlink" Target="https://www.facebook.com/ads/library/?active_status=active&amp;ad_type=all&amp;country=ALL&amp;q=Casa%20Escola&amp;search_type=keyword_unordered&amp;media_type=all" TargetMode="External"/><Relationship Id="rId517" Type="http://schemas.openxmlformats.org/officeDocument/2006/relationships/hyperlink" Target="https://www.facebook.com/ads/library/?active_status=active&amp;ad_type=all&amp;country=ALL&amp;q=Grupo%20Educacional%20Acesso&amp;search_type=keyword_unordered&amp;media_type=all" TargetMode="External"/><Relationship Id="rId518" Type="http://schemas.openxmlformats.org/officeDocument/2006/relationships/hyperlink" Target="https://l.facebook.com/l.php?u=https%3A%2F%2Fwww.cursoacesso.com.br%2Finfantil-matriculas-2027%2F%3Futm_source%3Dfacebook%26utm_medium%3Dpaid%26utm_campaign%3Dnpbr_acesso_facebook_lead_fundo_infantil_aon_%26utm_content%3Dnpbr_infantil_interesse_28-42%26ut" TargetMode="External"/><Relationship Id="rId519" Type="http://schemas.openxmlformats.org/officeDocument/2006/relationships/hyperlink" Target="https://www.facebook.com/ads/library/?active_status=active&amp;ad_type=all&amp;country=ALL&amp;q=Sarto&amp;search_type=keyword_unordered&amp;media_type=all" TargetMode="External"/><Relationship Id="rId520" Type="http://schemas.openxmlformats.org/officeDocument/2006/relationships/hyperlink" Target="https://www.facebook.com/ads/library/?active_status=active&amp;ad_type=all&amp;country=ALL&amp;q=Col&#233;gio%20Santa%20Sofia&amp;search_type=keyword_unordered&amp;media_type=all" TargetMode="External"/><Relationship Id="rId521" Type="http://schemas.openxmlformats.org/officeDocument/2006/relationships/hyperlink" Target="https://l.facebook.com/l.php?u=https%3A%2F%2Fconteudocolegiosantasofia.angulodigital.com.br%2Flp-matriculas-2027%2F%3Ffbclid%3DIwcGRvZgFleHRuA2FlbQIxMABicmlkETFXNzlsVXpoUDVDNVVuakFSc3J0YwZhcHBfaWQPNTQxNjM5NDkzODg5MDI1AAEeo6JyMjm1XPgMuTrdSlDmfT6YyerozLW2go" TargetMode="External"/><Relationship Id="rId522" Type="http://schemas.openxmlformats.org/officeDocument/2006/relationships/hyperlink" Target="https://www.facebook.com/ads/library/?active_status=active&amp;ad_type=all&amp;country=ALL&amp;q=Educa&#231;&#227;o%20Premium&amp;search_type=keyword_unordered&amp;media_type=all" TargetMode="External"/><Relationship Id="rId523" Type="http://schemas.openxmlformats.org/officeDocument/2006/relationships/hyperlink" Target="https://api.whatsapp.com/send" TargetMode="External"/><Relationship Id="rId524" Type="http://schemas.openxmlformats.org/officeDocument/2006/relationships/hyperlink" Target="https://www.facebook.com/ads/library/?active_status=active&amp;ad_type=all&amp;country=ALL&amp;q=ProPedagogia%20-%20Concursos%20para%20Professores&amp;search_type=keyword_unordered&amp;media_type=all" TargetMode="External"/><Relationship Id="rId525" Type="http://schemas.openxmlformats.org/officeDocument/2006/relationships/hyperlink" Target="https://l.facebook.com/l.php?u=https%3A%2F%2Faprovado.propedagogia.com.br%2Faula-gratis-sme-sp-ads%3Ffbclid%3DIwcGRvZgFleHRuA2FlbQIxMABicmlkETFXNzlsVXpoUDVDNVVuakFSc3J0YwZhcHBfaWQPNTQxNjM5NDkzODg5MDI1AAEe6-lGHam-0fdkKTskoHoSKGSmqNV9VvipHgVFi62EM8HQmWSe7Df" TargetMode="External"/><Relationship Id="rId526" Type="http://schemas.openxmlformats.org/officeDocument/2006/relationships/hyperlink" Target="https://www.facebook.com/ads/library/?active_status=active&amp;ad_type=all&amp;country=ALL&amp;q=Professora%20Tatiane%20Moraes&amp;search_type=keyword_unordered&amp;media_type=all" TargetMode="External"/><Relationship Id="rId527" Type="http://schemas.openxmlformats.org/officeDocument/2006/relationships/hyperlink" Target="https://l.facebook.com/l.php?u=https%3A%2F%2Fwww.instagram.com%2F_u%2Fprofessora_tatianemoraes%3Ffbclid%3DIwcGRvZgFleHRuA2FlbQIxMABicmlkETFXNzlsVXpoUDVDNVVuakFSc3J0YwZhcHBfaWQPNTQxNjM5NDkzODg5MDI1AAEeo6JyMjm1XPgMuTrdSlDmfT6YyerozLW2goY7wbM4vUwq0i3rwsBPh9w" TargetMode="External"/><Relationship Id="rId528" Type="http://schemas.openxmlformats.org/officeDocument/2006/relationships/hyperlink" Target="https://www.facebook.com/ads/library/?active_status=active&amp;ad_type=all&amp;country=ALL&amp;q=Instituto%20Transforma%20Edu&amp;search_type=keyword_unordered&amp;media_type=all" TargetMode="External"/><Relationship Id="rId529" Type="http://schemas.openxmlformats.org/officeDocument/2006/relationships/hyperlink" Target="https://l.facebook.com/l.php?u=https%3A%2F%2Finstitutotransformaedu.gupy.io%2Fjobs%2F11858224%3FjobBoardSource%3Dshare_link%26fbclid%3DIwcGRvZgFleHRuA2FlbQIxMABicmlkETFXNzlsVXpoUDVDNVVuakFSc3J0YwZhcHBfaWQPNTQxNjM5NDkzODg5MDI1AAEeIbNyWNnqt2-4raZja4sSumcYQp" TargetMode="External"/><Relationship Id="rId530" Type="http://schemas.openxmlformats.org/officeDocument/2006/relationships/hyperlink" Target="https://www.facebook.com/ads/library/?active_status=active&amp;ad_type=all&amp;country=ALL&amp;q=Col&#233;gio%20N&#243;s&amp;search_type=keyword_unordered&amp;media_type=all" TargetMode="External"/><Relationship Id="rId531" Type="http://schemas.openxmlformats.org/officeDocument/2006/relationships/hyperlink" Target="https://l.facebook.com/l.php?u=https%3A%2F%2Fmatriculas.colegionos.com%2F%3Ffbclid%3DIwcGRvZgFleHRuA2FlbQIxMABicmlkETFXNzlsVXpoUDVDNVVuakFSc3J0YwZhcHBfaWQPNTQxNjM5NDkzODg5MDI1AAEeIbNyWNnqt2-4raZja4sSumcYQpNwnkV8H12szpx0xM1nhqpZ-pH7bYS1Jwo_aem_kq6TAF2G9pPU" TargetMode="External"/><Relationship Id="rId532" Type="http://schemas.openxmlformats.org/officeDocument/2006/relationships/hyperlink" Target="https://www.facebook.com/ads/library/?active_status=active&amp;ad_type=all&amp;country=ALL&amp;q=Centro%20Educacional%20Ess&#234;ncia%20de%20Vida&amp;search_type=keyword_unordered&amp;media_type=all" TargetMode="External"/><Relationship Id="rId533" Type="http://schemas.openxmlformats.org/officeDocument/2006/relationships/hyperlink" Target="https://l.facebook.com/l.php?u=https%3A%2F%2Fwww.instagram.com%2Fceessenciadevida%2F%3Ffbclid%3DIwcGRvZgFleHRuA2FlbQIxMABicmlkETFXNzlsVXpoUDVDNVVuakFSc3J0YwZhcHBfaWQPNTQxNjM5NDkzODg5MDI1AAEe6-lGHam-0fdkKTskoHoSKGSmqNV9VvipHgVFi62EM8HQmWSe7Dfh30LV9E4_aem_j" TargetMode="External"/><Relationship Id="rId534" Type="http://schemas.openxmlformats.org/officeDocument/2006/relationships/hyperlink" Target="https://www.facebook.com/ads/library/?active_status=active&amp;ad_type=all&amp;country=ALL&amp;q=Col&#233;gio%20Universit&#225;rio%20de%20Londrina&amp;search_type=keyword_unordered&amp;media_type=all" TargetMode="External"/><Relationship Id="rId535" Type="http://schemas.openxmlformats.org/officeDocument/2006/relationships/hyperlink" Target="https://l.facebook.com/l.php?u=https%3A%2F%2Fwww.colegioecursouniversitario.com.br%2Finfantil-matriculas-2027%3Futm_source%3Dfacebook%26utm_medium%3Dpaid%26utm_campaign%3Dnpbr_universitario_facebook_lead_fundo_infantil_aon%26utm_content%3Dnpbr_ciclo_inter" TargetMode="External"/><Relationship Id="rId536" Type="http://schemas.openxmlformats.org/officeDocument/2006/relationships/hyperlink" Target="https://www.facebook.com/ads/library/?active_status=active&amp;ad_type=all&amp;country=ALL&amp;q=Estrelakidsofcial&amp;search_type=keyword_unordered&amp;media_type=all" TargetMode="External"/><Relationship Id="rId537" Type="http://schemas.openxmlformats.org/officeDocument/2006/relationships/hyperlink" Target="https://api.whatsapp.com/send" TargetMode="External"/><Relationship Id="rId538" Type="http://schemas.openxmlformats.org/officeDocument/2006/relationships/hyperlink" Target="https://www.facebook.com/ads/library/?active_status=active&amp;ad_type=all&amp;country=ALL&amp;q=Col&#233;gio%20Real&amp;search_type=keyword_unordered&amp;media_type=all" TargetMode="External"/><Relationship Id="rId539" Type="http://schemas.openxmlformats.org/officeDocument/2006/relationships/hyperlink" Target="https://api.whatsapp.com/send" TargetMode="External"/><Relationship Id="rId540" Type="http://schemas.openxmlformats.org/officeDocument/2006/relationships/hyperlink" Target="https://www.facebook.com/ads/library/?active_status=active&amp;ad_type=all&amp;country=ALL&amp;q=Col&#233;gio%20APOGEU&amp;search_type=keyword_unordered&amp;media_type=all" TargetMode="External"/><Relationship Id="rId541" Type="http://schemas.openxmlformats.org/officeDocument/2006/relationships/hyperlink" Target="https://l.facebook.com/l.php?u=http%3A%2F%2Ffb.me%2F&amp;h=AUCSvaiFYluCrwvUX96TO9ecJ379v9Bsu66JouQzAu7aUUZDyeYE9b8QMV6oarun2-207rbUBmWF7jqojuL7PdZPXWszSHGGccjzxqyzQ9B_fsJy8oVGZ0dgxqdbH3vhl2zeEKW5H_c" TargetMode="External"/><Relationship Id="rId542" Type="http://schemas.openxmlformats.org/officeDocument/2006/relationships/hyperlink" Target="https://www.facebook.com/ads/library/?active_status=active&amp;ad_type=all&amp;country=ALL&amp;q=Mundo%20da%20pedagogia%20&amp;search_type=keyword_unordered&amp;media_type=all" TargetMode="External"/><Relationship Id="rId543" Type="http://schemas.openxmlformats.org/officeDocument/2006/relationships/hyperlink" Target="https://api.whatsapp.com/send" TargetMode="External"/><Relationship Id="rId544" Type="http://schemas.openxmlformats.org/officeDocument/2006/relationships/hyperlink" Target="https://www.facebook.com/ads/library/?active_status=active&amp;ad_type=all&amp;country=ALL&amp;q=Escola%20Rembrandt&amp;search_type=keyword_unordered&amp;media_type=all" TargetMode="External"/><Relationship Id="rId545" Type="http://schemas.openxmlformats.org/officeDocument/2006/relationships/hyperlink" Target="https://l.facebook.com/l.php?u=https%3A%2F%2Fescolarembrandt.com.br%2Fmatriculas-2027%2F%3Ffbclid%3DIwcGRvZgFleHRuA2FlbQIxMABicmlkETFXNzlsVXpoUDVDNVVuakFSc3J0YwZhcHBfaWQPNTQxNjM5NDkzODg5MDI1AAEe6-lGHam-0fdkKTskoHoSKGSmqNV9VvipHgVFi62EM8HQmWSe7Dfh30LV9E4_a" TargetMode="External"/><Relationship Id="rId546" Type="http://schemas.openxmlformats.org/officeDocument/2006/relationships/hyperlink" Target="https://www.facebook.com/ads/library/?active_status=active&amp;ad_type=all&amp;country=ALL&amp;q=P&#225;gina%20%22Carlos%20Amastha%22&amp;search_type=keyword_unordered&amp;media_type=all" TargetMode="External"/><Relationship Id="rId547" Type="http://schemas.openxmlformats.org/officeDocument/2006/relationships/hyperlink" Target="https://l.facebook.com/l.php?u=http%3A%2F%2Finstagram.com%2Famastha2026%3Ffbclid%3DIwcGRvZgFleHRuA2FlbQIxMABicmlkETFXNzlsVXpoUDVDNVVuakFSc3J0YwZhcHBfaWQPNTQxNjM5NDkzODg5MDI1AAEefbFGDO-zrlIqJQIlM89BJn9ihvjEznXMXNSN5_rYbXTZcEwyAe3CyzX9PY4_aem_CQ8R76th59r1hQ" TargetMode="External"/><Relationship Id="rId548" Type="http://schemas.openxmlformats.org/officeDocument/2006/relationships/hyperlink" Target="https://www.facebook.com/ads/library/?active_status=active&amp;ad_type=all&amp;country=ALL&amp;q=Col&#233;gio%20Antares&amp;search_type=keyword_unordered&amp;media_type=all" TargetMode="External"/><Relationship Id="rId549" Type="http://schemas.openxmlformats.org/officeDocument/2006/relationships/hyperlink" Target="https://l.facebook.com/l.php?u=https%3A%2F%2Fwww.colegioantares.com.br%2Fmatriculas2027%2F%3Ffbclid%3DIwcGRvZgFleHRuA2FlbQIxMABicmlkETFXNzlsVXpoUDVDNVVuakFSc3J0YwZhcHBfaWQPNTQxNjM5NDkzODg5MDI1AAEeo6JyMjm1XPgMuTrdSlDmfT6YyerozLW2goY7wbM4vUwq0i3rwsBPh9wXcW0" TargetMode="External"/><Relationship Id="rId550" Type="http://schemas.openxmlformats.org/officeDocument/2006/relationships/hyperlink" Target="https://www.facebook.com/ads/library/?active_status=active&amp;ad_type=all&amp;country=ALL&amp;q=Col&#233;gio%20Objetivo&amp;search_type=keyword_unordered&amp;media_type=all" TargetMode="External"/><Relationship Id="rId551" Type="http://schemas.openxmlformats.org/officeDocument/2006/relationships/hyperlink" Target="https://l.facebook.com/l.php?u=https%3A%2F%2Fwww.objetivo.br%2Fmatriculas%2Fformulario-interesse.aspx%3Fid%3DOP-0565%26fbclid%3DIwcGRvZgFleHRuA2FlbQIxMABicmlkETFXNzlsVXpoUDVDNVVuakFSc3J0YwZhcHBfaWQPNTQxNjM5NDkzODg5MDI1AAEeomo5_C6J2q3cxfNXzkZroM0VILYhv9g6P" TargetMode="External"/><Relationship Id="rId552" Type="http://schemas.openxmlformats.org/officeDocument/2006/relationships/hyperlink" Target="https://www.facebook.com/ads/library/?active_status=active&amp;ad_type=all&amp;country=ALL&amp;q=Pedagogia%20toda%20hora&amp;search_type=keyword_unordered&amp;media_type=all" TargetMode="External"/><Relationship Id="rId553" Type="http://schemas.openxmlformats.org/officeDocument/2006/relationships/hyperlink" Target="https://api.whatsapp.com/send" TargetMode="External"/><Relationship Id="rId554" Type="http://schemas.openxmlformats.org/officeDocument/2006/relationships/hyperlink" Target="https://www.facebook.com/ads/library/?active_status=active&amp;ad_type=all&amp;country=ALL&amp;q=Col&#233;gio%20Ineditec&amp;search_type=keyword_unordered&amp;media_type=all" TargetMode="External"/><Relationship Id="rId555" Type="http://schemas.openxmlformats.org/officeDocument/2006/relationships/hyperlink" Target="https://l.facebook.com/l.php?u=https%3A%2F%2Finstagram.com%2Fcolegioineditec%3Ffbclid%3DIwcGRvZgFleHRuA2FlbQIxMABicmlkETFXNzlsVXpoUDVDNVVuakFSc3J0YwZhcHBfaWQPNTQxNjM5NDkzODg5MDI1AAEeIbNyWNnqt2-4raZja4sSumcYQpNwnkV8H12szpx0xM1nhqpZ-pH7bYS1Jwo_aem_kq6TAF2G9" TargetMode="External"/><Relationship Id="rId556" Type="http://schemas.openxmlformats.org/officeDocument/2006/relationships/hyperlink" Target="https://www.facebook.com/ads/library/?active_status=active&amp;ad_type=all&amp;country=ALL&amp;q=Col&#233;gio%20Carlos%20Drummond%20de%20Andrade&amp;search_type=keyword_unordered&amp;media_type=all" TargetMode="External"/><Relationship Id="rId557" Type="http://schemas.openxmlformats.org/officeDocument/2006/relationships/hyperlink" Target="https://www.facebook.com/ads/library/?active_status=active&amp;ad_type=all&amp;country=ALL&amp;q=Voa%20Conhecimento&amp;search_type=keyword_unordered&amp;media_type=all" TargetMode="External"/><Relationship Id="rId558" Type="http://schemas.openxmlformats.org/officeDocument/2006/relationships/hyperlink" Target="https://l.facebook.com/l.php?u=https%3A%2F%2Fvoaconhecimento.com.br%2Fjornada-bncc-na-pratica%3Fsrc%3DMTADS-BNCC019_%257B%257Badset.name%257D%257D_%257B%257Bad.name%257D%257D_MTADS-BNCC019_%257B%257Bcampaign.name%257D%257D_%257B%257Badset.name%257D%257D_%" TargetMode="External"/><Relationship Id="rId559" Type="http://schemas.openxmlformats.org/officeDocument/2006/relationships/hyperlink" Target="https://www.facebook.com/ads/library/?active_status=active&amp;ad_type=all&amp;country=ALL&amp;q=Col&#233;gio%20Itatiaia&amp;search_type=keyword_unordered&amp;media_type=all" TargetMode="External"/><Relationship Id="rId560" Type="http://schemas.openxmlformats.org/officeDocument/2006/relationships/hyperlink" Target="https://l.facebook.com/l.php?u=https%3A%2F%2Fcolegioitatiaia.com.br%2Fbercario-lp%2F%3Ffbclid%3DIwcGRvZgFleHRuA2FlbQIxMABicmlkETFXNzlsVXpoUDVDNVVuakFSc3J0YwZhcHBfaWQPNTQxNjM5NDkzODg5MDI1AAEeIbNyWNnqt2-4raZja4sSumcYQpNwnkV8H12szpx0xM1nhqpZ-pH7bYS1Jwo_aem_k" TargetMode="External"/><Relationship Id="rId561" Type="http://schemas.openxmlformats.org/officeDocument/2006/relationships/hyperlink" Target="https://www.facebook.com/ads/library/?active_status=active&amp;ad_type=all&amp;country=ALL&amp;q=SAGRADO%20-%20Rede%20de%20Educa&#231;&#227;o&amp;search_type=keyword_unordered&amp;media_type=all" TargetMode="External"/><Relationship Id="rId562" Type="http://schemas.openxmlformats.org/officeDocument/2006/relationships/hyperlink" Target="https://l.facebook.com/l.php?u=https%3A%2F%2Fcampanha.redesagradosul.com.br%2F%3Ffbclid%3DIwcGRvZgFleHRuA2FlbQIxMABicmlkETFXNzlsVXpoUDVDNVVuakFSc3J0YwZhcHBfaWQPNTQxNjM5NDkzODg5MDI1AAEeo6JyMjm1XPgMuTrdSlDmfT6YyerozLW2goY7wbM4vUwq0i3rwsBPh9wXcW0_aem_Bbd3xtF" TargetMode="External"/><Relationship Id="rId563" Type="http://schemas.openxmlformats.org/officeDocument/2006/relationships/hyperlink" Target="https://www.facebook.com/ads/library/?active_status=active&amp;ad_type=all&amp;country=ALL&amp;q=Gabarito%20Educa&#231;&#227;o&amp;search_type=keyword_unordered&amp;media_type=all" TargetMode="External"/><Relationship Id="rId564" Type="http://schemas.openxmlformats.org/officeDocument/2006/relationships/hyperlink" Target="https://l.facebook.com/l.php?u=https%3A%2F%2Fgabaritoeducacao.com%2F%3Ffbclid%3DIwcGRvZgFleHRuA2FlbQIxMABicmlkETFXNzlsVXpoUDVDNVVuakFSc3J0YwZhcHBfaWQPNTQxNjM5NDkzODg5MDI1AAEefnH1UbdwofpdI_CiMiZqSVSkG-E51GXidOepqY31qSthTm9SFWcX8r87ZdM_aem_92EA8pIARN0bInN1Y" TargetMode="External"/><Relationship Id="rId565" Type="http://schemas.openxmlformats.org/officeDocument/2006/relationships/hyperlink" Target="https://www.facebook.com/ads/library/?active_status=active&amp;ad_type=all&amp;country=ALL&amp;q=Col&#233;gio%20Logos&#243;fico%20S&#227;o%20Paulo&amp;search_type=keyword_unordered&amp;media_type=all" TargetMode="External"/><Relationship Id="rId566" Type="http://schemas.openxmlformats.org/officeDocument/2006/relationships/hyperlink" Target="https://l.facebook.com/l.php?u=https%3A%2F%2Fportas-abertas-capture.lovable.app%2F%3Fv%3D5%26utm_source%3Dmeta%26utm_medium%3Dcpc%26utm_campaign%3Dtraf_portas%26fbclid%3DIwcGRvZgFleHRuA2FlbQIxMABicmlkETFXNzlsVXpoUDVDNVVuakFSc3J0YwZhcHBfaWQPNTQxNjM5NDkzODg" TargetMode="External"/><Relationship Id="rId567" Type="http://schemas.openxmlformats.org/officeDocument/2006/relationships/hyperlink" Target="https://www.facebook.com/ads/library/?active_status=active&amp;ad_type=all&amp;country=ALL&amp;q=Yury%20Bruno&amp;search_type=keyword_unordered&amp;media_type=all" TargetMode="External"/><Relationship Id="rId568" Type="http://schemas.openxmlformats.org/officeDocument/2006/relationships/hyperlink" Target="https://l.facebook.com/l.php?u=http%3A%2F%2Finstagram.com%2Fyurydoparedao%3Ffbclid%3DIwcGRvZgFleHRuA2FlbQIxMABicmlkETFXNzlsVXpoUDVDNVVuakFSc3J0YwZhcHBfaWQPNTQxNjM5NDkzODg5MDI1AAEef2Ay9JH-w62yBzipAYnGYPW8DpiIbNWtsD3FV7TbiynhJrf2FJ-gR6gVWdQ_aem_PkwtiNv2ICYF" TargetMode="External"/><Relationship Id="rId569" Type="http://schemas.openxmlformats.org/officeDocument/2006/relationships/hyperlink" Target="https://www.facebook.com/ads/library/?active_status=active&amp;ad_type=all&amp;country=ALL&amp;q=Mendon&#231;a%20Filho&amp;search_type=keyword_unordered&amp;media_type=all" TargetMode="External"/><Relationship Id="rId570" Type="http://schemas.openxmlformats.org/officeDocument/2006/relationships/hyperlink" Target="https://www.facebook.com/ads/library/?active_status=active&amp;ad_type=all&amp;country=ALL&amp;q=Col&#233;gio%20CEI&amp;search_type=keyword_unordered&amp;media_type=all" TargetMode="External"/><Relationship Id="rId571" Type="http://schemas.openxmlformats.org/officeDocument/2006/relationships/hyperlink" Target="https://l.facebook.com/l.php?u=https%3A%2F%2Fwww.ceinet.com.br%2Fsejacei2027%3Ffbclid%3DIwcGRvZgFleHRuA2FlbQIxMABicmlkETFXNzlsVXpoUDVDNVVuakFSc3J0YwZhcHBfaWQPNTQxNjM5NDkzODg5MDI1AAEeo6JyMjm1XPgMuTrdSlDmfT6YyerozLW2goY7wbM4vUwq0i3rwsBPh9wXcW0_aem_Bbd3xtFGd" TargetMode="External"/><Relationship Id="rId572" Type="http://schemas.openxmlformats.org/officeDocument/2006/relationships/hyperlink" Target="https://www.facebook.com/ads/library/?active_status=active&amp;ad_type=all&amp;country=ALL&amp;q=Paulo%20Teixeira&amp;search_type=keyword_unordered&amp;media_type=all" TargetMode="External"/><Relationship Id="rId573" Type="http://schemas.openxmlformats.org/officeDocument/2006/relationships/hyperlink" Target="https://l.facebook.com/l.php?u=https%3A%2F%2Fwww.instagram.com%2Fpauloteixeira13%2F%3Ffbclid%3DIwcGRvZgFleHRuA2FlbQIxMABicmlkETFXNzlsVXpoUDVDNVVuakFSc3J0YwZhcHBfaWQPNTQxNjM5NDkzODg5MDI1AAEeo6JyMjm1XPgMuTrdSlDmfT6YyerozLW2goY7wbM4vUwq0i3rwsBPh9wXcW0_aem_Bb" TargetMode="External"/><Relationship Id="rId574" Type="http://schemas.openxmlformats.org/officeDocument/2006/relationships/hyperlink" Target="https://www.facebook.com/ads/library/?active_status=active&amp;ad_type=all&amp;country=ALL&amp;q=Col&#233;gio%20B&#225;sico%20de%20Campinas&amp;search_type=keyword_unordered&amp;media_type=all" TargetMode="External"/><Relationship Id="rId575" Type="http://schemas.openxmlformats.org/officeDocument/2006/relationships/hyperlink" Target="https://api.whatsapp.com/send" TargetMode="External"/><Relationship Id="rId576" Type="http://schemas.openxmlformats.org/officeDocument/2006/relationships/hyperlink" Target="https://www.facebook.com/ads/library/?active_status=active&amp;ad_type=all&amp;country=ALL&amp;q=Zool&#243;gico%20de%20S&#227;o%20Paulo&amp;search_type=keyword_unordered&amp;media_type=all" TargetMode="External"/><Relationship Id="rId577" Type="http://schemas.openxmlformats.org/officeDocument/2006/relationships/hyperlink" Target="https://l.facebook.com/l.php?u=https%3A%2F%2Fzoologico.com.br%2Freconnect%3Ffbclid%3DIwcGRvZgFleHRuA2FlbQIxMABicmlkETFXNzlsVXpoUDVDNVVuakFSc3J0YwZhcHBfaWQPNTQxNjM5NDkzODg5MDI1AAEeomo5_C6J2q3cxfNXzkZroM0VILYhv9g6P2DO5yVgnfUBZbvhqs3M9JiYyF0_aem_ufln1sjNgmn5" TargetMode="External"/><Relationship Id="rId578" Type="http://schemas.openxmlformats.org/officeDocument/2006/relationships/hyperlink" Target="https://www.facebook.com/ads/library/?active_status=active&amp;ad_type=all&amp;country=ALL&amp;q=Col&#233;gio%20Motivo&amp;search_type=keyword_unordered&amp;media_type=all" TargetMode="External"/><Relationship Id="rId579" Type="http://schemas.openxmlformats.org/officeDocument/2006/relationships/hyperlink" Target="https://l.facebook.com/l.php?u=http%3A%2F%2Fwww.colegiomotivo.com.br%2Fmatriculas2027%3Ffbclid%3DIwcGRvZgFleHRuA2FlbQIxMABicmlkETFXNzlsVXpoUDVDNVVuakFSc3J0YwZhcHBfaWQPNTQxNjM5NDkzODg5MDI1AAEe6-lGHam-0fdkKTskoHoSKGSmqNV9VvipHgVFi62EM8HQmWSe7Dfh30LV9E4_aem_" TargetMode="External"/><Relationship Id="rId580" Type="http://schemas.openxmlformats.org/officeDocument/2006/relationships/hyperlink" Target="https://www.facebook.com/ads/library/?active_status=active&amp;ad_type=all&amp;country=ALL&amp;q=Andr&#233;%20Gomes&amp;search_type=keyword_unordered&amp;media_type=all" TargetMode="External"/><Relationship Id="rId581" Type="http://schemas.openxmlformats.org/officeDocument/2006/relationships/hyperlink" Target="https://l.facebook.com/l.php?u=https%3A%2F%2Fwww.instagram.com%2Fandregomes.pb%2F%3Ffbclid%3DIwcGRvZgFleHRuA2FlbQIxMABicmlkETFXNzlsVXpoUDVDNVVuakFSc3J0YwZhcHBfaWQPNTQxNjM5NDkzODg5MDI1AAEe6-lGHam-0fdkKTskoHoSKGSmqNV9VvipHgVFi62EM8HQmWSe7Dfh30LV9E4_aem_jPsR" TargetMode="External"/><Relationship Id="rId582" Type="http://schemas.openxmlformats.org/officeDocument/2006/relationships/hyperlink" Target="https://www.facebook.com/ads/library/?active_status=active&amp;ad_type=all&amp;country=ALL&amp;q=Pedro%20Uczai&amp;search_type=keyword_unordered&amp;media_type=all" TargetMode="External"/><Relationship Id="rId583" Type="http://schemas.openxmlformats.org/officeDocument/2006/relationships/hyperlink" Target="https://l.facebook.com/l.php?u=https%3A%2F%2Fwww.instagram.com%2Fpedro.uczai%2F%3Ffbclid%3DIwcGRvZgFleHRuA2FlbQIxMABicmlkETFXNzlsVXpoUDVDNVVuakFSc3J0YwZhcHBfaWQPNTQxNjM5NDkzODg5MDI1AAEei-7k0OCV6rulAxe8m7jBCbQ9cA8KiGcW5XYIS0hD0RgB02J221k76asUC-Q_aem_r7SThf" TargetMode="External"/><Relationship Id="rId584" Type="http://schemas.openxmlformats.org/officeDocument/2006/relationships/hyperlink" Target="https://www.facebook.com/ads/library/?active_status=active&amp;ad_type=all&amp;country=ALL&amp;q=Atto%20Educacional&amp;search_type=keyword_unordered&amp;media_type=all" TargetMode="External"/><Relationship Id="rId585" Type="http://schemas.openxmlformats.org/officeDocument/2006/relationships/hyperlink" Target="https://l.facebook.com/l.php?u=http%3A%2F%2Fwww.attoeducacional.com.br%2F%3Ffbclid%3DIwcGRvZgFleHRuA2FlbQIxMABicmlkETFXNzlsVXpoUDVDNVVuakFSc3J0YwZhcHBfaWQPNTQxNjM5NDkzODg5MDI1AAEefnH1UbdwofpdI_CiMiZqSVSkG-E51GXidOepqY31qSthTm9SFWcX8r87ZdM_aem_92EA8pIARN0b" TargetMode="External"/><Relationship Id="rId586" Type="http://schemas.openxmlformats.org/officeDocument/2006/relationships/hyperlink" Target="https://www.facebook.com/ads/library/?active_status=active&amp;ad_type=all&amp;country=ALL&amp;q=Plaza%20Shopping%20Niteroi&amp;search_type=keyword_unordered&amp;media_type=all" TargetMode="External"/><Relationship Id="rId587" Type="http://schemas.openxmlformats.org/officeDocument/2006/relationships/hyperlink" Target="https://l.facebook.com/l.php?u=https%3A%2F%2Fplazaniteroi.com.br%2F%3Fcnddefault%3Dtrue%26utm_campaign%3Dfranco_plaza-niteroi_festival-de-escolas-e-cursos_divulgacao_2609_na_alcance_awareness%26utm_source%3Dfacebook-instagram%26utm_medium%3Dsocial%26utm_c" TargetMode="External"/><Relationship Id="rId588" Type="http://schemas.openxmlformats.org/officeDocument/2006/relationships/hyperlink" Target="https://www.facebook.com/ads/library/?active_status=active&amp;ad_type=all&amp;country=ALL&amp;q=NeuroSaber&amp;search_type=keyword_unordered&amp;media_type=all" TargetMode="External"/><Relationship Id="rId589" Type="http://schemas.openxmlformats.org/officeDocument/2006/relationships/hyperlink" Target="https://l.facebook.com/l.php?u=https%3A%2F%2Fpromaisneurosaber.com.br%2Fneuroficina-da-matematica%2F%3Ffbclid%3DIwcGRvZgFleHRuA2FlbQIxMABicmlkETFXNzlsVXpoUDVDNVVuakFSc3J0YwZhcHBfaWQPNTQxNjM5NDkzODg5MDI1AAEe6-lGHam-0fdkKTskoHoSKGSmqNV9VvipHgVFi62EM8HQmWSe7" TargetMode="External"/><Relationship Id="rId590" Type="http://schemas.openxmlformats.org/officeDocument/2006/relationships/hyperlink" Target="https://www.facebook.com/ads/library/?active_status=active&amp;ad_type=all&amp;country=ALL&amp;q=Pensi%20Col&#233;gio%20e%20Curso&amp;search_type=keyword_unordered&amp;media_type=all" TargetMode="External"/><Relationship Id="rId591" Type="http://schemas.openxmlformats.org/officeDocument/2006/relationships/hyperlink" Target="https://l.facebook.com/l.php?u=https%3A%2F%2Fpensi.com.br%2Fmatriculas2027%2F%3Ffbclid%3DIwcGRvZgFleHRuA2FlbQIxMABicmlkETFXNzlsVXpoUDVDNVVuakFSc3J0YwZhcHBfaWQPNTQxNjM5NDkzODg5MDI1AAEeo6JyMjm1XPgMuTrdSlDmfT6YyerozLW2goY7wbM4vUwq0i3rwsBPh9wXcW0_aem_Bbd3xtFG" TargetMode="External"/><Relationship Id="rId592" Type="http://schemas.openxmlformats.org/officeDocument/2006/relationships/hyperlink" Target="https://www.facebook.com/ads/library/?active_status=active&amp;ad_type=all&amp;country=ALL&amp;q=Col&#233;gio%20ARBOS&amp;search_type=keyword_unordered&amp;media_type=all" TargetMode="External"/><Relationship Id="rId593" Type="http://schemas.openxmlformats.org/officeDocument/2006/relationships/hyperlink" Target="https://l.facebook.com/l.php?u=https%3A%2F%2Fforms.cloud.microsoft%2Fr%2F5Rwida9Vba%3Ffbclid%3DIwcGRvZgFleHRuA2FlbQIxMABicmlkETFXNzlsVXpoUDVDNVVuakFSc3J0YwZhcHBfaWQPNTQxNjM5NDkzODg5MDI1AAEefnH1UbdwofpdI_CiMiZqSVSkG-E51GXidOepqY31qSthTm9SFWcX8r87ZdM_aem_92" TargetMode="External"/><Relationship Id="rId594" Type="http://schemas.openxmlformats.org/officeDocument/2006/relationships/hyperlink" Target="https://www.facebook.com/ads/library/?active_status=active&amp;ad_type=all&amp;country=ALL&amp;q=Escola%20Visconde%20de%20Sabugosa&amp;search_type=keyword_unordered&amp;media_type=all" TargetMode="External"/><Relationship Id="rId595" Type="http://schemas.openxmlformats.org/officeDocument/2006/relationships/hyperlink" Target="https://l.facebook.com/l.php?u=https%3A%2F%2Fescolaviscondedesabugosa.com.br%2F%3Ffbclid%3DIwcGRvZgFleHRuA2FlbQIxMABicmlkETFXNzlsVXpoUDVDNVVuakFSc3J0YwZhcHBfaWQPNTQxNjM5NDkzODg5MDI1AAEefnH1UbdwofpdI_CiMiZqSVSkG-E51GXidOepqY31qSthTm9SFWcX8r87ZdM_aem_92EA8p" TargetMode="External"/><Relationship Id="rId596" Type="http://schemas.openxmlformats.org/officeDocument/2006/relationships/hyperlink" Target="https://www.facebook.com/ads/library/?active_status=active&amp;ad_type=all&amp;country=ALL&amp;q=Ju%20Mildemberg&amp;search_type=keyword_unordered&amp;media_type=all" TargetMode="External"/><Relationship Id="rId597" Type="http://schemas.openxmlformats.org/officeDocument/2006/relationships/hyperlink" Target="https://l.facebook.com/l.php?u=https%3A%2F%2Fwww.instagram.com%2F%3Ffbclid%3DIwcGRvZgFleHRuA2FlbQIxMABicmlkETFXNzlsVXpoUDVDNVVuakFSc3J0YwZhcHBfaWQPNTQxNjM5NDkzODg5MDI1AAEeomo5_C6J2q3cxfNXzkZroM0VILYhv9g6P2DO5yVgnfUBZbvhqs3M9JiYyF0_aem_ufln1sjNgmn5B-KCbgu6" TargetMode="External"/><Relationship Id="rId598" Type="http://schemas.openxmlformats.org/officeDocument/2006/relationships/hyperlink" Target="https://www.facebook.com/ads/library/?active_status=active&amp;ad_type=all&amp;country=ALL&amp;q=CIE%20%2F%20Centro%20Integrado%20de%20Ensino&amp;search_type=keyword_unordered&amp;media_type=all" TargetMode="External"/><Relationship Id="rId599" Type="http://schemas.openxmlformats.org/officeDocument/2006/relationships/hyperlink" Target="https://l.facebook.com/l.php?u=https%3A%2F%2Fcieducando.com.br%2Fmatriculas2027%3Ffbclid%3DIwcGRvZgFleHRuA2FlbQIxMABicmlkETFXNzlsVXpoUDVDNVVuakFSc3J0YwZhcHBfaWQPNTQxNjM5NDkzODg5MDI1AAEei-7k0OCV6rulAxe8m7jBCbQ9cA8KiGcW5XYIS0hD0RgB02J221k76asUC-Q_aem_r7SThf" TargetMode="External"/><Relationship Id="rId600" Type="http://schemas.openxmlformats.org/officeDocument/2006/relationships/hyperlink" Target="https://www.facebook.com/ads/library/?active_status=active&amp;ad_type=all&amp;country=ALL&amp;q=Mapas%20Pedag&#243;gicos&amp;search_type=keyword_unordered&amp;media_type=all" TargetMode="External"/><Relationship Id="rId601" Type="http://schemas.openxmlformats.org/officeDocument/2006/relationships/hyperlink" Target="https://l.facebook.com/l.php?u=https%3A%2F%2Finstagram.com%2Fmapaspedagogicos%3Ffbclid%3DIwcGRvZgFleHRuA2FlbQIxMABicmlkETFXNzlsVXpoUDVDNVVuakFSc3J0YwZhcHBfaWQPNTQxNjM5NDkzODg5MDI1AAEeIbNyWNnqt2-4raZja4sSumcYQpNwnkV8H12szpx0xM1nhqpZ-pH7bYS1Jwo_aem_kq6TAF2G" TargetMode="External"/><Relationship Id="rId602" Type="http://schemas.openxmlformats.org/officeDocument/2006/relationships/hyperlink" Target="https://www.facebook.com/ads/library/?active_status=active&amp;ad_type=all&amp;country=ALL&amp;q=Pritt&amp;search_type=keyword_unordered&amp;media_type=all" TargetMode="External"/><Relationship Id="rId603" Type="http://schemas.openxmlformats.org/officeDocument/2006/relationships/hyperlink" Target="https://l.facebook.com/l.php?u=https%3A%2F%2Fwww.prittworld.com.br%2F%3Ffbclid%3DIwcGRvZgFleHRuA2FlbQIxMABicmlkETFXNzlsVXpoUDVDNVVuakFSc3J0YwZhcHBfaWQPNTQxNjM5NDkzODg5MDI1AAEefnH1UbdwofpdI_CiMiZqSVSkG-E51GXidOepqY31qSthTm9SFWcX8r87ZdM_aem_92EA8pIARN0bInN1" TargetMode="External"/><Relationship Id="rId604" Type="http://schemas.openxmlformats.org/officeDocument/2006/relationships/hyperlink" Target="https://www.facebook.com/ads/library/?active_status=active&amp;ad_type=all&amp;country=ALL&amp;q=P&#225;gina%20%22Eliel%20Miranda%22&amp;search_type=keyword_unordered&amp;media_type=all" TargetMode="External"/><Relationship Id="rId605" Type="http://schemas.openxmlformats.org/officeDocument/2006/relationships/hyperlink" Target="https://www.facebook.com/elielmirandadeputadofederal5553" TargetMode="External"/><Relationship Id="rId606" Type="http://schemas.openxmlformats.org/officeDocument/2006/relationships/hyperlink" Target="https://www.facebook.com/ads/library/?active_status=active&amp;ad_type=all&amp;country=ALL&amp;q=Miguel%20Coelho&amp;search_type=keyword_unordered&amp;media_type=all" TargetMode="External"/><Relationship Id="rId607" Type="http://schemas.openxmlformats.org/officeDocument/2006/relationships/hyperlink" Target="https://www.facebook.com/ads/library/?active_status=active&amp;ad_type=all&amp;country=ALL&amp;q=Veja%20dicas%20de%20pesquisa.&amp;search_type=keyword_unordered&amp;media_type=all" TargetMode="External"/><Relationship Id="rId608" Type="http://schemas.openxmlformats.org/officeDocument/2006/relationships/hyperlink" Target="https://www.facebook.com/ads/library/?active_status=active&amp;ad_type=political_and_issue_ads&amp;country=BR&amp;is_targeted_country=false&amp;media_type=all&amp;sort_data[mode]=total_impressions&amp;sort_data[direction]=desc" TargetMode="External"/><Relationship Id="rId609" Type="http://schemas.openxmlformats.org/officeDocument/2006/relationships/hyperlink" Target="https://www.facebook.com/ads/library/?active_status=active&amp;ad_type=all&amp;country=ALL&amp;q=Mar&#237;lia%20Campos&amp;search_type=keyword_unordered&amp;media_type=all" TargetMode="External"/><Relationship Id="rId610" Type="http://schemas.openxmlformats.org/officeDocument/2006/relationships/hyperlink" Target="https://l.facebook.com/l.php?u=https%3A%2F%2Fwww.instagram.com%2Fmariliacampos.mg%3Ffbclid%3DIwcGRvZgFleHRuA2FlbQIxMABicmlkETFXNzlsVXpoUDVDNVVuakFSc3J0YwZhcHBfaWQPNTQxNjM5NDkzODg5MDI1AAEei-7k0OCV6rulAxe8m7jBCbQ9cA8KiGcW5XYIS0hD0RgB02J221k76asUC-Q_aem_r7ST" TargetMode="External"/><Relationship Id="rId61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facebook.com/ads/library/?active_status=active&amp;ad_type=all&amp;country=ALL&amp;q=Escola%20de%20Educa&#231;&#227;o%20Infantil%20Conviver&amp;search_type=keyword_unordered&amp;media_type=all" TargetMode="External"/><Relationship Id="rId2" Type="http://schemas.openxmlformats.org/officeDocument/2006/relationships/hyperlink" Target="https://www.facebook.com/escolainfantilconviver/" TargetMode="External"/><Relationship Id="rId3" Type="http://schemas.openxmlformats.org/officeDocument/2006/relationships/hyperlink" Target="https://www.facebook.com/ads/library/?active_status=active&amp;ad_type=all&amp;country=ALL&amp;q=espaco_alvo_triangulo&amp;search_type=keyword_unordered&amp;media_type=all" TargetMode="External"/><Relationship Id="rId4" Type="http://schemas.openxmlformats.org/officeDocument/2006/relationships/hyperlink" Target="https://l.facebook.com/l.php?u=https%3A%2F%2Fwww.instagram.com%2F_u%2F____365food%3Ffbclid%3DIwcGRvZgFleHRuA2FlbQIxMABicmlkETFXNzlsVXpoUDVDNVVuakFSc3J0YwZhcHBfaWQPNTQxNjM5NDkzODg5MDI1AAEefnH1UbdwofpdI_CiMiZqSVSkG-E51GXidOepqY31qSthTm9SFWcX8r87ZdM_aem_92EA" TargetMode="External"/><Relationship Id="rId5" Type="http://schemas.openxmlformats.org/officeDocument/2006/relationships/hyperlink" Target="https://www.facebook.com/ads/library/?active_status=active&amp;ad_type=all&amp;country=ALL&amp;q=Escola%20Kids&amp;search_type=keyword_unordered&amp;media_type=all" TargetMode="External"/><Relationship Id="rId6" Type="http://schemas.openxmlformats.org/officeDocument/2006/relationships/hyperlink" Target="https://www.facebook.com/ads/library/?active_status=active&amp;ad_type=all&amp;country=ALL&amp;q=Escola%20Kids&amp;search_type=keyword_unordered&amp;media_type=all" TargetMode="External"/><Relationship Id="rId7" Type="http://schemas.openxmlformats.org/officeDocument/2006/relationships/hyperlink" Target="https://www.facebook.com/ads/library/?active_status=active&amp;ad_type=all&amp;country=ALL&amp;q=&#193;pice%20Educa&#231;&#227;o%20Infantil&amp;search_type=keyword_unordered&amp;media_type=all" TargetMode="External"/><Relationship Id="rId8" Type="http://schemas.openxmlformats.org/officeDocument/2006/relationships/hyperlink" Target="https://api.whatsapp.com/send" TargetMode="External"/><Relationship Id="rId9" Type="http://schemas.openxmlformats.org/officeDocument/2006/relationships/hyperlink" Target="https://www.facebook.com/ads/library/?active_status=active&amp;ad_type=all&amp;country=ALL&amp;q=Escola%20de%20Educa&#231;&#227;o%20Infantil%20Turminha%20da%20Piquitita&amp;search_type=keyword_unordered&amp;media_type=all" TargetMode="External"/><Relationship Id="rId10" Type="http://schemas.openxmlformats.org/officeDocument/2006/relationships/hyperlink" Target="https://api.whatsapp.com/send" TargetMode="External"/><Relationship Id="rId11" Type="http://schemas.openxmlformats.org/officeDocument/2006/relationships/hyperlink" Target="https://www.facebook.com/ads/library/?active_status=active&amp;ad_type=all&amp;country=ALL&amp;q=DOM%20TITON%20-%20Escola%20Integral%20de%20Educa&#231;&#227;o%20Infantil&amp;search_type=keyword_unordered&amp;media_type=all" TargetMode="External"/><Relationship Id="rId12" Type="http://schemas.openxmlformats.org/officeDocument/2006/relationships/hyperlink" Target="https://l.facebook.com/l.php?u=http%3A%2F%2Finstagram.com%2Fdomtiton%3Ffbclid%3DIwcGRvZgFleHRuA2FlbQIxMABicmlkETFXNzlsVXpoUDVDNVVuakFSc3J0YwZhcHBfaWQPNTQxNjM5NDkzODg5MDI1AAEemiG7ZJSZpG9eI9fq5mE7SXnRpY_yuEiuCxv85peaXE2F7vnxtjwNXuT-oUQ_aem_8O1Am_K_CRhxY_Kqm" TargetMode="External"/><Relationship Id="rId13" Type="http://schemas.openxmlformats.org/officeDocument/2006/relationships/hyperlink" Target="https://www.facebook.com/ads/library/?active_status=active&amp;ad_type=all&amp;country=ALL&amp;q=colorecrecheescola&amp;search_type=keyword_unordered&amp;media_type=all" TargetMode="External"/><Relationship Id="rId14" Type="http://schemas.openxmlformats.org/officeDocument/2006/relationships/hyperlink" Target="https://l.facebook.com/l.php?u=https%3A%2F%2Fwww.instagram.com%2F_u%2Fcolorecrecheescola%3Ffbclid%3DIwcGRvZgFleHRuA2FlbQIxMABicmlkETFXNzlsVXpoUDVDNVVuakFSc3J0YwZhcHBfaWQPNTQxNjM5NDkzODg5MDI1AAEeH1AJh0vlnF3AlOcgu47q8hasJKuoUFcuVs3sw1Tqc3snFg8RJeOheD-ct6c_a" TargetMode="External"/><Relationship Id="rId15" Type="http://schemas.openxmlformats.org/officeDocument/2006/relationships/hyperlink" Target="https://www.facebook.com/ads/library/?active_status=active&amp;ad_type=all&amp;country=ALL&amp;q=colorecrecheescola&amp;search_type=keyword_unordered&amp;media_type=all" TargetMode="External"/><Relationship Id="rId16" Type="http://schemas.openxmlformats.org/officeDocument/2006/relationships/hyperlink" Target="https://l.facebook.com/l.php?u=https%3A%2F%2Fwww.instagram.com%2F_u%2Fcolorecrecheescola%3Ffbclid%3DIwcGRvZgFleHRuA2FlbQIxMABicmlkETFXNzlsVXpoUDVDNVVuakFSc3J0YwZhcHBfaWQPNTQxNjM5NDkzODg5MDI1AAEeIbNyWNnqt2-4raZja4sSumcYQpNwnkV8H12szpx0xM1nhqpZ-pH7bYS1Jwo_a" TargetMode="External"/><Relationship Id="rId17" Type="http://schemas.openxmlformats.org/officeDocument/2006/relationships/hyperlink" Target="https://www.facebook.com/ads/library/?active_status=active&amp;ad_type=all&amp;country=ALL&amp;q=Escola%20JM&amp;search_type=keyword_unordered&amp;media_type=all" TargetMode="External"/><Relationship Id="rId18" Type="http://schemas.openxmlformats.org/officeDocument/2006/relationships/hyperlink" Target="https://api.whatsapp.com/send" TargetMode="External"/><Relationship Id="rId19" Type="http://schemas.openxmlformats.org/officeDocument/2006/relationships/hyperlink" Target="https://www.facebook.com/ads/library/?active_status=active&amp;ad_type=all&amp;country=ALL&amp;q=Col&#233;gio%20Destaque&amp;search_type=keyword_unordered&amp;media_type=all" TargetMode="External"/><Relationship Id="rId20" Type="http://schemas.openxmlformats.org/officeDocument/2006/relationships/hyperlink" Target="https://api.whatsapp.com/send" TargetMode="External"/><Relationship Id="rId21" Type="http://schemas.openxmlformats.org/officeDocument/2006/relationships/hyperlink" Target="https://www.facebook.com/ads/library/?active_status=active&amp;ad_type=all&amp;country=ALL&amp;q=Baby%20Passinho%20-%20Ber&#231;&#225;rio%20e%20Educa&#231;&#227;o%20Infantil&amp;search_type=keyword_unordered&amp;media_type=all" TargetMode="External"/><Relationship Id="rId22" Type="http://schemas.openxmlformats.org/officeDocument/2006/relationships/hyperlink" Target="https://api.whatsapp.com/send" TargetMode="External"/><Relationship Id="rId23" Type="http://schemas.openxmlformats.org/officeDocument/2006/relationships/hyperlink" Target="https://www.facebook.com/ads/library/?active_status=active&amp;ad_type=all&amp;country=ALL&amp;q=Colore%20Creche%20Escola&amp;search_type=keyword_unordered&amp;media_type=all" TargetMode="External"/><Relationship Id="rId24" Type="http://schemas.openxmlformats.org/officeDocument/2006/relationships/hyperlink" Target="https://l.facebook.com/l.php?u=http%3A%2F%2Finstagram.com%2Fcolorecrecheescola%3Ffbclid%3DIwcGRvZgFleHRuA2FlbQIxMABicmlkETFXNzlsVXpoUDVDNVVuakFSc3J0YwZhcHBfaWQPNTQxNjM5NDkzODg5MDI1AAEefnH1UbdwofpdI_CiMiZqSVSkG-E51GXidOepqY31qSthTm9SFWcX8r87ZdM_aem_92EA8pI" TargetMode="External"/><Relationship Id="rId25" Type="http://schemas.openxmlformats.org/officeDocument/2006/relationships/hyperlink" Target="https://www.facebook.com/ads/library/?active_status=active&amp;ad_type=all&amp;country=ALL&amp;q=Baby%20Passinho%20-%20Ber&#231;&#225;rio%20e%20Educa&#231;&#227;o%20Infantil&amp;search_type=keyword_unordered&amp;media_type=all" TargetMode="External"/><Relationship Id="rId26" Type="http://schemas.openxmlformats.org/officeDocument/2006/relationships/hyperlink" Target="https://api.whatsapp.com/send" TargetMode="External"/><Relationship Id="rId27" Type="http://schemas.openxmlformats.org/officeDocument/2006/relationships/hyperlink" Target="https://www.facebook.com/ads/library/?active_status=active&amp;ad_type=all&amp;country=ALL&amp;q=Atividades%20da%20Pr&#244;%20-%20Recursos%20Pedag&#243;gicos&amp;search_type=keyword_unordered&amp;media_type=all" TargetMode="External"/><Relationship Id="rId28" Type="http://schemas.openxmlformats.org/officeDocument/2006/relationships/hyperlink" Target="https://l.facebook.com/l.php?u=https%3A%2F%2Fwww.instagram.com%2F_u%2Fatividadesdapro_%3Ffbclid%3DIwcGRvZgFleHRuA2FlbQIxMABicmlkETFXNzlsVXpoUDVDNVVuakFSc3J0YwZhcHBfaWQPNTQxNjM5NDkzODg5MDI1AAEeIbNyWNnqt2-4raZja4sSumcYQpNwnkV8H12szpx0xM1nhqpZ-pH7bYS1Jwo_aem" TargetMode="External"/><Relationship Id="rId29" Type="http://schemas.openxmlformats.org/officeDocument/2006/relationships/hyperlink" Target="https://www.facebook.com/ads/library/?active_status=active&amp;ad_type=all&amp;country=ALL&amp;q=infinito_afeto&amp;search_type=keyword_unordered&amp;media_type=all" TargetMode="External"/><Relationship Id="rId30" Type="http://schemas.openxmlformats.org/officeDocument/2006/relationships/hyperlink" Target="https://l.facebook.com/l.php?u=https%3A%2F%2Fwww.instagram.com%2F_u%2Finfinito_afeto%3Ffbclid%3DIwcGRvZgFleHRuA2FlbQIxMABicmlkETFXNzlsVXpoUDVDNVVuakFSc3J0YwZhcHBfaWQPNTQxNjM5NDkzODg5MDI1AAEeomo5_C6J2q3cxfNXzkZroM0VILYhv9g6P2DO5yVgnfUBZbvhqs3M9JiYyF0_aem_u" TargetMode="External"/><Relationship Id="rId31" Type="http://schemas.openxmlformats.org/officeDocument/2006/relationships/hyperlink" Target="https://www.facebook.com/ads/library/?active_status=active&amp;ad_type=all&amp;country=ALL&amp;q=Colore%20Creche%20Escola&amp;search_type=keyword_unordered&amp;media_type=all" TargetMode="External"/><Relationship Id="rId32" Type="http://schemas.openxmlformats.org/officeDocument/2006/relationships/hyperlink" Target="https://api.whatsapp.com/send" TargetMode="External"/><Relationship Id="rId33" Type="http://schemas.openxmlformats.org/officeDocument/2006/relationships/hyperlink" Target="https://www.facebook.com/ads/library/?active_status=active&amp;ad_type=all&amp;country=ALL&amp;q=Mariane%20Assis%20Dias&amp;search_type=keyword_unordered&amp;media_type=all" TargetMode="External"/><Relationship Id="rId34" Type="http://schemas.openxmlformats.org/officeDocument/2006/relationships/hyperlink" Target="https://l.facebook.com/l.php?u=http%3A%2F%2Finstagram.com%2Fmarianeassis_dias%3Ffbclid%3DIwcGRvZgFleHRuA2FlbQIxMABicmlkETFXNzlsVXpoUDVDNVVuakFSc3J0YwZhcHBfaWQPNTQxNjM5NDkzODg5MDI1AAEefnH1UbdwofpdI_CiMiZqSVSkG-E51GXidOepqY31qSthTm9SFWcX8r87ZdM_aem_92EA8pIA" TargetMode="External"/><Relationship Id="rId35" Type="http://schemas.openxmlformats.org/officeDocument/2006/relationships/hyperlink" Target="https://www.facebook.com/ads/library/?active_status=active&amp;ad_type=all&amp;country=ALL&amp;q=Atividades%20Com%20Amor&amp;search_type=keyword_unordered&amp;media_type=all" TargetMode="External"/><Relationship Id="rId36" Type="http://schemas.openxmlformats.org/officeDocument/2006/relationships/hyperlink" Target="https://l.facebook.com/l.php?u=https%3A%2F%2Fatividadescomamor.com.br%2Fproduto%2Fcards-massinha%2F%3Ffbclid%3DIwcGRvZgFleHRuA2FlbQIxMABicmlkETFXNzlsVXpoUDVDNVVuakFSc3J0YwZhcHBfaWQPNTQxNjM5NDkzODg5MDI1AAEefbFGDO-zrlIqJQIlM89BJn9ihvjEznXMXNSN5_rYbXTZcEwyAe" TargetMode="External"/><Relationship Id="rId37" Type="http://schemas.openxmlformats.org/officeDocument/2006/relationships/hyperlink" Target="https://www.facebook.com/ads/library/?active_status=active&amp;ad_type=all&amp;country=ALL&amp;q=Mariane%20Assis%20Dias&amp;search_type=keyword_unordered&amp;media_type=all" TargetMode="External"/><Relationship Id="rId38" Type="http://schemas.openxmlformats.org/officeDocument/2006/relationships/hyperlink" Target="https://l.facebook.com/l.php?u=http%3A%2F%2Finstagram.com%2Fmarianeassis_dias%3Ffbclid%3DIwcGRvZgFleHRuA2FlbQIxMABicmlkETFXNzlsVXpoUDVDNVVuakFSc3J0YwZhcHBfaWQPNTQxNjM5NDkzODg5MDI1AAEef2Ay9JH-w62yBzipAYnGYPW8DpiIbNWtsD3FV7TbiynhJrf2FJ-gR6gVWdQ_aem_PkwtiNv2" TargetMode="External"/><Relationship Id="rId39" Type="http://schemas.openxmlformats.org/officeDocument/2006/relationships/hyperlink" Target="https://www.facebook.com/ads/library/?active_status=active&amp;ad_type=all&amp;country=ALL&amp;q=Mind%20Makers&amp;search_type=keyword_unordered&amp;media_type=all" TargetMode="External"/><Relationship Id="rId40" Type="http://schemas.openxmlformats.org/officeDocument/2006/relationships/hyperlink" Target="https://l.facebook.com/l.php?u=https%3A%2F%2Fmindmakers.com.br%2F%3Futm_source%3D%257B%257Bsite_source_name%257D%257D%26utm_medium%3Dcpc%26utm_campaign%3DAC_MM_CP3_Institucional_Awareness_Topo_CBO%26utm_content%3DMM_CP3_CJ1_Interesse_Frio_Brasil_Feed%26ut" TargetMode="External"/><Relationship Id="rId41" Type="http://schemas.openxmlformats.org/officeDocument/2006/relationships/hyperlink" Target="https://www.facebook.com/ads/library/?active_status=active&amp;ad_type=all&amp;country=ALL&amp;q=Mind%20Makers&amp;search_type=keyword_unordered&amp;media_type=all" TargetMode="External"/><Relationship Id="rId42" Type="http://schemas.openxmlformats.org/officeDocument/2006/relationships/hyperlink" Target="https://l.facebook.com/l.php?u=https%3A%2F%2Fmindmakers.com.br%2F%3Futm_source%3D%257B%257Bsite_source_name%257D%257D%26utm_medium%3Dcpc%26utm_campaign%3DAC_MM_CP3_Institucional_Awareness_Topo_CBO%26utm_content%3DMM_CP3_CJ3_Interesse_Frio_SE_Feed%26utm_te" TargetMode="External"/><Relationship Id="rId43" Type="http://schemas.openxmlformats.org/officeDocument/2006/relationships/hyperlink" Target="https://www.facebook.com/ads/library/?active_status=active&amp;ad_type=all&amp;country=ALL&amp;q=Mind%20Makers&amp;search_type=keyword_unordered&amp;media_type=all" TargetMode="External"/><Relationship Id="rId44" Type="http://schemas.openxmlformats.org/officeDocument/2006/relationships/hyperlink" Target="https://l.facebook.com/l.php?u=https%3A%2F%2Fmindmakers.com.br%2F%3Futm_source%3D%257B%257Bsite_source_name%257D%257D%26utm_medium%3Dcpc%26utm_campaign%3DAC_MM_CP3_Institucional_Awareness_Topo_CBO%26utm_content%3DMM_CP3_CJ1_Interesse_Frio_Brasil_Feed%26ut" TargetMode="External"/><Relationship Id="rId45" Type="http://schemas.openxmlformats.org/officeDocument/2006/relationships/hyperlink" Target="https://www.facebook.com/ads/library/?active_status=active&amp;ad_type=all&amp;country=ALL&amp;q=Instituto%20Alfa%20e%20Beto&amp;search_type=keyword_unordered&amp;media_type=all" TargetMode="External"/><Relationship Id="rId46" Type="http://schemas.openxmlformats.org/officeDocument/2006/relationships/hyperlink" Target="https://l.facebook.com/l.php?u=https%3A%2F%2Falfaebeto.lojaintegrada.com.br%2Fprimeira-infancia%3Fsort%3Dmais_vendidos%26fbclid%3DIwcGRvZgFleHRuA2FlbQIxMABicmlkETFXNzlsVXpoUDVDNVVuakFSc3J0YwZhcHBfaWQPNTQxNjM5NDkzODg5MDI1AAEefnH1UbdwofpdI_CiMiZqSVSkG-E51GX" TargetMode="External"/><Relationship Id="rId47" Type="http://schemas.openxmlformats.org/officeDocument/2006/relationships/hyperlink" Target="https://www.facebook.com/ads/library/?active_status=active&amp;ad_type=all&amp;country=ALL&amp;q=Focanoensino&amp;search_type=keyword_unordered&amp;media_type=all" TargetMode="External"/><Relationship Id="rId48" Type="http://schemas.openxmlformats.org/officeDocument/2006/relationships/hyperlink" Target="https://l.facebook.com/l.php?u=https%3A%2F%2Ffocanoensino.com.br%2Fproduct%2Fdados-quebra-cabeca%2F%3Ffbclid%3DIwcGRvZgFleHRuA2FlbQIxMABicmlkETFXNzlsVXpoUDVDNVVuakFSc3J0YwZhcHBfaWQPNTQxNjM5NDkzODg5MDI1AAEefnH1UbdwofpdI_CiMiZqSVSkG-E51GXidOepqY31qSthTm9SFW" TargetMode="External"/><Relationship Id="rId49" Type="http://schemas.openxmlformats.org/officeDocument/2006/relationships/hyperlink" Target="https://www.facebook.com/ads/library/?active_status=active&amp;ad_type=all&amp;country=ALL&amp;q=Ensina%20Mais%20Franquias&amp;search_type=keyword_unordered&amp;media_type=all" TargetMode="External"/><Relationship Id="rId50" Type="http://schemas.openxmlformats.org/officeDocument/2006/relationships/hyperlink" Target="https://l.facebook.com/l.php?u=https%3A%2F%2Ffranquias.moveedu.com.br%2Fensina-mais-seja-franqueado%3Futm_source%3Dfacebook%26utm_medium%3Dcpc%26utm_campaign%3Densina-conversao-2023%26utm_term%3Dcadastro%26utm_content%3D02_empreendedorismo%26fbclid%3DIwcG" TargetMode="External"/><Relationship Id="rId51" Type="http://schemas.openxmlformats.org/officeDocument/2006/relationships/hyperlink" Target="https://www.facebook.com/ads/library/?active_status=active&amp;ad_type=all&amp;country=ALL&amp;q=Anhanguera%20Educacional&amp;search_type=keyword_unordered&amp;media_type=all" TargetMode="External"/><Relationship Id="rId52" Type="http://schemas.openxmlformats.org/officeDocument/2006/relationships/hyperlink" Target="https://api.whatsapp.com/send" TargetMode="External"/><Relationship Id="rId53" Type="http://schemas.openxmlformats.org/officeDocument/2006/relationships/hyperlink" Target="https://www.facebook.com/ads/library/?active_status=active&amp;ad_type=all&amp;country=ALL&amp;q=Col&#233;gio%20Nossa%20Senhora%20da%20Miseric&#243;rdia%20-%20Vargem%20Grande%20Paulista&amp;search_type=keyword_unordered&amp;media_type=all" TargetMode="External"/><Relationship Id="rId54" Type="http://schemas.openxmlformats.org/officeDocument/2006/relationships/hyperlink" Target="https://l.facebook.com/l.php?u=https%3A%2F%2Fone.crmeducacional.com%2FLandingPage%2FLP%2FREDUCAR%2FReducarVG%3Ffbclid%3DIwcGRvZgFleHRuA2FlbQIxMABicmlkETFXNzlsVXpoUDVDNVVuakFSc3J0YwZhcHBfaWQPNTQxNjM5NDkzODg5MDI1AAEeH1AJh0vlnF3AlOcgu47q8hasJKuoUFcuVs3sw1Tqc" TargetMode="External"/><Relationship Id="rId55" Type="http://schemas.openxmlformats.org/officeDocument/2006/relationships/hyperlink" Target="https://www.facebook.com/ads/library/?active_status=active&amp;ad_type=all&amp;country=ALL&amp;q=Col&#233;gio%20Nossa%20Senhora%20da%20Miseric&#243;rdia%20-%20Vargem%20Grande%20Paulista&amp;search_type=keyword_unordered&amp;media_type=all" TargetMode="External"/><Relationship Id="rId56" Type="http://schemas.openxmlformats.org/officeDocument/2006/relationships/hyperlink" Target="https://l.facebook.com/l.php?u=https%3A%2F%2Fone.crmeducacional.com%2FLandingPage%2FLP%2FREDUCAR%2FReducarVG%3Ffbclid%3DIwcGRvZgFleHRuA2FlbQIxMABicmlkETFXNzlsVXpoUDVDNVVuakFSc3J0YwZhcHBfaWQPNTQxNjM5NDkzODg5MDI1AAEefbFGDO-zrlIqJQIlM89BJn9ihvjEznXMXNSN5_rYb" TargetMode="External"/><Relationship Id="rId57" Type="http://schemas.openxmlformats.org/officeDocument/2006/relationships/hyperlink" Target="https://www.facebook.com/ads/library/?active_status=active&amp;ad_type=all&amp;country=ALL&amp;q=C&#226;mara%20Municipal%20da%20Serra&amp;search_type=keyword_unordered&amp;media_type=all" TargetMode="External"/><Relationship Id="rId58" Type="http://schemas.openxmlformats.org/officeDocument/2006/relationships/hyperlink" Target="https://scontent.ffor7-1.fna.fbcdn.net/o1/v/t2/f2/m86/AQOvGbW5CScARgTTyA6q_a-YBIArsq06jo94l44y1pIbyvUQQIdLdhhhMcwpZdet-3TQQaPfoiopqQYbRtr4OW0tevuDiFZastp7Pfg.mp4?_nc_cat=110&amp;_nc_oc=AdqupWjU1o9LfGwUqccjMDDFqjFlhkotQl9NlcajKcj7A1Gkir49beWq48UfhC6Sqq8&amp;_nc_si" TargetMode="External"/><Relationship Id="rId59" Type="http://schemas.openxmlformats.org/officeDocument/2006/relationships/hyperlink" Target="https://www.facebook.com/ads/library/?active_status=active&amp;ad_type=all&amp;country=ALL&amp;q=CIEC%20Bil&#237;ngue&amp;search_type=keyword_unordered&amp;media_type=all" TargetMode="External"/><Relationship Id="rId60" Type="http://schemas.openxmlformats.org/officeDocument/2006/relationships/hyperlink" Target="https://l.facebook.com/l.php?u=http%3A%2F%2Fwww.ciecpe.com.br%2F%3Ffbclid%3DIwcGRvZgFleHRuA2FlbQIxMABicmlkETFXNzlsVXpoUDVDNVVuakFSc3J0YwZhcHBfaWQPNTQxNjM5NDkzODg5MDI1AAEeo6JyMjm1XPgMuTrdSlDmfT6YyerozLW2goY7wbM4vUwq0i3rwsBPh9wXcW0_aem_Bbd3xtFGd99neFp52YSVb" TargetMode="External"/><Relationship Id="rId61" Type="http://schemas.openxmlformats.org/officeDocument/2006/relationships/hyperlink" Target="https://www.facebook.com/ads/library/?active_status=active&amp;ad_type=all&amp;country=ALL&amp;q=ElloCursos%20Psicologia&amp;search_type=keyword_unordered&amp;media_type=all" TargetMode="External"/><Relationship Id="rId62" Type="http://schemas.openxmlformats.org/officeDocument/2006/relationships/hyperlink" Target="https://l.facebook.com/l.php?u=https%3A%2F%2Fwww.ellocursos.com.br%2Fkit-emocoes-infantis%2F%3Ffbclid%3DIwcGRvZgFleHRuA2FlbQIxMABicmlkETFXNzlsVXpoUDVDNVVuakFSc3J0YwZhcHBfaWQPNTQxNjM5NDkzODg5MDI1AAEefbFGDO-zrlIqJQIlM89BJn9ihvjEznXMXNSN5_rYbXTZcEwyAe3CyzX9P" TargetMode="External"/><Relationship Id="rId63" Type="http://schemas.openxmlformats.org/officeDocument/2006/relationships/hyperlink" Target="https://www.facebook.com/ads/library/?active_status=active&amp;ad_type=all&amp;country=ALL&amp;q=ElloCursos%20Psicologia&amp;search_type=keyword_unordered&amp;media_type=all" TargetMode="External"/><Relationship Id="rId64" Type="http://schemas.openxmlformats.org/officeDocument/2006/relationships/hyperlink" Target="https://l.facebook.com/l.php?u=https%3A%2F%2Fwww.ellocursos.com.br%2Fkit-emocoes-infantis%2F%3Ffbclid%3DIwcGRvZgFleHRuA2FlbQIxMABicmlkETFXNzlsVXpoUDVDNVVuakFSc3J0YwZhcHBfaWQPNTQxNjM5NDkzODg5MDI1AAEeH1AJh0vlnF3AlOcgu47q8hasJKuoUFcuVs3sw1Tqc3snFg8RJeOheD-ct" TargetMode="External"/><Relationship Id="rId65" Type="http://schemas.openxmlformats.org/officeDocument/2006/relationships/hyperlink" Target="https://www.facebook.com/ads/library/?active_status=active&amp;ad_type=all&amp;country=ALL&amp;q=ElloCursos%20Psicologia&amp;search_type=keyword_unordered&amp;media_type=all" TargetMode="External"/><Relationship Id="rId66" Type="http://schemas.openxmlformats.org/officeDocument/2006/relationships/hyperlink" Target="https://l.facebook.com/l.php?u=https%3A%2F%2Fwww.ellocursos.com.br%2Fkit-emocoes-infantis%2F%3Ffbclid%3DIwcGRvZgFleHRuA2FlbQIxMABicmlkETFXNzlsVXpoUDVDNVVuakFSc3J0YwZhcHBfaWQPNTQxNjM5NDkzODg5MDI1AAEemiG7ZJSZpG9eI9fq5mE7SXnRpY_yuEiuCxv85peaXE2F7vnxtjwNXuT-o" TargetMode="External"/><Relationship Id="rId67" Type="http://schemas.openxmlformats.org/officeDocument/2006/relationships/hyperlink" Target="https://www.facebook.com/ads/library/?active_status=active&amp;ad_type=all&amp;country=ALL&amp;q=Valecup%20-%20Cursos%20Pedag&#243;gicos&amp;search_type=keyword_unordered&amp;media_type=all" TargetMode="External"/><Relationship Id="rId68" Type="http://schemas.openxmlformats.org/officeDocument/2006/relationships/hyperlink" Target="https://l.facebook.com/l.php?u=https%3A%2F%2Fvalecup.com.br%2Fformacao-em-auxiliar-de-creche-e-bercarista%2F%3Ffbclid%3DIwcGRvZgFleHRuA2FlbQIxMABicmlkETFXNzlsVXpoUDVDNVVuakFSc3J0YwZhcHBfaWQPNTQxNjM5NDkzODg5MDI1AAEei-7k0OCV6rulAxe8m7jBCbQ9cA8KiGcW5XYIS0hD0" TargetMode="External"/><Relationship Id="rId69" Type="http://schemas.openxmlformats.org/officeDocument/2006/relationships/hyperlink" Target="https://www.facebook.com/ads/library/?active_status=active&amp;ad_type=all&amp;country=ALL&amp;q=Valecup%20-%20Cursos%20Pedag&#243;gicos&amp;search_type=keyword_unordered&amp;media_type=all" TargetMode="External"/><Relationship Id="rId70" Type="http://schemas.openxmlformats.org/officeDocument/2006/relationships/hyperlink" Target="https://l.facebook.com/l.php?u=https%3A%2F%2Fvalecup.com.br%2Fformacao-em-auxiliar-de-creche-e-bercarista%2F%3Ffbclid%3DIwcGRvZgFleHRuA2FlbQIxMABicmlkETFXNzlsVXpoUDVDNVVuakFSc3J0YwZhcHBfaWQPNTQxNjM5NDkzODg5MDI1AAEeH1AJh0vlnF3AlOcgu47q8hasJKuoUFcuVs3sw1Tqc" TargetMode="External"/><Relationship Id="rId71" Type="http://schemas.openxmlformats.org/officeDocument/2006/relationships/hyperlink" Target="https://www.facebook.com/ads/library/?active_status=active&amp;ad_type=all&amp;country=ALL&amp;q=S&#243;%20Educador&amp;search_type=keyword_unordered&amp;media_type=all" TargetMode="External"/><Relationship Id="rId72" Type="http://schemas.openxmlformats.org/officeDocument/2006/relationships/hyperlink" Target="https://l.facebook.com/l.php?u=https%3A%2F%2Fwww.soeducador.com.br%2F%3Ffbclid%3DIwcGRvZgFleHRuA2FlbQIxMABicmlkETFXNzlsVXpoUDVDNVVuakFSc3J0YwZhcHBfaWQPNTQxNjM5NDkzODg5MDI1AAEemiG7ZJSZpG9eI9fq5mE7SXnRpY_yuEiuCxv85peaXE2F7vnxtjwNXuT-oUQ_aem_8O1Am_K_CRhxY_Kq" TargetMode="External"/><Relationship Id="rId73" Type="http://schemas.openxmlformats.org/officeDocument/2006/relationships/hyperlink" Target="https://www.facebook.com/ads/library/?active_status=active&amp;ad_type=all&amp;country=ALL&amp;q=Bolsa&#234;&amp;search_type=keyword_unordered&amp;media_type=all" TargetMode="External"/><Relationship Id="rId74" Type="http://schemas.openxmlformats.org/officeDocument/2006/relationships/hyperlink" Target="https://l.facebook.com/l.php?u=https%3A%2F%2Fbolsae.com.br%2Fresultado.php%3FAcao%3Dpesquisa_basico%26cidade_pesquisa%3D9321%26valor_max%3D3665%26bairro_pesquisa%3DBento%2520Ribeiro%26escola%3D%26segmento_pesquisa%3D2%26fbclid%3DIwcGRvZgFleHRuA2FlbQIxMABi" TargetMode="External"/><Relationship Id="rId75" Type="http://schemas.openxmlformats.org/officeDocument/2006/relationships/hyperlink" Target="https://www.facebook.com/ads/library/?active_status=active&amp;ad_type=all&amp;country=ALL&amp;q=EducaBrasil&amp;search_type=keyword_unordered&amp;media_type=all" TargetMode="External"/><Relationship Id="rId76" Type="http://schemas.openxmlformats.org/officeDocument/2006/relationships/hyperlink" Target="https://l.facebook.com/l.php?u=http%3A%2F%2Ffb.me%2F&amp;h=AUCSvaiFYluCrwvUX96TO9ecJ379v9Bsu66JouQzAu7aUUZDyeYE9b8QMV6oarun2-207rbUBmWF7jqojuL7PdZPXWszSHGGccjzxqyzQ9B_fsJy8oVGZ0dgxqdbH3vhl2zeEKW5H_c" TargetMode="External"/><Relationship Id="rId77" Type="http://schemas.openxmlformats.org/officeDocument/2006/relationships/hyperlink" Target="https://www.facebook.com/ads/library/?active_status=active&amp;ad_type=all&amp;country=ALL&amp;q=Col&#233;gio%20Peres%20Osasco&amp;search_type=keyword_unordered&amp;media_type=all" TargetMode="External"/><Relationship Id="rId78" Type="http://schemas.openxmlformats.org/officeDocument/2006/relationships/hyperlink" Target="https://l.facebook.com/l.php?u=http%3A%2F%2Finstagram.com%2Fcolegioperesosasco%3Ffbclid%3DIwcGRvZgFleHRuA2FlbQIxMABicmlkETFXNzlsVXpoUDVDNVVuakFSc3J0YwZhcHBfaWQPNTQxNjM5NDkzODg5MDI1AAEe6-lGHam-0fdkKTskoHoSKGSmqNV9VvipHgVFi62EM8HQmWSe7Dfh30LV9E4_aem_jPsRlTW" TargetMode="External"/><Relationship Id="rId79" Type="http://schemas.openxmlformats.org/officeDocument/2006/relationships/hyperlink" Target="https://www.facebook.com/ads/library/?active_status=active&amp;ad_type=all&amp;country=ALL&amp;q=Instituto%20NeuroSaber&amp;search_type=keyword_unordered&amp;media_type=all" TargetMode="External"/><Relationship Id="rId80" Type="http://schemas.openxmlformats.org/officeDocument/2006/relationships/hyperlink" Target="https://l.facebook.com/l.php?u=https%3A%2F%2Fposneurosaber.com.br%2Flista-de-espera-pos-tdah%2F%3Ffbclid%3DIwcGRvZgFleHRuA2FlbQIxMABicmlkETFXNzlsVXpoUDVDNVVuakFSc3J0YwZhcHBfaWQPNTQxNjM5NDkzODg5MDI1AAEei-7k0OCV6rulAxe8m7jBCbQ9cA8KiGcW5XYIS0hD0RgB02J221k76a" TargetMode="External"/><Relationship Id="rId81" Type="http://schemas.openxmlformats.org/officeDocument/2006/relationships/hyperlink" Target="https://www.facebook.com/ads/library/?active_status=active&amp;ad_type=all&amp;country=ALL&amp;q=CLQ%20Col&#233;gio&amp;search_type=keyword_unordered&amp;media_type=all" TargetMode="External"/><Relationship Id="rId82" Type="http://schemas.openxmlformats.org/officeDocument/2006/relationships/hyperlink" Target="https://api.whatsapp.com/send" TargetMode="External"/><Relationship Id="rId83" Type="http://schemas.openxmlformats.org/officeDocument/2006/relationships/hyperlink" Target="https://www.facebook.com/ads/library/?active_status=active&amp;ad_type=all&amp;country=ALL&amp;q=Escola%20do%20S&#237;tio%20-%20Educa&#231;&#227;o%20Infantil%20e%20Ensino%20Fundamental%20Campinas&amp;search_type=keyword_unordered&amp;media_type=all" TargetMode="External"/><Relationship Id="rId84" Type="http://schemas.openxmlformats.org/officeDocument/2006/relationships/hyperlink" Target="https://l.facebook.com/l.php?u=http%3A%2F%2Finstagram.com%2Fescola_do_sitio%3Ffbclid%3DIwcGRvZgFleHRuA2FlbQIxMABicmlkETFXNzlsVXpoUDVDNVVuakFSc3J0YwZhcHBfaWQPNTQxNjM5NDkzODg5MDI1AAEefnH1UbdwofpdI_CiMiZqSVSkG-E51GXidOepqY31qSthTm9SFWcX8r87ZdM_aem_92EA8pIARN" TargetMode="External"/><Relationship Id="rId85" Type="http://schemas.openxmlformats.org/officeDocument/2006/relationships/hyperlink" Target="https://www.facebook.com/ads/library/?active_status=active&amp;ad_type=all&amp;country=ALL&amp;q=Atividades%20Com%20Amor&amp;search_type=keyword_unordered&amp;media_type=all" TargetMode="External"/><Relationship Id="rId86" Type="http://schemas.openxmlformats.org/officeDocument/2006/relationships/hyperlink" Target="https://l.facebook.com/l.php?u=https%3A%2F%2Fatividadescomamor.com.br%2Fproduto%2Fcards-massinha%2F%3Ffbclid%3DIwcGRvZgFleHRuA2FlbQIxMABicmlkETFXNzlsVXpoUDVDNVVuakFSc3J0YwZhcHBfaWQPNTQxNjM5NDkzODg5MDI1AAEemiG7ZJSZpG9eI9fq5mE7SXnRpY_yuEiuCxv85peaXE2F7vnxtj" TargetMode="External"/><Relationship Id="rId87" Type="http://schemas.openxmlformats.org/officeDocument/2006/relationships/hyperlink" Target="https://www.facebook.com/ads/library/?active_status=active&amp;ad_type=all&amp;country=ALL&amp;q=Valecup%20-%20Cursos%20Pedag&#243;gicos&amp;search_type=keyword_unordered&amp;media_type=all" TargetMode="External"/><Relationship Id="rId88" Type="http://schemas.openxmlformats.org/officeDocument/2006/relationships/hyperlink" Target="https://l.facebook.com/l.php?u=https%3A%2F%2Fvalecup.com.br%2Fpos-graduacao-em-educacao-infantil-de-0-a-6-anos%2F%3Ffbclid%3DIwcGRvZgFleHRuA2FlbQIxMABicmlkETFXNzlsVXpoUDVDNVVuakFSc3J0YwZhcHBfaWQPNTQxNjM5NDkzODg5MDI1AAEeH1AJh0vlnF3AlOcgu47q8hasJKuoUFcuVs3s" TargetMode="External"/><Relationship Id="rId89" Type="http://schemas.openxmlformats.org/officeDocument/2006/relationships/hyperlink" Target="https://www.facebook.com/ads/library/?active_status=active&amp;ad_type=all&amp;country=ALL&amp;q=Valecup%20-%20Cursos%20Pedag&#243;gicos&amp;search_type=keyword_unordered&amp;media_type=all" TargetMode="External"/><Relationship Id="rId90" Type="http://schemas.openxmlformats.org/officeDocument/2006/relationships/hyperlink" Target="https://l.facebook.com/l.php?u=https%3A%2F%2Fvalecup.com.br%2Fpos-graduacao-em-educacao-infantil-de-0-a-6-anos%2F%3Ffbclid%3DIwcGRvZgFleHRuA2FlbQIxMABicmlkETFXNzlsVXpoUDVDNVVuakFSc3J0YwZhcHBfaWQPNTQxNjM5NDkzODg5MDI1AAEeH1AJh0vlnF3AlOcgu47q8hasJKuoUFcuVs3s" TargetMode="External"/><Relationship Id="rId91" Type="http://schemas.openxmlformats.org/officeDocument/2006/relationships/hyperlink" Target="https://www.facebook.com/ads/library/?active_status=active&amp;ad_type=all&amp;country=ALL&amp;q=Escola%20L&#225;pis&amp;search_type=keyword_unordered&amp;media_type=all" TargetMode="External"/><Relationship Id="rId92" Type="http://schemas.openxmlformats.org/officeDocument/2006/relationships/hyperlink" Target="https://api.whatsapp.com/send" TargetMode="External"/><Relationship Id="rId93" Type="http://schemas.openxmlformats.org/officeDocument/2006/relationships/hyperlink" Target="https://www.facebook.com/ads/library/?active_status=active&amp;ad_type=all&amp;country=ALL&amp;q=Escola%20L&#225;pis&amp;search_type=keyword_unordered&amp;media_type=all" TargetMode="External"/><Relationship Id="rId94" Type="http://schemas.openxmlformats.org/officeDocument/2006/relationships/hyperlink" Target="https://api.whatsapp.com/send" TargetMode="External"/><Relationship Id="rId95" Type="http://schemas.openxmlformats.org/officeDocument/2006/relationships/hyperlink" Target="https://www.facebook.com/ads/library/?active_status=active&amp;ad_type=all&amp;country=ALL&amp;q=Escola%20L&#225;pis&amp;search_type=keyword_unordered&amp;media_type=all" TargetMode="External"/><Relationship Id="rId96" Type="http://schemas.openxmlformats.org/officeDocument/2006/relationships/hyperlink" Target="https://api.whatsapp.com/send" TargetMode="External"/><Relationship Id="rId97" Type="http://schemas.openxmlformats.org/officeDocument/2006/relationships/hyperlink" Target="https://www.facebook.com/ads/library/?active_status=active&amp;ad_type=all&amp;country=ALL&amp;q=IESV-Instituto%20Educacional%20Sol%20de%20Ver&#227;o&amp;search_type=keyword_unordered&amp;media_type=all" TargetMode="External"/><Relationship Id="rId98" Type="http://schemas.openxmlformats.org/officeDocument/2006/relationships/hyperlink" Target="https://l.facebook.com/l.php?u=http%3A%2F%2Fwww.iesv.com.br%2F%3Ffbclid%3DIwcGRvZgFleHRuA2FlbQIxMABicmlkETFXNzlsVXpoUDVDNVVuakFSc3J0YwZhcHBfaWQPNTQxNjM5NDkzODg5MDI1AAEef2Ay9JH-w62yBzipAYnGYPW8DpiIbNWtsD3FV7TbiynhJrf2FJ-gR6gVWdQ_aem_PkwtiNv2ICYFUGr49F4h3A&amp;" TargetMode="External"/><Relationship Id="rId99" Type="http://schemas.openxmlformats.org/officeDocument/2006/relationships/hyperlink" Target="https://www.facebook.com/ads/library/?active_status=active&amp;ad_type=all&amp;country=ALL&amp;q=IESV-Instituto%20Educacional%20Sol%20de%20Ver&#227;o&amp;search_type=keyword_unordered&amp;media_type=all" TargetMode="External"/><Relationship Id="rId100" Type="http://schemas.openxmlformats.org/officeDocument/2006/relationships/hyperlink" Target="https://l.facebook.com/l.php?u=http%3A%2F%2Fwww.iesv.com.br%2F%3Ffbclid%3DIwcGRvZgFleHRuA2FlbQIxMABicmlkETFXNzlsVXpoUDVDNVVuakFSc3J0YwZhcHBfaWQPNTQxNjM5NDkzODg5MDI1AAEefnH1UbdwofpdI_CiMiZqSVSkG-E51GXidOepqY31qSthTm9SFWcX8r87ZdM_aem_92EA8pIARN0bInN1Ypif_A&amp;" TargetMode="External"/><Relationship Id="rId101" Type="http://schemas.openxmlformats.org/officeDocument/2006/relationships/hyperlink" Target="https://www.facebook.com/ads/library/?active_status=active&amp;ad_type=all&amp;country=ALL&amp;q=Petit%20Kids%20Cultural%20Center&amp;search_type=keyword_unordered&amp;media_type=all" TargetMode="External"/><Relationship Id="rId102" Type="http://schemas.openxmlformats.org/officeDocument/2006/relationships/hyperlink" Target="https://api.whatsapp.com/send" TargetMode="External"/><Relationship Id="rId103" Type="http://schemas.openxmlformats.org/officeDocument/2006/relationships/hyperlink" Target="https://www.facebook.com/ads/library/?active_status=active&amp;ad_type=all&amp;country=ALL&amp;q=Escola%20Santa%20Marina&amp;search_type=keyword_unordered&amp;media_type=all" TargetMode="External"/><Relationship Id="rId104" Type="http://schemas.openxmlformats.org/officeDocument/2006/relationships/hyperlink" Target="https://api.whatsapp.com/send" TargetMode="External"/><Relationship Id="rId105" Type="http://schemas.openxmlformats.org/officeDocument/2006/relationships/hyperlink" Target="https://www.facebook.com/ads/library/?active_status=active&amp;ad_type=all&amp;country=ALL&amp;q=ECC&amp;search_type=keyword_unordered&amp;media_type=all" TargetMode="External"/><Relationship Id="rId106" Type="http://schemas.openxmlformats.org/officeDocument/2006/relationships/hyperlink" Target="https://api.whatsapp.com/send" TargetMode="External"/><Relationship Id="rId107" Type="http://schemas.openxmlformats.org/officeDocument/2006/relationships/hyperlink" Target="https://www.facebook.com/ads/library/?active_status=active&amp;ad_type=all&amp;country=ALL&amp;q=Col&#233;gio%20Santa%20M&#244;nica&amp;search_type=keyword_unordered&amp;media_type=all" TargetMode="External"/><Relationship Id="rId108" Type="http://schemas.openxmlformats.org/officeDocument/2006/relationships/hyperlink" Target="https://api.whatsapp.com/send" TargetMode="External"/><Relationship Id="rId109" Type="http://schemas.openxmlformats.org/officeDocument/2006/relationships/hyperlink" Target="https://www.facebook.com/ads/library/?active_status=active&amp;ad_type=all&amp;country=ALL&amp;q=Col&#233;gio%20Santa%20M&#244;nica&amp;search_type=keyword_unordered&amp;media_type=all" TargetMode="External"/><Relationship Id="rId110" Type="http://schemas.openxmlformats.org/officeDocument/2006/relationships/hyperlink" Target="https://api.whatsapp.com/send" TargetMode="External"/><Relationship Id="rId111" Type="http://schemas.openxmlformats.org/officeDocument/2006/relationships/hyperlink" Target="https://www.facebook.com/ads/library/?active_status=active&amp;ad_type=all&amp;country=ALL&amp;q=Col&#233;gio%20CCAT.&amp;search_type=keyword_unordered&amp;media_type=all" TargetMode="External"/><Relationship Id="rId112" Type="http://schemas.openxmlformats.org/officeDocument/2006/relationships/hyperlink" Target="https://l.facebook.com/l.php?u=https%3A%2F%2Fberryconsultoria.com.br%2Ffinancial-growth%2Fc%3Ffbclid%3DIwcGRvZgFleHRuA2FlbQIxMABicmlkETFXNzlsVXpoUDVDNVVuakFSc3J0YwZhcHBfaWQPNTQxNjM5NDkzODg5MDI1AAEei-7k0OCV6rulAxe8m7jBCbQ9cA8KiGcW5XYIS0hD0RgB02J221k76asUC-" TargetMode="External"/><Relationship Id="rId113" Type="http://schemas.openxmlformats.org/officeDocument/2006/relationships/hyperlink" Target="https://www.facebook.com/ads/library/?active_status=active&amp;ad_type=all&amp;country=ALL&amp;q=Escola%20de%20Educa&#231;&#227;o%20Infantil%20Bal&#227;o%20M&#225;gico&amp;search_type=keyword_unordered&amp;media_type=all" TargetMode="External"/><Relationship Id="rId114" Type="http://schemas.openxmlformats.org/officeDocument/2006/relationships/hyperlink" Target="https://l.facebook.com/l.php?u=http%3A%2F%2Finstagram.com%2Febalaomagico%3Ffbclid%3DIwcGRvZgFleHRuA2FlbQIxMABicmlkETFXNzlsVXpoUDVDNVVuakFSc3J0YwZhcHBfaWQPNTQxNjM5NDkzODg5MDI1AAEefnH1UbdwofpdI_CiMiZqSVSkG-E51GXidOepqY31qSthTm9SFWcX8r87ZdM_aem_92EA8pIARN0bI" TargetMode="External"/><Relationship Id="rId115" Type="http://schemas.openxmlformats.org/officeDocument/2006/relationships/hyperlink" Target="https://www.facebook.com/ads/library/?active_status=active&amp;ad_type=all&amp;country=ALL&amp;q=Col&#233;gio%20J&#250;lio%20Mesquita&amp;search_type=keyword_unordered&amp;media_type=all" TargetMode="External"/><Relationship Id="rId116" Type="http://schemas.openxmlformats.org/officeDocument/2006/relationships/hyperlink" Target="https://api.whatsapp.com/send" TargetMode="External"/><Relationship Id="rId117" Type="http://schemas.openxmlformats.org/officeDocument/2006/relationships/hyperlink" Target="https://www.facebook.com/ads/library/?active_status=active&amp;ad_type=all&amp;country=ALL&amp;q=Instituto%20Educacional%20G&#234;nesis&amp;search_type=keyword_unordered&amp;media_type=all" TargetMode="External"/><Relationship Id="rId118" Type="http://schemas.openxmlformats.org/officeDocument/2006/relationships/hyperlink" Target="https://l.facebook.com/l.php?u=http%3A%2F%2Finstagram.com%2Fgenesis.educa%3Ffbclid%3DIwcGRvZgFleHRuA2FlbQIxMABicmlkETFXNzlsVXpoUDVDNVVuakFSc3J0YwZhcHBfaWQPNTQxNjM5NDkzODg5MDI1AAEeH1AJh0vlnF3AlOcgu47q8hasJKuoUFcuVs3sw1Tqc3snFg8RJeOheD-ct6c_aem_PtSsOKEOGa3v" TargetMode="External"/><Relationship Id="rId119" Type="http://schemas.openxmlformats.org/officeDocument/2006/relationships/hyperlink" Target="https://www.facebook.com/ads/library/?active_status=active&amp;ad_type=all&amp;country=ALL&amp;q=Realiza%20Cursos&amp;search_type=keyword_unordered&amp;media_type=all" TargetMode="External"/><Relationship Id="rId120" Type="http://schemas.openxmlformats.org/officeDocument/2006/relationships/hyperlink" Target="https://api.whatsapp.com/send" TargetMode="External"/><Relationship Id="rId121" Type="http://schemas.openxmlformats.org/officeDocument/2006/relationships/hyperlink" Target="https://www.facebook.com/ads/library/?active_status=active&amp;ad_type=all&amp;country=ALL&amp;q=Projeto%20Mission&#225;rio%20Luz%20Em%20Cristo%20&amp;search_type=keyword_unordered&amp;media_type=all" TargetMode="External"/><Relationship Id="rId122" Type="http://schemas.openxmlformats.org/officeDocument/2006/relationships/hyperlink" Target="https://l.facebook.com/l.php?u=https%3A%2F%2Fwww.instagram.com%2F_u%2Fluzemcristo.oficial%3Ffbclid%3DIwcGRvZgFleHRuA2FlbQIxMABicmlkETFXNzlsVXpoUDVDNVVuakFSc3J0YwZhcHBfaWQPNTQxNjM5NDkzODg5MDI1AAEemiG7ZJSZpG9eI9fq5mE7SXnRpY_yuEiuCxv85peaXE2F7vnxtjwNXuT-oUQ_" TargetMode="External"/><Relationship Id="rId123" Type="http://schemas.openxmlformats.org/officeDocument/2006/relationships/hyperlink" Target="https://www.facebook.com/ads/library/?active_status=active&amp;ad_type=all&amp;country=ALL&amp;q=Escola%20Santa%20Marina&amp;search_type=keyword_unordered&amp;media_type=all" TargetMode="External"/><Relationship Id="rId124" Type="http://schemas.openxmlformats.org/officeDocument/2006/relationships/hyperlink" Target="https://api.whatsapp.com/send" TargetMode="External"/><Relationship Id="rId125" Type="http://schemas.openxmlformats.org/officeDocument/2006/relationships/hyperlink" Target="https://www.facebook.com/ads/library/?active_status=active&amp;ad_type=all&amp;country=ALL&amp;q=Escola%20Santa%20Marina&amp;search_type=keyword_unordered&amp;media_type=all" TargetMode="External"/><Relationship Id="rId126" Type="http://schemas.openxmlformats.org/officeDocument/2006/relationships/hyperlink" Target="https://api.whatsapp.com/send" TargetMode="External"/><Relationship Id="rId127" Type="http://schemas.openxmlformats.org/officeDocument/2006/relationships/hyperlink" Target="https://www.facebook.com/ads/library/?active_status=active&amp;ad_type=all&amp;country=ALL&amp;q=Creche%20e%20Escola%20Raio%20de%20Sol&amp;search_type=keyword_unordered&amp;media_type=all" TargetMode="External"/><Relationship Id="rId128" Type="http://schemas.openxmlformats.org/officeDocument/2006/relationships/hyperlink" Target="https://l.facebook.com/l.php?u=http%3A%2F%2Finstagram.com%2Fcrechescolaraiodesol%3Ffbclid%3DIwcGRvZgFleHRuA2FlbQIxMABicmlkETFXNzlsVXpoUDVDNVVuakFSc3J0YwZhcHBfaWQPNTQxNjM5NDkzODg5MDI1AAEefnH1UbdwofpdI_CiMiZqSVSkG-E51GXidOepqY31qSthTm9SFWcX8r87ZdM_aem_92EA8" TargetMode="External"/><Relationship Id="rId129" Type="http://schemas.openxmlformats.org/officeDocument/2006/relationships/hyperlink" Target="https://www.facebook.com/ads/library/?active_status=active&amp;ad_type=all&amp;country=ALL&amp;q=Escola%20Florescer&amp;search_type=keyword_unordered&amp;media_type=all" TargetMode="External"/><Relationship Id="rId130" Type="http://schemas.openxmlformats.org/officeDocument/2006/relationships/hyperlink" Target="https://l.facebook.com/l.php?u=http%3A%2F%2Finstagram.com%2Fflorescertaubate%3Ffbclid%3DIwcGRvZgFleHRuA2FlbQIxMABicmlkETFXNzlsVXpoUDVDNVVuakFSc3J0YwZhcHBfaWQPNTQxNjM5NDkzODg5MDI1AAEemiG7ZJSZpG9eI9fq5mE7SXnRpY_yuEiuCxv85peaXE2F7vnxtjwNXuT-oUQ_aem_8O1Am_K_C" TargetMode="External"/><Relationship Id="rId131" Type="http://schemas.openxmlformats.org/officeDocument/2006/relationships/hyperlink" Target="https://www.facebook.com/ads/library/?active_status=active&amp;ad_type=all&amp;country=ALL&amp;q=Escola%20&#193;rvore%20da%20Vida%20S&#227;o%20Luis&amp;search_type=keyword_unordered&amp;media_type=all" TargetMode="External"/><Relationship Id="rId132" Type="http://schemas.openxmlformats.org/officeDocument/2006/relationships/hyperlink" Target="https://api.whatsapp.com/send" TargetMode="External"/><Relationship Id="rId133" Type="http://schemas.openxmlformats.org/officeDocument/2006/relationships/hyperlink" Target="https://www.facebook.com/ads/library/?active_status=active&amp;ad_type=all&amp;country=ALL&amp;q=CEPI%20Expans&#227;o&amp;search_type=keyword_unordered&amp;media_type=all" TargetMode="External"/><Relationship Id="rId134" Type="http://schemas.openxmlformats.org/officeDocument/2006/relationships/hyperlink" Target="https://l.facebook.com/l.php?u=https%3A%2F%2Fcepiexpansao-matriculas.com.br%2F%3Ffbclid%3DIwcGRvZgFleHRuA2FlbQIxMABicmlkETFXNzlsVXpoUDVDNVVuakFSc3J0YwZhcHBfaWQPNTQxNjM5NDkzODg5MDI1AAEefbFGDO-zrlIqJQIlM89BJn9ihvjEznXMXNSN5_rYbXTZcEwyAe3CyzX9PY4_aem_CQ8R76t" TargetMode="External"/><Relationship Id="rId135" Type="http://schemas.openxmlformats.org/officeDocument/2006/relationships/hyperlink" Target="https://www.facebook.com/ads/library/?active_status=active&amp;ad_type=all&amp;country=ALL&amp;q=CEPI%20Expans&#227;o&amp;search_type=keyword_unordered&amp;media_type=all" TargetMode="External"/><Relationship Id="rId136" Type="http://schemas.openxmlformats.org/officeDocument/2006/relationships/hyperlink" Target="https://l.facebook.com/l.php?u=https%3A%2F%2Fcepiexpansao-matriculas.com.br%2F%3Ffbclid%3DIwcGRvZgFleHRuA2FlbQIxMABicmlkETFXNzlsVXpoUDVDNVVuakFSc3J0YwZhcHBfaWQPNTQxNjM5NDkzODg5MDI1AAEemiG7ZJSZpG9eI9fq5mE7SXnRpY_yuEiuCxv85peaXE2F7vnxtjwNXuT-oUQ_aem_8O1Am_K" TargetMode="External"/><Relationship Id="rId137" Type="http://schemas.openxmlformats.org/officeDocument/2006/relationships/hyperlink" Target="https://www.facebook.com/ads/library/?active_status=active&amp;ad_type=all&amp;country=ALL&amp;q=Cata%20Vento%20Escola%20Educa&#231;&#227;o%20Infantil&amp;search_type=keyword_unordered&amp;media_type=all" TargetMode="External"/><Relationship Id="rId138" Type="http://schemas.openxmlformats.org/officeDocument/2006/relationships/hyperlink" Target="https://l.facebook.com/l.php?u=https%3A%2F%2Fapi.whatsapp.com%2Fsend%3Ffbclid%3DIwcGRvZgFleHRuA2FlbQIxMABicmlkETFXNzlsVXpoUDVDNVVuakFSc3J0YwZhcHBfaWQPNTQxNjM5NDkzODg5MDI1AAEeo6JyMjm1XPgMuTrdSlDmfT6YyerozLW2goY7wbM4vUwq0i3rwsBPh9wXcW0_aem_Bbd3xtFGd99neFp52" TargetMode="External"/><Relationship Id="rId139" Type="http://schemas.openxmlformats.org/officeDocument/2006/relationships/hyperlink" Target="https://www.facebook.com/ads/library/?active_status=active&amp;ad_type=all&amp;country=ALL&amp;q=Ber&#231;ario%20Crescer%20Kids&amp;search_type=keyword_unordered&amp;media_type=all" TargetMode="External"/><Relationship Id="rId140" Type="http://schemas.openxmlformats.org/officeDocument/2006/relationships/hyperlink" Target="https://api.whatsapp.com/send" TargetMode="External"/><Relationship Id="rId141" Type="http://schemas.openxmlformats.org/officeDocument/2006/relationships/hyperlink" Target="https://www.facebook.com/ads/library/?active_status=active&amp;ad_type=all&amp;country=ALL&amp;q=Col&#233;gio%20CB&amp;search_type=keyword_unordered&amp;media_type=all" TargetMode="External"/><Relationship Id="rId142" Type="http://schemas.openxmlformats.org/officeDocument/2006/relationships/hyperlink" Target="https://l.facebook.com/l.php?u=http%3A%2F%2Ffb.me%2F&amp;h=AUCSvaiFYluCrwvUX96TO9ecJ379v9Bsu66JouQzAu7aUUZDyeYE9b8QMV6oarun2-207rbUBmWF7jqojuL7PdZPXWszSHGGccjzxqyzQ9B_fsJy8oVGZ0dgxqdbH3vhl2zeEKW5H_c" TargetMode="External"/><Relationship Id="rId143" Type="http://schemas.openxmlformats.org/officeDocument/2006/relationships/hyperlink" Target="https://www.facebook.com/ads/library/?active_status=active&amp;ad_type=all&amp;country=ALL&amp;q=Col&#233;gio%20CB&amp;search_type=keyword_unordered&amp;media_type=all" TargetMode="External"/><Relationship Id="rId144" Type="http://schemas.openxmlformats.org/officeDocument/2006/relationships/hyperlink" Target="https://l.facebook.com/l.php?u=http%3A%2F%2Ffb.me%2F&amp;h=AUCSvaiFYluCrwvUX96TO9ecJ379v9Bsu66JouQzAu7aUUZDyeYE9b8QMV6oarun2-207rbUBmWF7jqojuL7PdZPXWszSHGGccjzxqyzQ9B_fsJy8oVGZ0dgxqdbH3vhl2zeEKW5H_c" TargetMode="External"/><Relationship Id="rId145" Type="http://schemas.openxmlformats.org/officeDocument/2006/relationships/hyperlink" Target="https://www.facebook.com/ads/library/?active_status=active&amp;ad_type=all&amp;country=ALL&amp;q=Kit%20Tarefinha%20L&#250;dica&amp;search_type=keyword_unordered&amp;media_type=all" TargetMode="External"/><Relationship Id="rId146" Type="http://schemas.openxmlformats.org/officeDocument/2006/relationships/hyperlink" Target="https://l.facebook.com/l.php?u=http%3A%2F%2Fwww.kittarefinhaludica.com.br%2FCOMBORECURSOS%3Ffbclid%3DIwcGRvZgFleHRuA2FlbQIxMABicmlkETFXNzlsVXpoUDVDNVVuakFSc3J0YwZhcHBfaWQPNTQxNjM5NDkzODg5MDI1AAEefnH1UbdwofpdI_CiMiZqSVSkG-E51GXidOepqY31qSthTm9SFWcX8r87ZdM_" TargetMode="External"/><Relationship Id="rId147" Type="http://schemas.openxmlformats.org/officeDocument/2006/relationships/hyperlink" Target="https://www.facebook.com/ads/library/?active_status=active&amp;ad_type=all&amp;country=ALL&amp;q=Colegio%20Redentor&amp;search_type=keyword_unordered&amp;media_type=all" TargetMode="External"/><Relationship Id="rId148" Type="http://schemas.openxmlformats.org/officeDocument/2006/relationships/hyperlink" Target="https://l.facebook.com/l.php?u=https%3A%2F%2Fapi.whatsapp.com%2Fsend%3Ffbclid%3DIwcGRvZgFleHRuA2FlbQIxMABicmlkETFXNzlsVXpoUDVDNVVuakFSc3J0YwZhcHBfaWQPNTQxNjM5NDkzODg5MDI1AAEeH1AJh0vlnF3AlOcgu47q8hasJKuoUFcuVs3sw1Tqc3snFg8RJeOheD-ct6c_aem_PtSsOKEOGa3vWkiK9" TargetMode="External"/><Relationship Id="rId149" Type="http://schemas.openxmlformats.org/officeDocument/2006/relationships/hyperlink" Target="https://www.facebook.com/ads/library/?active_status=active&amp;ad_type=all&amp;country=ALL&amp;q=Clube%20Fundamento&amp;search_type=keyword_unordered&amp;media_type=all" TargetMode="External"/><Relationship Id="rId150" Type="http://schemas.openxmlformats.org/officeDocument/2006/relationships/hyperlink" Target="https://l.facebook.com/l.php?u=https%3A%2F%2Fwww.instagram.com%2F_u%2Fumlivrosobre%3Ffbclid%3DIwcGRvZgFleHRuA2FlbQIxMABicmlkETFXNzlsVXpoUDVDNVVuakFSc3J0YwZhcHBfaWQPNTQxNjM5NDkzODg5MDI1AAEef2Ay9JH-w62yBzipAYnGYPW8DpiIbNWtsD3FV7TbiynhJrf2FJ-gR6gVWdQ_aem_Pkw" TargetMode="External"/><Relationship Id="rId151" Type="http://schemas.openxmlformats.org/officeDocument/2006/relationships/hyperlink" Target="https://www.facebook.com/ads/library/?active_status=active&amp;ad_type=all&amp;country=ALL&amp;q=Fam&#237;lia%20de%20Trigo&amp;search_type=keyword_unordered&amp;media_type=all" TargetMode="External"/><Relationship Id="rId152" Type="http://schemas.openxmlformats.org/officeDocument/2006/relationships/hyperlink" Target="https://l.facebook.com/l.php?u=https%3A%2F%2Floja.familiadetrigo.com.br%2Fcollections%2Fkits-com-15-de-desconto%3Futm_source%3Dfb-panfleto%26utm_medium%3Dfb-panfleto%26utm_campaign%3Dfb-panfleto%26utm_id%3Dfb-panfleto%26utm_term%3Dfb-panfleto%26utm_conten" TargetMode="External"/><Relationship Id="rId153" Type="http://schemas.openxmlformats.org/officeDocument/2006/relationships/hyperlink" Target="https://www.facebook.com/ads/library/?active_status=active&amp;ad_type=all&amp;country=ALL&amp;q=Central%20de%20Matr&#237;culas&amp;search_type=keyword_unordered&amp;media_type=all" TargetMode="External"/><Relationship Id="rId154" Type="http://schemas.openxmlformats.org/officeDocument/2006/relationships/hyperlink" Target="https://api.whatsapp.com/send" TargetMode="External"/><Relationship Id="rId155" Type="http://schemas.openxmlformats.org/officeDocument/2006/relationships/hyperlink" Target="https://www.facebook.com/ads/library/?active_status=active&amp;ad_type=all&amp;country=ALL&amp;q=Central%20de%20Matr&#237;culas&amp;search_type=keyword_unordered&amp;media_type=all" TargetMode="External"/><Relationship Id="rId156" Type="http://schemas.openxmlformats.org/officeDocument/2006/relationships/hyperlink" Target="https://api.whatsapp.com/send" TargetMode="External"/><Relationship Id="rId157" Type="http://schemas.openxmlformats.org/officeDocument/2006/relationships/hyperlink" Target="https://www.facebook.com/ads/library/?active_status=active&amp;ad_type=all&amp;country=ALL&amp;q=Col&#233;gio%20Bertolazzi&amp;search_type=keyword_unordered&amp;media_type=all" TargetMode="External"/><Relationship Id="rId158" Type="http://schemas.openxmlformats.org/officeDocument/2006/relationships/hyperlink" Target="https://api.whatsapp.com/send" TargetMode="External"/><Relationship Id="rId159" Type="http://schemas.openxmlformats.org/officeDocument/2006/relationships/hyperlink" Target="https://www.facebook.com/ads/library/?active_status=active&amp;ad_type=all&amp;country=ALL&amp;q=S&#243;%20Educador&amp;search_type=keyword_unordered&amp;media_type=all" TargetMode="External"/><Relationship Id="rId160" Type="http://schemas.openxmlformats.org/officeDocument/2006/relationships/hyperlink" Target="https://l.facebook.com/l.php?u=https%3A%2F%2Fsoeducador.com.br%2Fcursos%2Finfo%2F445%2Fcuidador-infantil-e-assistente-de-creche%3Ffbclid%3DIwcGRvZgFleHRuA2FlbQIxMABicmlkETFXNzlsVXpoUDVDNVVuakFSc3J0YwZhcHBfaWQPNTQxNjM5NDkzODg5MDI1AAEef2Ay9JH-w62yBzipAYnGYP" TargetMode="External"/><Relationship Id="rId161" Type="http://schemas.openxmlformats.org/officeDocument/2006/relationships/hyperlink" Target="https://www.facebook.com/ads/library/?active_status=active&amp;ad_type=all&amp;country=ALL&amp;q=Escola%20Crian&#231;a%20Arteira&amp;search_type=keyword_unordered&amp;media_type=all" TargetMode="External"/><Relationship Id="rId162" Type="http://schemas.openxmlformats.org/officeDocument/2006/relationships/hyperlink" Target="https://scontent.ffor7-1.fna.fbcdn.net/o1/v/t2/f2/m69/AQOWpzzMs4X1sRs1yjuh7MAnNJk4tFz_iGQcKGioYW-kmzVA7w8RJaDCssbg2sIVyDN2fF8AFDD_8IXOJxWCKWUt.mp4?strext=1&amp;_nc_cat=103&amp;_nc_oc=AdoM8S98wktO9WhNPllbXJA07eyQZR-IOxWM9g3ywb75cS-bUUvSLF25rv6SHlSWg6I&amp;_nc_sid=ef5a" TargetMode="External"/><Relationship Id="rId163" Type="http://schemas.openxmlformats.org/officeDocument/2006/relationships/hyperlink" Target="https://www.facebook.com/ads/library/?active_status=active&amp;ad_type=all&amp;country=ALL&amp;q=Escola%20Crian&#231;a%20Arteira&amp;search_type=keyword_unordered&amp;media_type=all" TargetMode="External"/><Relationship Id="rId164" Type="http://schemas.openxmlformats.org/officeDocument/2006/relationships/hyperlink" Target="https://scontent.ffor7-1.fna.fbcdn.net/o1/v/t2/f2/m69/AQM3W8TpMP-R_a45cuRrHmPywEkarNHBsPV-MmnJhnk3FwmNZhMvpcqkJ4QzUb6KZ8NMGtbj2I-0ooEdTLvlGVrF.mp4?strext=1&amp;_nc_cat=111&amp;_nc_oc=Adr0y4VvMPfCIU59TLTGSFcnaxM0vt4yi-ybn6tTfh5--FPBb5_hOQzQdlmm9yROoWk&amp;_nc_sid=ef5a" TargetMode="External"/><Relationship Id="rId165" Type="http://schemas.openxmlformats.org/officeDocument/2006/relationships/hyperlink" Target="https://www.facebook.com/ads/library/?active_status=active&amp;ad_type=all&amp;country=ALL&amp;q=Central%20de%20Matr&#237;culas&amp;search_type=keyword_unordered&amp;media_type=all" TargetMode="External"/><Relationship Id="rId166" Type="http://schemas.openxmlformats.org/officeDocument/2006/relationships/hyperlink" Target="https://api.whatsapp.com/send" TargetMode="External"/><Relationship Id="rId167" Type="http://schemas.openxmlformats.org/officeDocument/2006/relationships/hyperlink" Target="https://www.facebook.com/ads/library/?active_status=active&amp;ad_type=all&amp;country=ALL&amp;q=Comunidade%20Crescsemente&amp;search_type=keyword_unordered&amp;media_type=all" TargetMode="External"/><Relationship Id="rId168" Type="http://schemas.openxmlformats.org/officeDocument/2006/relationships/hyperlink" Target="https://l.facebook.com/l.php?u=http%3A%2F%2Finstagram.com%2Floja.crescsemente%3Ffbclid%3DIwcGRvZgFleHRuA2FlbQIxMABicmlkETFXNzlsVXpoUDVDNVVuakFSc3J0YwZhcHBfaWQPNTQxNjM5NDkzODg5MDI1AAEeo6JyMjm1XPgMuTrdSlDmfT6YyerozLW2goY7wbM4vUwq0i3rwsBPh9wXcW0_aem_Bbd3xtFG" TargetMode="External"/><Relationship Id="rId169" Type="http://schemas.openxmlformats.org/officeDocument/2006/relationships/hyperlink" Target="https://www.facebook.com/ads/library/?active_status=active&amp;ad_type=all&amp;country=ALL&amp;q=Little%20People%20School&amp;search_type=keyword_unordered&amp;media_type=all" TargetMode="External"/><Relationship Id="rId170" Type="http://schemas.openxmlformats.org/officeDocument/2006/relationships/hyperlink" Target="https://l.facebook.com/l.php?u=https%3A%2F%2Fwww.instagram.com%2F%3Ffbclid%3DIwcGRvZgFleHRuA2FlbQIxMABicmlkETFXNzlsVXpoUDVDNVVuakFSc3J0YwZhcHBfaWQPNTQxNjM5NDkzODg5MDI1AAEeIbNyWNnqt2-4raZja4sSumcYQpNwnkV8H12szpx0xM1nhqpZ-pH7bYS1Jwo_aem_kq6TAF2G9pPUEJNEFHT9" TargetMode="External"/><Relationship Id="rId171" Type="http://schemas.openxmlformats.org/officeDocument/2006/relationships/hyperlink" Target="https://www.facebook.com/ads/library/?active_status=active&amp;ad_type=all&amp;country=ALL&amp;q=Little%20People%20School&amp;search_type=keyword_unordered&amp;media_type=all" TargetMode="External"/><Relationship Id="rId172" Type="http://schemas.openxmlformats.org/officeDocument/2006/relationships/hyperlink" Target="https://l.facebook.com/l.php?u=http%3A%2F%2Fwww.littlepeopleschool.com.br%2F%3Ffbclid%3DIwcGRvZgFleHRuA2FlbQIxMABicmlkETFXNzlsVXpoUDVDNVVuakFSc3J0YwZhcHBfaWQPNTQxNjM5NDkzODg5MDI1AAEei-7k0OCV6rulAxe8m7jBCbQ9cA8KiGcW5XYIS0hD0RgB02J221k76asUC-Q_aem_r7SThfJaU" TargetMode="External"/><Relationship Id="rId173" Type="http://schemas.openxmlformats.org/officeDocument/2006/relationships/hyperlink" Target="https://www.facebook.com/ads/library/?active_status=active&amp;ad_type=all&amp;country=ALL&amp;q=Colibri%20Athenas%20-%20Col&#233;gio%20e%20Curso&amp;search_type=keyword_unordered&amp;media_type=all" TargetMode="External"/><Relationship Id="rId174" Type="http://schemas.openxmlformats.org/officeDocument/2006/relationships/hyperlink" Target="https://api.whatsapp.com/send" TargetMode="External"/><Relationship Id="rId175" Type="http://schemas.openxmlformats.org/officeDocument/2006/relationships/hyperlink" Target="https://www.facebook.com/ads/library/?active_status=active&amp;ad_type=all&amp;country=ALL&amp;q=Colibri%20Athenas%20-%20Col&#233;gio%20e%20Curso&amp;search_type=keyword_unordered&amp;media_type=all" TargetMode="External"/><Relationship Id="rId176" Type="http://schemas.openxmlformats.org/officeDocument/2006/relationships/hyperlink" Target="https://api.whatsapp.com/send" TargetMode="External"/><Relationship Id="rId177" Type="http://schemas.openxmlformats.org/officeDocument/2006/relationships/hyperlink" Target="https://www.facebook.com/ads/library/?active_status=active&amp;ad_type=all&amp;country=ALL&amp;q=Colibri%20Athenas%20-%20Col&#233;gio%20e%20Curso&amp;search_type=keyword_unordered&amp;media_type=all" TargetMode="External"/><Relationship Id="rId178" Type="http://schemas.openxmlformats.org/officeDocument/2006/relationships/hyperlink" Target="https://api.whatsapp.com/send" TargetMode="External"/><Relationship Id="rId179" Type="http://schemas.openxmlformats.org/officeDocument/2006/relationships/hyperlink" Target="https://www.facebook.com/ads/library/?active_status=active&amp;ad_type=all&amp;country=ALL&amp;q=Col&#233;gio%20&#193;lamo%20Vinhedo&amp;search_type=keyword_unordered&amp;media_type=all" TargetMode="External"/><Relationship Id="rId180" Type="http://schemas.openxmlformats.org/officeDocument/2006/relationships/hyperlink" Target="https://colegioalamovinhedo.com.br/org/" TargetMode="External"/><Relationship Id="rId181" Type="http://schemas.openxmlformats.org/officeDocument/2006/relationships/hyperlink" Target="https://www.facebook.com/ads/library/?active_status=active&amp;ad_type=all&amp;country=ALL&amp;q=Col&#233;gio%20&#193;lamo%20Vinhedo&amp;search_type=keyword_unordered&amp;media_type=all" TargetMode="External"/><Relationship Id="rId182" Type="http://schemas.openxmlformats.org/officeDocument/2006/relationships/hyperlink" Target="https://l.facebook.com/l.php?u=https%3A%2F%2Fcolegioalamovinhedo.com.br%2Forg%2F%3Ffbclid%3DIwcGRvZgFleHRuA2FlbQIxMABicmlkETFXNzlsVXpoUDVDNVVuakFSc3J0YwZhcHBfaWQPNTQxNjM5NDkzODg5MDI1AAEefbFGDO-zrlIqJQIlM89BJn9ihvjEznXMXNSN5_rYbXTZcEwyAe3CyzX9PY4_aem_CQ8R7" TargetMode="External"/><Relationship Id="rId183" Type="http://schemas.openxmlformats.org/officeDocument/2006/relationships/hyperlink" Target="https://www.facebook.com/ads/library/?active_status=active&amp;ad_type=all&amp;country=ALL&amp;q=Acalanto%20Escolinha%20de%20Educa&#231;&#227;o%20Infantil&amp;search_type=keyword_unordered&amp;media_type=all" TargetMode="External"/><Relationship Id="rId184" Type="http://schemas.openxmlformats.org/officeDocument/2006/relationships/hyperlink" Target="https://api.whatsapp.com/send" TargetMode="External"/><Relationship Id="rId185" Type="http://schemas.openxmlformats.org/officeDocument/2006/relationships/hyperlink" Target="https://www.facebook.com/ads/library/?active_status=active&amp;ad_type=all&amp;country=ALL&amp;q=S&#243;%20Educador&amp;search_type=keyword_unordered&amp;media_type=all" TargetMode="External"/><Relationship Id="rId186" Type="http://schemas.openxmlformats.org/officeDocument/2006/relationships/hyperlink" Target="https://l.facebook.com/l.php?u=https%3A%2F%2Fwww.soeducador.com.br%2Fcursos%3Ffbclid%3DIwcGRvZgFleHRuA2FlbQIxMABicmlkETFXNzlsVXpoUDVDNVVuakFSc3J0YwZhcHBfaWQPNTQxNjM5NDkzODg5MDI1AAEef2Ay9JH-w62yBzipAYnGYPW8DpiIbNWtsD3FV7TbiynhJrf2FJ-gR6gVWdQ_aem_PkwtiNv2IC" TargetMode="External"/><Relationship Id="rId187" Type="http://schemas.openxmlformats.org/officeDocument/2006/relationships/hyperlink" Target="https://www.facebook.com/ads/library/?active_status=active&amp;ad_type=all&amp;country=ALL&amp;q=Maple%20Bear%20Belenzinho&amp;search_type=keyword_unordered&amp;media_type=all" TargetMode="External"/><Relationship Id="rId188" Type="http://schemas.openxmlformats.org/officeDocument/2006/relationships/hyperlink" Target="https://api.whatsapp.com/send" TargetMode="External"/><Relationship Id="rId189" Type="http://schemas.openxmlformats.org/officeDocument/2006/relationships/hyperlink" Target="https://www.facebook.com/ads/library/?active_status=active&amp;ad_type=all&amp;country=ALL&amp;q=S&#243;%20Educador&amp;search_type=keyword_unordered&amp;media_type=all" TargetMode="External"/><Relationship Id="rId190" Type="http://schemas.openxmlformats.org/officeDocument/2006/relationships/hyperlink" Target="https://l.facebook.com/l.php?u=https%3A%2F%2Fsoeducador.com.br%2Fcursos%2Finfo%2F445%2Fcuidador-infantil-e-assistente-de-creche%3Ffbclid%3DIwcGRvZgFleHRuA2FlbQIxMABicmlkETFXNzlsVXpoUDVDNVVuakFSc3J0YwZhcHBfaWQPNTQxNjM5NDkzODg5MDI1AAEeH1AJh0vlnF3AlOcgu47q8h" TargetMode="External"/><Relationship Id="rId191" Type="http://schemas.openxmlformats.org/officeDocument/2006/relationships/hyperlink" Target="https://www.facebook.com/ads/library/?active_status=active&amp;ad_type=all&amp;country=ALL&amp;q=Anglo%20Pouso%20Alegre&amp;search_type=keyword_unordered&amp;media_type=all" TargetMode="External"/><Relationship Id="rId192" Type="http://schemas.openxmlformats.org/officeDocument/2006/relationships/hyperlink" Target="https://l.facebook.com/l.php?u=https%3A%2F%2Fapi.whatsapp.com%2Fsend%3Ffbclid%3DIwcGRvZgFleHRuA2FlbQIxMABicmlkETFXNzlsVXpoUDVDNVVuakFSc3J0YwZhcHBfaWQPNTQxNjM5NDkzODg5MDI1AAEemiG7ZJSZpG9eI9fq5mE7SXnRpY_yuEiuCxv85peaXE2F7vnxtjwNXuT-oUQ_aem_8O1Am_K_CRhxY_Kqm" TargetMode="External"/><Relationship Id="rId193" Type="http://schemas.openxmlformats.org/officeDocument/2006/relationships/hyperlink" Target="https://www.facebook.com/ads/library/?active_status=active&amp;ad_type=all&amp;country=ALL&amp;q=Escola%20do%20S&#237;tio%20-%20Educa&#231;&#227;o%20Infantil%20e%20Ensino%20Fundamental%20Campinas&amp;search_type=keyword_unordered&amp;media_type=all" TargetMode="External"/><Relationship Id="rId194" Type="http://schemas.openxmlformats.org/officeDocument/2006/relationships/hyperlink" Target="https://l.facebook.com/l.php?u=http%3A%2F%2Finstagram.com%2Fescola_do_sitio%3Ffbclid%3DIwcGRvZgFleHRuA2FlbQIxMABicmlkETFXNzlsVXpoUDVDNVVuakFSc3J0YwZhcHBfaWQPNTQxNjM5NDkzODg5MDI1AAEeo6JyMjm1XPgMuTrdSlDmfT6YyerozLW2goY7wbM4vUwq0i3rwsBPh9wXcW0_aem_Bbd3xtFGd9" TargetMode="External"/><Relationship Id="rId195" Type="http://schemas.openxmlformats.org/officeDocument/2006/relationships/hyperlink" Target="https://www.facebook.com/ads/library/?active_status=active&amp;ad_type=all&amp;country=ALL&amp;q=Col&#233;gio%20ABC&amp;search_type=keyword_unordered&amp;media_type=all" TargetMode="External"/><Relationship Id="rId196" Type="http://schemas.openxmlformats.org/officeDocument/2006/relationships/hyperlink" Target="https://l.facebook.com/l.php?u=http%3A%2F%2Finstagram.com%2Fabccolegio%3Ffbclid%3DIwcGRvZgFleHRuA2FlbQIxMABicmlkETFXNzlsVXpoUDVDNVVuakFSc3J0YwZhcHBfaWQPNTQxNjM5NDkzODg5MDI1AAEefbFGDO-zrlIqJQIlM89BJn9ihvjEznXMXNSN5_rYbXTZcEwyAe3CyzX9PY4_aem_CQ8R76th59r1hQX" TargetMode="External"/><Relationship Id="rId197" Type="http://schemas.openxmlformats.org/officeDocument/2006/relationships/hyperlink" Target="https://www.facebook.com/ads/library/?active_status=active&amp;ad_type=all&amp;country=ALL&amp;q=Col&#233;gio%20Dimens&#227;o%20Avar&#233;&amp;search_type=keyword_unordered&amp;media_type=all" TargetMode="External"/><Relationship Id="rId198" Type="http://schemas.openxmlformats.org/officeDocument/2006/relationships/hyperlink" Target="https://api.whatsapp.com/send" TargetMode="External"/><Relationship Id="rId199" Type="http://schemas.openxmlformats.org/officeDocument/2006/relationships/hyperlink" Target="https://www.facebook.com/ads/library/?active_status=active&amp;ad_type=all&amp;country=ALL&amp;q=S&#243;%20Educador&amp;search_type=keyword_unordered&amp;media_type=all" TargetMode="External"/><Relationship Id="rId200" Type="http://schemas.openxmlformats.org/officeDocument/2006/relationships/hyperlink" Target="https://l.facebook.com/l.php?u=https%3A%2F%2Fsoeducador.com.br%2Fcursos%2Finfo%2F445%2Fcuidador-infantil-e-assistente-de-creche%3Ffbclid%3DIwcGRvZgFleHRuA2FlbQIxMABicmlkETFXNzlsVXpoUDVDNVVuakFSc3J0YwZhcHBfaWQPNTQxNjM5NDkzODg5MDI1AAEef2Ay9JH-w62yBzipAYnGYP" TargetMode="External"/><Relationship Id="rId201" Type="http://schemas.openxmlformats.org/officeDocument/2006/relationships/hyperlink" Target="https://www.facebook.com/ads/library/?active_status=active&amp;ad_type=all&amp;country=ALL&amp;q=Centro%20Educacional%20Semente%20de%20Sabedoria%20do%20Amazonas%20-%20Cessam&amp;search_type=keyword_unordered&amp;media_type=all" TargetMode="External"/><Relationship Id="rId202" Type="http://schemas.openxmlformats.org/officeDocument/2006/relationships/hyperlink" Target="https://l.facebook.com/l.php?u=http%3A%2F%2Finstagram.com%2Fescolacessam%3Ffbclid%3DIwcGRvZgFleHRuA2FlbQIxMABicmlkETFXNzlsVXpoUDVDNVVuakFSc3J0YwZhcHBfaWQPNTQxNjM5NDkzODg5MDI1AAEeH1AJh0vlnF3AlOcgu47q8hasJKuoUFcuVs3sw1Tqc3snFg8RJeOheD-ct6c_aem_PtSsOKEOGa3vW" TargetMode="External"/><Relationship Id="rId203" Type="http://schemas.openxmlformats.org/officeDocument/2006/relationships/hyperlink" Target="https://www.facebook.com/ads/library/?active_status=active&amp;ad_type=all&amp;country=ALL&amp;q=Escola%20D&#243;R&#233;M&#237;&amp;search_type=keyword_unordered&amp;media_type=all" TargetMode="External"/><Relationship Id="rId204" Type="http://schemas.openxmlformats.org/officeDocument/2006/relationships/hyperlink" Target="https://api.whatsapp.com/send" TargetMode="External"/><Relationship Id="rId205" Type="http://schemas.openxmlformats.org/officeDocument/2006/relationships/hyperlink" Target="https://www.facebook.com/ads/library/?active_status=active&amp;ad_type=all&amp;country=ALL&amp;q=Fadelito%20Educa&#231;&#227;o%20Infantil&amp;search_type=keyword_unordered&amp;media_type=all" TargetMode="External"/><Relationship Id="rId206" Type="http://schemas.openxmlformats.org/officeDocument/2006/relationships/hyperlink" Target="https://lp.fadelito.com.br/marajoara" TargetMode="External"/><Relationship Id="rId207" Type="http://schemas.openxmlformats.org/officeDocument/2006/relationships/hyperlink" Target="https://www.facebook.com/ads/library/?active_status=active&amp;ad_type=all&amp;country=ALL&amp;q=Mini%20Mins&amp;search_type=keyword_unordered&amp;media_type=all" TargetMode="External"/><Relationship Id="rId208" Type="http://schemas.openxmlformats.org/officeDocument/2006/relationships/hyperlink" Target="https://l.facebook.com/l.php?u=https%3A%2F%2Fprofessoramarcellacampos.com.br%2Flp%3Ffbclid%3DIwcGRvZgFleHRuA2FlbQIxMABicmlkETFXNzlsVXpoUDVDNVVuakFSc3J0YwZhcHBfaWQPNTQxNjM5NDkzODg5MDI1AAEe6-lGHam-0fdkKTskoHoSKGSmqNV9VvipHgVFi62EM8HQmWSe7Dfh30LV9E4_aem_jPsR" TargetMode="External"/><Relationship Id="rId209" Type="http://schemas.openxmlformats.org/officeDocument/2006/relationships/hyperlink" Target="https://www.facebook.com/ads/library/?active_status=active&amp;ad_type=all&amp;country=ALL&amp;q=Mundo%20Moderno&amp;search_type=keyword_unordered&amp;media_type=all" TargetMode="External"/><Relationship Id="rId210" Type="http://schemas.openxmlformats.org/officeDocument/2006/relationships/hyperlink" Target="https://l.facebook.com/l.php?u=http%3A%2F%2Ffb.me%2F&amp;h=AUCSvaiFYluCrwvUX96TO9ecJ379v9Bsu66JouQzAu7aUUZDyeYE9b8QMV6oarun2-207rbUBmWF7jqojuL7PdZPXWszSHGGccjzxqyzQ9B_fsJy8oVGZ0dgxqdbH3vhl2zeEKW5H_c" TargetMode="External"/><Relationship Id="rId211" Type="http://schemas.openxmlformats.org/officeDocument/2006/relationships/hyperlink" Target="https://www.facebook.com/ads/library/?active_status=active&amp;ad_type=all&amp;country=ALL&amp;q=Col&#233;gio%20Oswald&amp;search_type=keyword_unordered&amp;media_type=all" TargetMode="External"/><Relationship Id="rId212" Type="http://schemas.openxmlformats.org/officeDocument/2006/relationships/hyperlink" Target="https://l.facebook.com/l.php?u=https%3A%2F%2Fmatriculas.colegiooswald.com.br%2F%3Futm_source%3Dmeta_ads%26utm_medium%3Dcpc_%257B%257Bplacement%257D%257D%26utm_campaign%3Dcaptacao_fb%26utm_content%3D%257B%257Badset.name%257D%257D_%257B%257Bad.name%257D%257" TargetMode="External"/><Relationship Id="rId213" Type="http://schemas.openxmlformats.org/officeDocument/2006/relationships/hyperlink" Target="https://www.facebook.com/ads/library/?active_status=active&amp;ad_type=all&amp;country=ALL&amp;q=Sabermais671%20Connected%20Page&amp;search_type=keyword_unordered&amp;media_type=all" TargetMode="External"/><Relationship Id="rId214" Type="http://schemas.openxmlformats.org/officeDocument/2006/relationships/hyperlink" Target="https://api.whatsapp.com/send" TargetMode="External"/><Relationship Id="rId215" Type="http://schemas.openxmlformats.org/officeDocument/2006/relationships/hyperlink" Target="https://www.facebook.com/ads/library/?active_status=active&amp;ad_type=all&amp;country=ALL&amp;q=Bal&#227;o%20M&#225;gico%20Escola%20de%20Ed.Infantil&amp;search_type=keyword_unordered&amp;media_type=all" TargetMode="External"/><Relationship Id="rId216" Type="http://schemas.openxmlformats.org/officeDocument/2006/relationships/hyperlink" Target="https://api.whatsapp.com/send" TargetMode="External"/><Relationship Id="rId217" Type="http://schemas.openxmlformats.org/officeDocument/2006/relationships/hyperlink" Target="https://www.facebook.com/ads/library/?active_status=active&amp;ad_type=all&amp;country=ALL&amp;q=Hoepers%20%26%20Neves%20Assessoria%20Jur&#237;dica%20Empresarial&amp;search_type=keyword_unordered&amp;media_type=all" TargetMode="External"/><Relationship Id="rId218" Type="http://schemas.openxmlformats.org/officeDocument/2006/relationships/hyperlink" Target="https://l.facebook.com/l.php?u=http%3A%2F%2Ffb.me%2F&amp;h=AUCSvaiFYluCrwvUX96TO9ecJ379v9Bsu66JouQzAu7aUUZDyeYE9b8QMV6oarun2-207rbUBmWF7jqojuL7PdZPXWszSHGGccjzxqyzQ9B_fsJy8oVGZ0dgxqdbH3vhl2zeEKW5H_c" TargetMode="External"/><Relationship Id="rId219" Type="http://schemas.openxmlformats.org/officeDocument/2006/relationships/hyperlink" Target="https://www.facebook.com/ads/library/?active_status=active&amp;ad_type=all&amp;country=ALL&amp;q=Col&#233;gio%20Franciscano%20S&#227;o%20Miguel%20Arcanjo&amp;search_type=keyword_unordered&amp;media_type=all" TargetMode="External"/><Relationship Id="rId220" Type="http://schemas.openxmlformats.org/officeDocument/2006/relationships/hyperlink" Target="https://l.facebook.com/l.php?u=https%3A%2F%2Fwww.colegiosaomiguel.com.br%2F%3Ffbclid%3DIwcGRvZgFleHRuA2FlbQIxMABicmlkETFXNzlsVXpoUDVDNVVuakFSc3J0YwZhcHBfaWQPNTQxNjM5NDkzODg5MDI1AAEe6-lGHam-0fdkKTskoHoSKGSmqNV9VvipHgVFi62EM8HQmWSe7Dfh30LV9E4_aem_jPsRlTWOrr" TargetMode="External"/><Relationship Id="rId221" Type="http://schemas.openxmlformats.org/officeDocument/2006/relationships/hyperlink" Target="https://www.facebook.com/ads/library/?active_status=active&amp;ad_type=all&amp;country=ALL&amp;q=Col&#233;gio%20Saint%20John&amp;search_type=keyword_unordered&amp;media_type=all" TargetMode="External"/><Relationship Id="rId222" Type="http://schemas.openxmlformats.org/officeDocument/2006/relationships/hyperlink" Target="https://l.facebook.com/l.php?u=https%3A%2F%2Fapi.whatsapp.com%2Fsend%3Ffbclid%3DIwcGRvZgFleHRuA2FlbQIxMABicmlkETFXNzlsVXpoUDVDNVVuakFSc3J0YwZhcHBfaWQPNTQxNjM5NDkzODg5MDI1AAEef2Ay9JH-w62yBzipAYnGYPW8DpiIbNWtsD3FV7TbiynhJrf2FJ-gR6gVWdQ_aem_PkwtiNv2ICYFUGr49" TargetMode="External"/><Relationship Id="rId223" Type="http://schemas.openxmlformats.org/officeDocument/2006/relationships/hyperlink" Target="https://www.facebook.com/ads/library/?active_status=active&amp;ad_type=all&amp;country=ALL&amp;q=Escola%20de%20Ensino%20M&#233;dio%20Aurora&amp;search_type=keyword_unordered&amp;media_type=all" TargetMode="External"/><Relationship Id="rId224" Type="http://schemas.openxmlformats.org/officeDocument/2006/relationships/hyperlink" Target="https://l.facebook.com/l.php?u=http%3A%2F%2Finstagram.com%2Fescolaauroraguapore%3Ffbclid%3DIwcGRvZgFleHRuA2FlbQIxMABicmlkETFXNzlsVXpoUDVDNVVuakFSc3J0YwZhcHBfaWQPNTQxNjM5NDkzODg5MDI1AAEeo6JyMjm1XPgMuTrdSlDmfT6YyerozLW2goY7wbM4vUwq0i3rwsBPh9wXcW0_aem_Bbd3xt" TargetMode="External"/><Relationship Id="rId225" Type="http://schemas.openxmlformats.org/officeDocument/2006/relationships/hyperlink" Target="https://www.facebook.com/ads/library/?active_status=active&amp;ad_type=all&amp;country=ALL&amp;q=Col&#233;gio%20Estrutural&amp;search_type=keyword_unordered&amp;media_type=all" TargetMode="External"/><Relationship Id="rId226" Type="http://schemas.openxmlformats.org/officeDocument/2006/relationships/hyperlink" Target="https://l.facebook.com/l.php?u=http%3A%2F%2Finstagram.com%2Fcolegioestrutural%3Ffbclid%3DIwcGRvZgFleHRuA2FlbQIxMABicmlkETFXNzlsVXpoUDVDNVVuakFSc3J0YwZhcHBfaWQPNTQxNjM5NDkzODg5MDI1AAEe6-lGHam-0fdkKTskoHoSKGSmqNV9VvipHgVFi62EM8HQmWSe7Dfh30LV9E4_aem_jPsRlTWO" TargetMode="External"/><Relationship Id="rId227" Type="http://schemas.openxmlformats.org/officeDocument/2006/relationships/hyperlink" Target="https://www.facebook.com/ads/library/?active_status=active&amp;ad_type=all&amp;country=ALL&amp;q=S&#243;%20Educador&amp;search_type=keyword_unordered&amp;media_type=all" TargetMode="External"/><Relationship Id="rId228" Type="http://schemas.openxmlformats.org/officeDocument/2006/relationships/hyperlink" Target="https://l.facebook.com/l.php?u=https%3A%2F%2Fsoeducador.com.br%2Fcursos%2Finfo%2F445%2Fcuidador-infantil-e-assistente-de-creche%3Ffbclid%3DIwcGRvZgFleHRuA2FlbQIxMABicmlkETFXNzlsVXpoUDVDNVVuakFSc3J0YwZhcHBfaWQPNTQxNjM5NDkzODg5MDI1AAEe6-lGHam-0fdkKTskoHoSKG" TargetMode="External"/><Relationship Id="rId229" Type="http://schemas.openxmlformats.org/officeDocument/2006/relationships/hyperlink" Target="https://www.facebook.com/ads/library/?active_status=active&amp;ad_type=all&amp;country=ALL&amp;q=Petit%20Enfant%20-%20Escola%20de%20Educa&#231;&#227;o%20Infantil&amp;search_type=keyword_unordered&amp;media_type=all" TargetMode="External"/><Relationship Id="rId230" Type="http://schemas.openxmlformats.org/officeDocument/2006/relationships/hyperlink" Target="https://api.whatsapp.com/send" TargetMode="External"/><Relationship Id="rId231" Type="http://schemas.openxmlformats.org/officeDocument/2006/relationships/hyperlink" Target="https://www.facebook.com/ads/library/?active_status=active&amp;ad_type=all&amp;country=ALL&amp;q=Di&#225;logos%20Embalados&amp;search_type=keyword_unordered&amp;media_type=all" TargetMode="External"/><Relationship Id="rId232" Type="http://schemas.openxmlformats.org/officeDocument/2006/relationships/hyperlink" Target="https://l.facebook.com/l.php?u=http%3A%2F%2Finstagram.com%2Fdialogosembalados%3Ffbclid%3DIwcGRvZgFleHRuA2FlbQIxMABicmlkETFXNzlsVXpoUDVDNVVuakFSc3J0YwZhcHBfaWQPNTQxNjM5NDkzODg5MDI1AAEemiG7ZJSZpG9eI9fq5mE7SXnRpY_yuEiuCxv85peaXE2F7vnxtjwNXuT-oUQ_aem_8O1Am_K_" TargetMode="External"/><Relationship Id="rId233" Type="http://schemas.openxmlformats.org/officeDocument/2006/relationships/hyperlink" Target="https://www.facebook.com/ads/library/?active_status=active&amp;ad_type=all&amp;country=ALL&amp;q=Pontinho%20Educa&#231;&#227;o%20Infantil&amp;search_type=keyword_unordered&amp;media_type=all" TargetMode="External"/><Relationship Id="rId234" Type="http://schemas.openxmlformats.org/officeDocument/2006/relationships/hyperlink" Target="https://api.whatsapp.com/send" TargetMode="External"/><Relationship Id="rId235" Type="http://schemas.openxmlformats.org/officeDocument/2006/relationships/hyperlink" Target="https://www.facebook.com/ads/library/?active_status=active&amp;ad_type=all&amp;country=ALL&amp;q=Col&#233;gio%20SiriuS&amp;search_type=keyword_unordered&amp;media_type=all" TargetMode="External"/><Relationship Id="rId236" Type="http://schemas.openxmlformats.org/officeDocument/2006/relationships/hyperlink" Target="https://l.facebook.com/l.php?u=http%3A%2F%2Fwww.colegiosirius.com.br%2F%3Ffbclid%3DIwcGRvZgFleHRuA2FlbQIxMABicmlkETFXNzlsVXpoUDVDNVVuakFSc3J0YwZhcHBfaWQPNTQxNjM5NDkzODg5MDI1AAEeIbNyWNnqt2-4raZja4sSumcYQpNwnkV8H12szpx0xM1nhqpZ-pH7bYS1Jwo_aem_kq6TAF2G9pPUEJ" TargetMode="External"/><Relationship Id="rId237" Type="http://schemas.openxmlformats.org/officeDocument/2006/relationships/hyperlink" Target="https://www.facebook.com/ads/library/?active_status=active&amp;ad_type=all&amp;country=ALL&amp;q=Matr&#237;culas%20Faveni&amp;search_type=keyword_unordered&amp;media_type=all" TargetMode="External"/><Relationship Id="rId238" Type="http://schemas.openxmlformats.org/officeDocument/2006/relationships/hyperlink" Target="https://api.whatsapp.com/send" TargetMode="External"/><Relationship Id="rId239" Type="http://schemas.openxmlformats.org/officeDocument/2006/relationships/hyperlink" Target="https://www.facebook.com/ads/library/?active_status=active&amp;ad_type=all&amp;country=ALL&amp;q=Matr&#237;culas%20Faveni&amp;search_type=keyword_unordered&amp;media_type=all" TargetMode="External"/><Relationship Id="rId240" Type="http://schemas.openxmlformats.org/officeDocument/2006/relationships/hyperlink" Target="https://api.whatsapp.com/send" TargetMode="External"/><Relationship Id="rId241" Type="http://schemas.openxmlformats.org/officeDocument/2006/relationships/hyperlink" Target="https://www.facebook.com/ads/library/?active_status=active&amp;ad_type=all&amp;country=ALL&amp;q=Editora%20Via%20L&#250;dica&amp;search_type=keyword_unordered&amp;media_type=all" TargetMode="External"/><Relationship Id="rId242" Type="http://schemas.openxmlformats.org/officeDocument/2006/relationships/hyperlink" Target="https://l.facebook.com/l.php?u=https%3A%2F%2Fconteudo.editoravialudica.com.br%2Fbingo-literario%3Ffbclid%3DIwcGRvZgFleHRuA2FlbQIxMABicmlkETFXNzlsVXpoUDVDNVVuakFSc3J0YwZhcHBfaWQPNTQxNjM5NDkzODg5MDI1AAEe6-lGHam-0fdkKTskoHoSKGSmqNV9VvipHgVFi62EM8HQmWSe7Dfh30" TargetMode="External"/><Relationship Id="rId243" Type="http://schemas.openxmlformats.org/officeDocument/2006/relationships/hyperlink" Target="https://www.facebook.com/ads/library/?active_status=active&amp;ad_type=all&amp;country=ALL&amp;q=Matr&#237;culas%20Faveni&amp;search_type=keyword_unordered&amp;media_type=all" TargetMode="External"/><Relationship Id="rId244" Type="http://schemas.openxmlformats.org/officeDocument/2006/relationships/hyperlink" Target="https://api.whatsapp.com/send" TargetMode="External"/><Relationship Id="rId245" Type="http://schemas.openxmlformats.org/officeDocument/2006/relationships/hyperlink" Target="https://www.facebook.com/ads/library/?active_status=active&amp;ad_type=all&amp;country=ALL&amp;q=Matr&#237;culas%20Faveni&amp;search_type=keyword_unordered&amp;media_type=all" TargetMode="External"/><Relationship Id="rId246" Type="http://schemas.openxmlformats.org/officeDocument/2006/relationships/hyperlink" Target="https://api.whatsapp.com/send" TargetMode="External"/><Relationship Id="rId247" Type="http://schemas.openxmlformats.org/officeDocument/2006/relationships/hyperlink" Target="https://www.facebook.com/ads/library/?active_status=active&amp;ad_type=all&amp;country=ALL&amp;q=Col&#233;gio%20Future&amp;search_type=keyword_unordered&amp;media_type=all" TargetMode="External"/><Relationship Id="rId248" Type="http://schemas.openxmlformats.org/officeDocument/2006/relationships/hyperlink" Target="https://scontent.ffor7-1.fna.fbcdn.net/o1/v/t2/f2/m86/AQPzeSXR2UPpqd0-w8IaLQTDvar2xcSXELYDW7DIHV6cQ9In8GKy1JXm8jY5WLIfB4cD4vaRejjxNhkdiMGbEdssA70XrmOtjJ776wg.mp4?_nc_cat=107&amp;_nc_oc=AdqE5Bm8vG1MO8N8aiuvI8eNlLHvZriYxdnHKAHaWCwyey3BeYREM_C5_ZRTJZoe1g4&amp;_nc_si" TargetMode="External"/><Relationship Id="rId249" Type="http://schemas.openxmlformats.org/officeDocument/2006/relationships/hyperlink" Target="https://www.facebook.com/ads/library/?active_status=active&amp;ad_type=all&amp;country=ALL&amp;q=Col&#233;gio%20Master%20Educa&#231;&#227;o%20Infantil&amp;search_type=keyword_unordered&amp;media_type=all" TargetMode="External"/><Relationship Id="rId250" Type="http://schemas.openxmlformats.org/officeDocument/2006/relationships/hyperlink" Target="https://api.whatsapp.com/send" TargetMode="External"/><Relationship Id="rId251" Type="http://schemas.openxmlformats.org/officeDocument/2006/relationships/hyperlink" Target="https://www.facebook.com/ads/library/?active_status=active&amp;ad_type=all&amp;country=ALL&amp;q=Colegio%20Vertical%20&amp;search_type=keyword_unordered&amp;media_type=all" TargetMode="External"/><Relationship Id="rId252" Type="http://schemas.openxmlformats.org/officeDocument/2006/relationships/hyperlink" Target="https://l.facebook.com/l.php?u=http%3A%2F%2Finstagram.com%2Fcolegiovertical%3Ffbclid%3DIwcGRvZgFleHRuA2FlbQIxMABicmlkETFXNzlsVXpoUDVDNVVuakFSc3J0YwZhcHBfaWQPNTQxNjM5NDkzODg5MDI1AAEeomo5_C6J2q3cxfNXzkZroM0VILYhv9g6P2DO5yVgnfUBZbvhqs3M9JiYyF0_aem_ufln1sjNgm" TargetMode="External"/><Relationship Id="rId253" Type="http://schemas.openxmlformats.org/officeDocument/2006/relationships/hyperlink" Target="https://www.facebook.com/ads/library/?active_status=active&amp;ad_type=all&amp;country=ALL&amp;q=Col&#233;gio%20S&#227;o%20Jos&#233;%20da%20Imaculada%20Concei&#231;&#227;o%20Po&#231;os%20de%20Caldas&amp;search_type=keyword_unordered&amp;media_type=all" TargetMode="External"/><Relationship Id="rId254" Type="http://schemas.openxmlformats.org/officeDocument/2006/relationships/hyperlink" Target="https://api.whatsapp.com/send" TargetMode="External"/><Relationship Id="rId255" Type="http://schemas.openxmlformats.org/officeDocument/2006/relationships/hyperlink" Target="https://www.facebook.com/ads/library/?active_status=active&amp;ad_type=all&amp;country=ALL&amp;q=Col&#233;gio%20Master%20Educa&#231;&#227;o%20Infantil&amp;search_type=keyword_unordered&amp;media_type=all" TargetMode="External"/><Relationship Id="rId256" Type="http://schemas.openxmlformats.org/officeDocument/2006/relationships/hyperlink" Target="https://l.facebook.com/l.php?u=http%3A%2F%2Finstagram.com%2Fcolegiomaster.infantil%3Ffbclid%3DIwcGRvZgFleHRuA2FlbQIxMABicmlkETFXNzlsVXpoUDVDNVVuakFSc3J0YwZhcHBfaWQPNTQxNjM5NDkzODg5MDI1AAEef2Ay9JH-w62yBzipAYnGYPW8DpiIbNWtsD3FV7TbiynhJrf2FJ-gR6gVWdQ_aem_Pkw" TargetMode="External"/><Relationship Id="rId257" Type="http://schemas.openxmlformats.org/officeDocument/2006/relationships/hyperlink" Target="https://www.facebook.com/ads/library/?active_status=active&amp;ad_type=all&amp;country=ALL&amp;q=Col&#233;gio%20Master%20Educa&#231;&#227;o%20Infantil&amp;search_type=keyword_unordered&amp;media_type=all" TargetMode="External"/><Relationship Id="rId258" Type="http://schemas.openxmlformats.org/officeDocument/2006/relationships/hyperlink" Target="https://l.facebook.com/l.php?u=http%3A%2F%2Finstagram.com%2Fcolegiomaster.infantil%3Ffbclid%3DIwcGRvZgFleHRuA2FlbQIxMABicmlkETFXNzlsVXpoUDVDNVVuakFSc3J0YwZhcHBfaWQPNTQxNjM5NDkzODg5MDI1AAEeH1AJh0vlnF3AlOcgu47q8hasJKuoUFcuVs3sw1Tqc3snFg8RJeOheD-ct6c_aem_PtS" TargetMode="External"/><Relationship Id="rId259" Type="http://schemas.openxmlformats.org/officeDocument/2006/relationships/hyperlink" Target="https://www.facebook.com/ads/library/?active_status=active&amp;ad_type=all&amp;country=ALL&amp;q=Col&#233;gio%20Master%20Educa&#231;&#227;o%20Infantil&amp;search_type=keyword_unordered&amp;media_type=all" TargetMode="External"/><Relationship Id="rId260" Type="http://schemas.openxmlformats.org/officeDocument/2006/relationships/hyperlink" Target="https://api.whatsapp.com/send" TargetMode="External"/><Relationship Id="rId261" Type="http://schemas.openxmlformats.org/officeDocument/2006/relationships/hyperlink" Target="https://www.facebook.com/ads/library/?active_status=active&amp;ad_type=all&amp;country=ALL&amp;q=Col&#233;gio%20Master%20Educa&#231;&#227;o%20Infantil&amp;search_type=keyword_unordered&amp;media_type=all" TargetMode="External"/><Relationship Id="rId262" Type="http://schemas.openxmlformats.org/officeDocument/2006/relationships/hyperlink" Target="https://l.facebook.com/l.php?u=https%3A%2F%2Fapi.whatsapp.com%2Fsend%3Ffbclid%3DIwcGRvZgFleHRuA2FlbQIxMABicmlkETFXNzlsVXpoUDVDNVVuakFSc3J0YwZhcHBfaWQPNTQxNjM5NDkzODg5MDI1AAEeomo5_C6J2q3cxfNXzkZroM0VILYhv9g6P2DO5yVgnfUBZbvhqs3M9JiYyF0_aem_ufln1sjNgmn5B-KCb" TargetMode="External"/><Relationship Id="rId263" Type="http://schemas.openxmlformats.org/officeDocument/2006/relationships/hyperlink" Target="https://www.facebook.com/ads/library/?active_status=active&amp;ad_type=all&amp;country=ALL&amp;q=Faveni%20Jo&#227;o%20Monlevade&amp;search_type=keyword_unordered&amp;media_type=all" TargetMode="External"/><Relationship Id="rId264" Type="http://schemas.openxmlformats.org/officeDocument/2006/relationships/hyperlink" Target="https://api.whatsapp.com/send" TargetMode="External"/><Relationship Id="rId265" Type="http://schemas.openxmlformats.org/officeDocument/2006/relationships/hyperlink" Target="https://www.facebook.com/ads/library/?active_status=active&amp;ad_type=all&amp;country=ALL&amp;q=Sistema%20Anglo%20de%20Ensino&amp;search_type=keyword_unordered&amp;media_type=all" TargetMode="External"/><Relationship Id="rId266" Type="http://schemas.openxmlformats.org/officeDocument/2006/relationships/hyperlink" Target="https://l.facebook.com/l.php?u=https%3A%2F%2Fwww.sistemaanglo.com.br%2F%3Futm_source%3D%257B%257Bsite_source_name%257D%257D%26utm_medium%3Dcpc%26utm_campaign%3DAC_ANGLO_CP11_Institucional-75-anos-anglo_Awareness_Topo_ABO%26utm_content%3DANGLO_CP11_CJ1_LAL" TargetMode="External"/><Relationship Id="rId267" Type="http://schemas.openxmlformats.org/officeDocument/2006/relationships/hyperlink" Target="https://www.facebook.com/ads/library/?active_status=active&amp;ad_type=all&amp;country=ALL&amp;q=Sistema%20Anglo%20de%20Ensino&amp;search_type=keyword_unordered&amp;media_type=all" TargetMode="External"/><Relationship Id="rId268" Type="http://schemas.openxmlformats.org/officeDocument/2006/relationships/hyperlink" Target="https://l.facebook.com/l.php?u=https%3A%2F%2Fwww.sistemaanglo.com.br%2F%3Futm_source%3D%257B%257Bsite_source_name%257D%257D%26utm_medium%3Dcpc%26utm_campaign%3DAC_ANGLO_CP11_Institucional-75-anos-anglo_Awareness_Topo_ABO%26utm_content%3DANGLO_CP11_CJ4_Int" TargetMode="External"/><Relationship Id="rId269" Type="http://schemas.openxmlformats.org/officeDocument/2006/relationships/hyperlink" Target="https://www.facebook.com/ads/library/?active_status=active&amp;ad_type=all&amp;country=ALL&amp;q=Pequenos%20Fluentes&amp;search_type=keyword_unordered&amp;media_type=all" TargetMode="External"/><Relationship Id="rId270" Type="http://schemas.openxmlformats.org/officeDocument/2006/relationships/hyperlink" Target="https://l.facebook.com/l.php?u=https%3A%2F%2Fpequenosfluentes.com.br%2Fclass-books%2F%3Ffbclid%3DIwcGRvZgFleHRuA2FlbQIxMABicmlkETFXNzlsVXpoUDVDNVVuakFSc3J0YwZhcHBfaWQPNTQxNjM5NDkzODg5MDI1AAEe6-lGHam-0fdkKTskoHoSKGSmqNV9VvipHgVFi62EM8HQmWSe7Dfh30LV9E4_aem_" TargetMode="External"/><Relationship Id="rId271" Type="http://schemas.openxmlformats.org/officeDocument/2006/relationships/hyperlink" Target="https://www.facebook.com/ads/library/?active_status=active&amp;ad_type=all&amp;country=ALL&amp;q=Kingdom%20School&amp;search_type=keyword_unordered&amp;media_type=all" TargetMode="External"/><Relationship Id="rId272" Type="http://schemas.openxmlformats.org/officeDocument/2006/relationships/hyperlink" Target="https://l.facebook.com/l.php?u=https%3A%2F%2Fescola.mykingdomschool.com.br%2Feducacao-infantil%3Futm_source%3Dmeta%26utm_campaign%3Dtrafego%26utm_content%3Dsite%26fbclid%3DIwcGRvZgFleHRuA2FlbQIxMABicmlkETFXNzlsVXpoUDVDNVVuakFSc3J0YwZhcHBfaWQPNTQxNjM5NDkzO" TargetMode="External"/><Relationship Id="rId273" Type="http://schemas.openxmlformats.org/officeDocument/2006/relationships/hyperlink" Target="https://www.facebook.com/ads/library/?active_status=active&amp;ad_type=all&amp;country=ALL&amp;q=Col&#233;gio%20Semeador&amp;search_type=keyword_unordered&amp;media_type=all" TargetMode="External"/><Relationship Id="rId274" Type="http://schemas.openxmlformats.org/officeDocument/2006/relationships/hyperlink" Target="https://l.facebook.com/l.php?u=https%3A%2F%2Fcolegiosemeador.com.br%2F%3Futm_source%3Dmetaads%26utm_medium%3Dcpc%26utm_campaign%3Dicherry_seme_foz-iguacu_none_always-on_consideracao_trafego_leilao_metaads_none_none%26utm_content%3Dicherry_seme_foz-iguacu_" TargetMode="External"/><Relationship Id="rId275" Type="http://schemas.openxmlformats.org/officeDocument/2006/relationships/hyperlink" Target="https://www.facebook.com/ads/library/?active_status=active&amp;ad_type=all&amp;country=ALL&amp;q=Algo%20T&#227;o%20Doce%20CRI&amp;search_type=keyword_unordered&amp;media_type=all" TargetMode="External"/><Relationship Id="rId276" Type="http://schemas.openxmlformats.org/officeDocument/2006/relationships/hyperlink" Target="https://l.facebook.com/l.php?u=http%3A%2F%2Finstagram.com%2Falgotaodocecri%3Ffbclid%3DIwcGRvZgFleHRuA2FlbQIxMABicmlkETFXNzlsVXpoUDVDNVVuakFSc3J0YwZhcHBfaWQPNTQxNjM5NDkzODg5MDI1AAEemiG7ZJSZpG9eI9fq5mE7SXnRpY_yuEiuCxv85peaXE2F7vnxtjwNXuT-oUQ_aem_8O1Am_K_CRh" TargetMode="External"/><Relationship Id="rId277" Type="http://schemas.openxmlformats.org/officeDocument/2006/relationships/hyperlink" Target="https://www.facebook.com/ads/library/?active_status=active&amp;ad_type=all&amp;country=ALL&amp;q=Profesdainfancia&amp;search_type=keyword_unordered&amp;media_type=all" TargetMode="External"/><Relationship Id="rId278" Type="http://schemas.openxmlformats.org/officeDocument/2006/relationships/hyperlink" Target="https://l.facebook.com/l.php?u=https%3A%2F%2Fmonifaraon1755365946.hotmart.host%2Fmetodo-portfolio-encantado-dbcb0b33-24a5-4bae-b0be-058d64bbbc85%3Ffbclid%3DIwcGRvZgFleHRuA2FlbQIxMABicmlkETFXNzlsVXpoUDVDNVVuakFSc3J0YwZhcHBfaWQPNTQxNjM5NDkzODg5MDI1AAEef2Ay9" TargetMode="External"/><Relationship Id="rId279" Type="http://schemas.openxmlformats.org/officeDocument/2006/relationships/hyperlink" Target="https://www.facebook.com/ads/library/?active_status=active&amp;ad_type=all&amp;country=ALL&amp;q=Trelele%20Creche%20Escola&amp;search_type=keyword_unordered&amp;media_type=all" TargetMode="External"/><Relationship Id="rId280" Type="http://schemas.openxmlformats.org/officeDocument/2006/relationships/hyperlink" Target="https://api.whatsapp.com/send" TargetMode="External"/><Relationship Id="rId281" Type="http://schemas.openxmlformats.org/officeDocument/2006/relationships/hyperlink" Target="https://www.facebook.com/ads/library/?active_status=active&amp;ad_type=all&amp;country=ALL&amp;q=Col&#233;gio%20Oswald&amp;search_type=keyword_unordered&amp;media_type=all" TargetMode="External"/><Relationship Id="rId282" Type="http://schemas.openxmlformats.org/officeDocument/2006/relationships/hyperlink" Target="https://l.facebook.com/l.php?u=http%3A%2F%2Finstagram.com%2Fcolegiooswald%3Ffbclid%3DIwcGRvZgFleHRuA2FlbQIxMABicmlkETFXNzlsVXpoUDVDNVVuakFSc3J0YwZhcHBfaWQPNTQxNjM5NDkzODg5MDI1AAEeIbNyWNnqt2-4raZja4sSumcYQpNwnkV8H12szpx0xM1nhqpZ-pH7bYS1Jwo_aem_kq6TAF2G9pPU" TargetMode="External"/><Relationship Id="rId283" Type="http://schemas.openxmlformats.org/officeDocument/2006/relationships/hyperlink" Target="https://www.facebook.com/ads/library/?active_status=active&amp;ad_type=all&amp;country=ALL&amp;q=Prof&#170;%20Karina%20Tarefinhas&amp;search_type=keyword_unordered&amp;media_type=all" TargetMode="External"/><Relationship Id="rId284" Type="http://schemas.openxmlformats.org/officeDocument/2006/relationships/hyperlink" Target="https://api.whatsapp.com/send" TargetMode="External"/><Relationship Id="rId285" Type="http://schemas.openxmlformats.org/officeDocument/2006/relationships/hyperlink" Target="https://www.facebook.com/ads/library/?active_status=active&amp;ad_type=all&amp;country=ALL&amp;q=Col&#233;gio%20Notre%20Dame%20Ipanema&amp;search_type=keyword_unordered&amp;media_type=all" TargetMode="External"/><Relationship Id="rId286" Type="http://schemas.openxmlformats.org/officeDocument/2006/relationships/hyperlink" Target="https://l.facebook.com/l.php?u=https%3A%2F%2Fmatriculas.notredame.org.br%2Fnd_ipanema%2F%3Futm_source%3Dmeta-ads%26utm_medium%3Dcpc%26utm_campaign%3Dreconhecimento%26fbclid%3DIwcGRvZgFleHRuA2FlbQIxMABicmlkETFXNzlsVXpoUDVDNVVuakFSc3J0YwZhcHBfaWQPNTQxNjM5ND" TargetMode="External"/><Relationship Id="rId287" Type="http://schemas.openxmlformats.org/officeDocument/2006/relationships/hyperlink" Target="https://www.facebook.com/ads/library/?active_status=active&amp;ad_type=all&amp;country=ALL&amp;q=Col&#233;gio%20Gera&#231;&#227;o%202000%20(%20Oficial%20)&amp;search_type=keyword_unordered&amp;media_type=all" TargetMode="External"/><Relationship Id="rId288" Type="http://schemas.openxmlformats.org/officeDocument/2006/relationships/hyperlink" Target="https://l.facebook.com/l.php?u=https%3A%2F%2Fapi.whatsapp.com%2Fsend%3Ffbclid%3DIwcGRvZgFleHRuA2FlbQIxMABicmlkETFXNzlsVXpoUDVDNVVuakFSc3J0YwZhcHBfaWQPNTQxNjM5NDkzODg5MDI1AAEei-7k0OCV6rulAxe8m7jBCbQ9cA8KiGcW5XYIS0hD0RgB02J221k76asUC-Q_aem_r7SThfJaU_AvddXdg" TargetMode="External"/><Relationship Id="rId289" Type="http://schemas.openxmlformats.org/officeDocument/2006/relationships/hyperlink" Target="https://www.facebook.com/ads/library/?active_status=active&amp;ad_type=all&amp;country=ALL&amp;q=Col&#233;gio%20Rodrigues%20Lima&amp;search_type=keyword_unordered&amp;media_type=all" TargetMode="External"/><Relationship Id="rId290" Type="http://schemas.openxmlformats.org/officeDocument/2006/relationships/hyperlink" Target="https://l.facebook.com/l.php?u=https%3A%2F%2Fapi.whatsapp.com%2Fsend%3Ffbclid%3DIwcGRvZgFleHRuA2FlbQIxMABicmlkETFXNzlsVXpoUDVDNVVuakFSc3J0YwZhcHBfaWQPNTQxNjM5NDkzODg5MDI1AAEemiG7ZJSZpG9eI9fq5mE7SXnRpY_yuEiuCxv85peaXE2F7vnxtjwNXuT-oUQ_aem_8O1Am_K_CRhxY_Kqm" TargetMode="External"/><Relationship Id="rId291" Type="http://schemas.openxmlformats.org/officeDocument/2006/relationships/hyperlink" Target="https://www.facebook.com/ads/library/?active_status=active&amp;ad_type=all&amp;country=ALL&amp;q=CIEC%20Bil&#237;ngue&amp;search_type=keyword_unordered&amp;media_type=all" TargetMode="External"/><Relationship Id="rId292" Type="http://schemas.openxmlformats.org/officeDocument/2006/relationships/hyperlink" Target="https://api.whatsapp.com/send" TargetMode="External"/><Relationship Id="rId293" Type="http://schemas.openxmlformats.org/officeDocument/2006/relationships/hyperlink" Target="https://www.facebook.com/ads/library/?active_status=active&amp;ad_type=all&amp;country=ALL&amp;q=Educa&#231;&#227;o%20Infantil&amp;search_type=keyword_unordered&amp;media_type=all" TargetMode="External"/><Relationship Id="rId294" Type="http://schemas.openxmlformats.org/officeDocument/2006/relationships/hyperlink" Target="https://l.facebook.com/l.php?u=https%3A%2F%2Fbrinquedosdepapelbr.netlify.app%2F%3Ffbclid%3DIwcGRvZgFleHRuA2FlbQIxMABicmlkETFXNzlsVXpoUDVDNVVuakFSc3J0YwZhcHBfaWQPNTQxNjM5NDkzODg5MDI1AAEeomo5_C6J2q3cxfNXzkZroM0VILYhv9g6P2DO5yVgnfUBZbvhqs3M9JiYyF0_aem_ufln1s" TargetMode="External"/><Relationship Id="rId295" Type="http://schemas.openxmlformats.org/officeDocument/2006/relationships/hyperlink" Target="https://www.facebook.com/ads/library/?active_status=active&amp;ad_type=all&amp;country=ALL&amp;q=Centro%20de%20Educa&#231;&#227;o%20Infantil%20Viv&#234;ncia&amp;search_type=keyword_unordered&amp;media_type=all" TargetMode="External"/><Relationship Id="rId296" Type="http://schemas.openxmlformats.org/officeDocument/2006/relationships/hyperlink" Target="https://api.whatsapp.com/send" TargetMode="External"/><Relationship Id="rId297" Type="http://schemas.openxmlformats.org/officeDocument/2006/relationships/hyperlink" Target="https://www.facebook.com/ads/library/?active_status=active&amp;ad_type=all&amp;country=ALL&amp;q=O%20Seu%20Professor&amp;search_type=keyword_unordered&amp;media_type=all" TargetMode="External"/><Relationship Id="rId298" Type="http://schemas.openxmlformats.org/officeDocument/2006/relationships/hyperlink" Target="https://l.facebook.com/l.php?u=https%3A%2F%2Foseuprofessor.com.br%2Feducacaofisica%2F%3Ffbclid%3DIwcGRvZgFleHRuA2FlbQIxMABicmlkETFXNzlsVXpoUDVDNVVuakFSc3J0YwZhcHBfaWQPNTQxNjM5NDkzODg5MDI1AAEei-7k0OCV6rulAxe8m7jBCbQ9cA8KiGcW5XYIS0hD0RgB02J221k76asUC-Q_aem_" TargetMode="External"/><Relationship Id="rId299" Type="http://schemas.openxmlformats.org/officeDocument/2006/relationships/hyperlink" Target="https://www.facebook.com/ads/library/?active_status=active&amp;ad_type=all&amp;country=ALL&amp;q=Escola%20S&#227;o%20Domingos&amp;search_type=keyword_unordered&amp;media_type=all" TargetMode="External"/><Relationship Id="rId300" Type="http://schemas.openxmlformats.org/officeDocument/2006/relationships/hyperlink" Target="https://l.facebook.com/l.php?u=https%3A%2F%2Fsundayseducacao.com.br%2F%3Ffbclid%3DIwcGRvZgFleHRuA2FlbQIxMABicmlkETFXNzlsVXpoUDVDNVVuakFSc3J0YwZhcHBfaWQPNTQxNjM5NDkzODg5MDI1AAEemiG7ZJSZpG9eI9fq5mE7SXnRpY_yuEiuCxv85peaXE2F7vnxtjwNXuT-oUQ_aem_8O1Am_K_CRhxY_K" TargetMode="External"/><Relationship Id="rId301" Type="http://schemas.openxmlformats.org/officeDocument/2006/relationships/hyperlink" Target="https://www.facebook.com/ads/library/?active_status=active&amp;ad_type=all&amp;country=ALL&amp;q=Sundays%20Educa&#231;&#227;o%20Infantil%20Integral&amp;search_type=keyword_unordered&amp;media_type=all" TargetMode="External"/><Relationship Id="rId302" Type="http://schemas.openxmlformats.org/officeDocument/2006/relationships/hyperlink" Target="https://l.facebook.com/l.php?u=https%3A%2F%2Fsundayseducacao.com.br%2F%3Ffbclid%3DIwcGRvZgFleHRuA2FlbQIxMABicmlkETFXNzlsVXpoUDVDNVVuakFSc3J0YwZhcHBfaWQPNTQxNjM5NDkzODg5MDI1AAEefbFGDO-zrlIqJQIlM89BJn9ihvjEznXMXNSN5_rYbXTZcEwyAe3CyzX9PY4_aem_CQ8R76th59r1hQX" TargetMode="External"/><Relationship Id="rId303" Type="http://schemas.openxmlformats.org/officeDocument/2006/relationships/hyperlink" Target="https://www.facebook.com/ads/library/?active_status=active&amp;ad_type=all&amp;country=ALL&amp;q=Liceu%20Jardim&amp;search_type=keyword_unordered&amp;media_type=all" TargetMode="External"/><Relationship Id="rId304" Type="http://schemas.openxmlformats.org/officeDocument/2006/relationships/hyperlink" Target="https://l.facebook.com/l.php?u=https%3A%2F%2Fliceujardim.com%2Feducacao-infantil-bilingue%2F%3Futm_source%3Dfacebook%26utm_medium%3Dcpc%26utm_campaign%3Dinfantil%26utm_id%3Dlead%26fbclid%3DIwcGRvZgFleHRuA2FlbQIxMABicmlkETFXNzlsVXpoUDVDNVVuakFSc3J0YwZhcHBf" TargetMode="External"/><Relationship Id="rId305" Type="http://schemas.openxmlformats.org/officeDocument/2006/relationships/hyperlink" Target="https://www.facebook.com/ads/library/?active_status=active&amp;ad_type=all&amp;country=ALL&amp;q=Escola%20Americana%20de%20Vit&#243;ria&amp;search_type=keyword_unordered&amp;media_type=all" TargetMode="External"/><Relationship Id="rId306" Type="http://schemas.openxmlformats.org/officeDocument/2006/relationships/hyperlink" Target="https://scontent.ffor7-1.fna.fbcdn.net/o1/v/t2/f2/m86/AQPh2sSVATEUsPYl2vq7uDd_CxjXDSuJs_wteDKXkYD1BZf2EH_ZpOCctwh25AMh4_jfedZm1d9zmeHxf7ptZjWkvZDOczkvQ8Vr_hg.mp4?_nc_cat=102&amp;_nc_oc=AdrqZT5WDxElGZPFb0dQ8HY2oKFYFWfzHbmqmFNQQ0ymG9eD4FsXyEQ1ARTKGcEbGBI&amp;_nc_si" TargetMode="External"/><Relationship Id="rId307" Type="http://schemas.openxmlformats.org/officeDocument/2006/relationships/hyperlink" Target="https://www.facebook.com/ads/library/?active_status=active&amp;ad_type=all&amp;country=ALL&amp;q=Solu&#231;&#245;es%20Moderna&amp;search_type=keyword_unordered&amp;media_type=all" TargetMode="External"/><Relationship Id="rId308" Type="http://schemas.openxmlformats.org/officeDocument/2006/relationships/hyperlink" Target="https://l.facebook.com/l.php?u=https%3A%2F%2Fwww.instagram.com%2F_u%2Fsolucoesmoderna%3Ffbclid%3DIwcGRvZgFleHRuA2FlbQIxMABicmlkETFXNzlsVXpoUDVDNVVuakFSc3J0YwZhcHBfaWQPNTQxNjM5NDkzODg5MDI1AAEef2Ay9JH-w62yBzipAYnGYPW8DpiIbNWtsD3FV7TbiynhJrf2FJ-gR6gVWdQ_aem_" TargetMode="External"/><Relationship Id="rId309" Type="http://schemas.openxmlformats.org/officeDocument/2006/relationships/hyperlink" Target="https://www.facebook.com/ads/library/?active_status=active&amp;ad_type=all&amp;country=ALL&amp;q=Legacy%20School&amp;search_type=keyword_unordered&amp;media_type=all" TargetMode="External"/><Relationship Id="rId310" Type="http://schemas.openxmlformats.org/officeDocument/2006/relationships/hyperlink" Target="https://l.facebook.com/l.php?u=https%3A%2F%2Flegacyschool.com.br%2F%3Futm_source%3Dmetaads%26utm_medium%3Dcpm%26utm_campaign%3Dmatriculas2026%26utm_id%3Dwtag%26fbclid%3DIwcGRvZgFleHRuA2FlbQIxMABicmlkETFXNzlsVXpoUDVDNVVuakFSc3J0YwZhcHBfaWQPNTQxNjM5NDkzODg5" TargetMode="External"/><Relationship Id="rId311" Type="http://schemas.openxmlformats.org/officeDocument/2006/relationships/hyperlink" Target="https://www.facebook.com/ads/library/?active_status=active&amp;ad_type=all&amp;country=ALL&amp;q=Col&#233;gio%20Positivo%20Master&amp;search_type=keyword_unordered&amp;media_type=all" TargetMode="External"/><Relationship Id="rId312" Type="http://schemas.openxmlformats.org/officeDocument/2006/relationships/hyperlink" Target="https://l.facebook.com/l.php?u=https%3A%2F%2Fapi.whatsapp.com%2Fsend%3Ffbclid%3DIwcGRvZgFleHRuA2FlbQIxMABicmlkETFXNzlsVXpoUDVDNVVuakFSc3J0YwZhcHBfaWQPNTQxNjM5NDkzODg5MDI1AAEe6-lGHam-0fdkKTskoHoSKGSmqNV9VvipHgVFi62EM8HQmWSe7Dfh30LV9E4_aem_jPsRlTWOrr4GIBSAU" TargetMode="External"/><Relationship Id="rId313" Type="http://schemas.openxmlformats.org/officeDocument/2006/relationships/hyperlink" Target="https://www.facebook.com/ads/library/?active_status=active&amp;ad_type=all&amp;country=ALL&amp;q=Kit%20Educa&#231;&#227;o%20Kids&amp;search_type=keyword_unordered&amp;media_type=all" TargetMode="External"/><Relationship Id="rId314" Type="http://schemas.openxmlformats.org/officeDocument/2006/relationships/hyperlink" Target="https://l.facebook.com/l.php?u=https%3A%2F%2Floja.educacaokids.com.br%2Fproduto%2Fkit-educacao-kids-mais-de-1000-atividades-interativas-para-alfabetizacao%3Ffbclid%3DIwcGRvZgFleHRuA2FlbQIxMABicmlkETFXNzlsVXpoUDVDNVVuakFSc3J0YwZhcHBfaWQPNTQxNjM5NDkzODg5MDI" TargetMode="External"/><Relationship Id="rId315" Type="http://schemas.openxmlformats.org/officeDocument/2006/relationships/hyperlink" Target="https://www.facebook.com/ads/library/?active_status=active&amp;ad_type=all&amp;country=ALL&amp;q=Legacy%20School%20Ilha%20do%20Governador&amp;search_type=keyword_unordered&amp;media_type=all" TargetMode="External"/><Relationship Id="rId316" Type="http://schemas.openxmlformats.org/officeDocument/2006/relationships/hyperlink" Target="https://l.facebook.com/l.php?u=http%3A%2F%2Finstagram.com%2Flegacyschoolilhadogovernador%3Ffbclid%3DIwcGRvZgFleHRuA2FlbQIxMABicmlkETFXNzlsVXpoUDVDNVVuakFSc3J0YwZhcHBfaWQPNTQxNjM5NDkzODg5MDI1AAEeo6JyMjm1XPgMuTrdSlDmfT6YyerozLW2goY7wbM4vUwq0i3rwsBPh9wXcW0_a" TargetMode="External"/><Relationship Id="rId317" Type="http://schemas.openxmlformats.org/officeDocument/2006/relationships/hyperlink" Target="https://www.facebook.com/ads/library/?active_status=active&amp;ad_type=all&amp;country=ALL&amp;q=Escola%20Em&#237;dio%20Bispo&amp;search_type=keyword_unordered&amp;media_type=all" TargetMode="External"/><Relationship Id="rId318" Type="http://schemas.openxmlformats.org/officeDocument/2006/relationships/hyperlink" Target="https://l.facebook.com/l.php?u=http%3A%2F%2Finstagram.com%2Fescolaemidiobispo%3Ffbclid%3DIwcGRvZgFleHRuA2FlbQIxMABicmlkETFXNzlsVXpoUDVDNVVuakFSc3J0YwZhcHBfaWQPNTQxNjM5NDkzODg5MDI1AAEei-7k0OCV6rulAxe8m7jBCbQ9cA8KiGcW5XYIS0hD0RgB02J221k76asUC-Q_aem_r7SThfJa" TargetMode="External"/><Relationship Id="rId319" Type="http://schemas.openxmlformats.org/officeDocument/2006/relationships/hyperlink" Target="https://www.facebook.com/ads/library/?active_status=active&amp;ad_type=all&amp;country=ALL&amp;q=Maple%20Bear%20Sete%20Lagoas&amp;search_type=keyword_unordered&amp;media_type=all" TargetMode="External"/><Relationship Id="rId320" Type="http://schemas.openxmlformats.org/officeDocument/2006/relationships/hyperlink" Target="https://l.facebook.com/l.php?u=http%3A%2F%2Finstagram.com%2Fmaplebearsetelagoas%3Ffbclid%3DIwcGRvZgFleHRuA2FlbQIxMABicmlkETFXNzlsVXpoUDVDNVVuakFSc3J0YwZhcHBfaWQPNTQxNjM5NDkzODg5MDI1AAEeIbNyWNnqt2-4raZja4sSumcYQpNwnkV8H12szpx0xM1nhqpZ-pH7bYS1Jwo_aem_kq6TAF" TargetMode="External"/><Relationship Id="rId321" Type="http://schemas.openxmlformats.org/officeDocument/2006/relationships/hyperlink" Target="https://www.facebook.com/ads/library/?active_status=active&amp;ad_type=all&amp;country=ALL&amp;q=Juliana%20Arruda&amp;search_type=keyword_unordered&amp;media_type=all" TargetMode="External"/><Relationship Id="rId322" Type="http://schemas.openxmlformats.org/officeDocument/2006/relationships/hyperlink" Target="https://l.facebook.com/l.php?u=https%3A%2F%2Fpnld.editoravialudica.com.br%2F%3Ffbclid%3DIwcGRvZgFleHRuA2FlbQIxMABicmlkETFXNzlsVXpoUDVDNVVuakFSc3J0YwZhcHBfaWQPNTQxNjM5NDkzODg5MDI1AAEeIbNyWNnqt2-4raZja4sSumcYQpNwnkV8H12szpx0xM1nhqpZ-pH7bYS1Jwo_aem_kq6TAF2G9" TargetMode="External"/><Relationship Id="rId323" Type="http://schemas.openxmlformats.org/officeDocument/2006/relationships/hyperlink" Target="https://www.facebook.com/ads/library/?active_status=active&amp;ad_type=all&amp;country=ALL&amp;q=Col&#233;gio%20Gutenberg&amp;search_type=keyword_unordered&amp;media_type=all" TargetMode="External"/><Relationship Id="rId324" Type="http://schemas.openxmlformats.org/officeDocument/2006/relationships/hyperlink" Target="https://api.whatsapp.com/send" TargetMode="External"/><Relationship Id="rId325" Type="http://schemas.openxmlformats.org/officeDocument/2006/relationships/hyperlink" Target="https://www.facebook.com/ads/library/?active_status=active&amp;ad_type=all&amp;country=ALL&amp;q=Meimei%20Escola&amp;search_type=keyword_unordered&amp;media_type=all" TargetMode="External"/><Relationship Id="rId326" Type="http://schemas.openxmlformats.org/officeDocument/2006/relationships/hyperlink" Target="https://scontent.ffor7-1.fna.fbcdn.net/o1/v/t2/f2/m412/AQMDN2IOzQWNH1UsBmOqJySscLjmq9ozoLGl-4XvtUSe4rGPbIICJTTJk_T-Ajrv1L42AMhEbaXgpxGh5CA9fe5LJk1HMeDJrDOJK434Qg.mp4?_nc_cat=109&amp;_nc_oc=Adr-6Jy5mU_6D9W4zkoN1T6GpRQ0-655MQZfpo_g22-7TclwJiSww_qi-oOoo0mvAHo&amp;_n" TargetMode="External"/><Relationship Id="rId327" Type="http://schemas.openxmlformats.org/officeDocument/2006/relationships/hyperlink" Target="https://www.facebook.com/ads/library/?active_status=active&amp;ad_type=all&amp;country=ALL&amp;q=Escola%20de%20Educa&#231;&#227;o%20Infantil%20Euro%20Kids&amp;search_type=keyword_unordered&amp;media_type=all" TargetMode="External"/><Relationship Id="rId328" Type="http://schemas.openxmlformats.org/officeDocument/2006/relationships/hyperlink" Target="https://api.whatsapp.com/send" TargetMode="External"/><Relationship Id="rId329" Type="http://schemas.openxmlformats.org/officeDocument/2006/relationships/hyperlink" Target="https://www.facebook.com/ads/library/?active_status=active&amp;ad_type=all&amp;country=ALL&amp;q=Algod&#227;o%20Doce%20%2F%20Ciem&amp;search_type=keyword_unordered&amp;media_type=all" TargetMode="External"/><Relationship Id="rId330" Type="http://schemas.openxmlformats.org/officeDocument/2006/relationships/hyperlink" Target="https://api.whatsapp.com/send" TargetMode="External"/><Relationship Id="rId331" Type="http://schemas.openxmlformats.org/officeDocument/2006/relationships/hyperlink" Target="https://www.facebook.com/ads/library/?active_status=active&amp;ad_type=all&amp;country=ALL&amp;q=Profesdainfancia&amp;search_type=keyword_unordered&amp;media_type=all" TargetMode="External"/><Relationship Id="rId332" Type="http://schemas.openxmlformats.org/officeDocument/2006/relationships/hyperlink" Target="https://l.facebook.com/l.php?u=https%3A%2F%2Fmonifaraon1755365946.hotmart.host%2Fmetodo-portfolio-encantado-dbcb0b33-24a5-4bae-b0be-058d64bbbc85%3Ffbclid%3DIwcGRvZgFleHRuA2FlbQIxMABicmlkETFXNzlsVXpoUDVDNVVuakFSc3J0YwZhcHBfaWQPNTQxNjM5NDkzODg5MDI1AAEeo6JyM" TargetMode="External"/><Relationship Id="rId333" Type="http://schemas.openxmlformats.org/officeDocument/2006/relationships/hyperlink" Target="https://www.facebook.com/ads/library/?active_status=active&amp;ad_type=all&amp;country=ALL&amp;q=Companhia%20na%20Educa&#231;&#227;o&amp;search_type=keyword_unordered&amp;media_type=all" TargetMode="External"/><Relationship Id="rId334" Type="http://schemas.openxmlformats.org/officeDocument/2006/relationships/hyperlink" Target="https://l.facebook.com/l.php?u=http%3A%2F%2Fbit.ly%2Fpnldliterarioeducacaoinfantil%3Ffbclid%3DIwcGRvZgFleHRuA2FlbQIxMABicmlkETFXNzlsVXpoUDVDNVVuakFSc3J0YwZhcHBfaWQPNTQxNjM5NDkzODg5MDI1AAEefnH1UbdwofpdI_CiMiZqSVSkG-E51GXidOepqY31qSthTm9SFWcX8r87ZdM_aem_92E" TargetMode="External"/><Relationship Id="rId335" Type="http://schemas.openxmlformats.org/officeDocument/2006/relationships/hyperlink" Target="https://www.facebook.com/ads/library/?active_status=active&amp;ad_type=all&amp;country=ALL&amp;q=Cultura%20Inglesa%20MG&amp;search_type=keyword_unordered&amp;media_type=all" TargetMode="External"/><Relationship Id="rId336" Type="http://schemas.openxmlformats.org/officeDocument/2006/relationships/hyperlink" Target="https://l.facebook.com/l.php?u=http%3A%2F%2Fculturainglesamg.com.br%2Ffor-schools%3Ffbclid%3DIwcGRvZgFleHRuA2FlbQIxMABicmlkETFXNzlsVXpoUDVDNVVuakFSc3J0YwZhcHBfaWQPNTQxNjM5NDkzODg5MDI1AAEefbFGDO-zrlIqJQIlM89BJn9ihvjEznXMXNSN5_rYbXTZcEwyAe3CyzX9PY4_aem_CQ8R" TargetMode="External"/><Relationship Id="rId337" Type="http://schemas.openxmlformats.org/officeDocument/2006/relationships/hyperlink" Target="https://www.facebook.com/ads/library/?active_status=active&amp;ad_type=all&amp;country=ALL&amp;q=Companhia%20na%20Educa&#231;&#227;o&amp;search_type=keyword_unordered&amp;media_type=all" TargetMode="External"/><Relationship Id="rId338" Type="http://schemas.openxmlformats.org/officeDocument/2006/relationships/hyperlink" Target="https://l.facebook.com/l.php?u=http%3A%2F%2Fbit.ly%2Fpnldliterarioeducacaoinfantil%3Ffbclid%3DIwcGRvZgFleHRuA2FlbQIxMABicmlkETFXNzlsVXpoUDVDNVVuakFSc3J0YwZhcHBfaWQPNTQxNjM5NDkzODg5MDI1AAEefnH1UbdwofpdI_CiMiZqSVSkG-E51GXidOepqY31qSthTm9SFWcX8r87ZdM_aem_92E" TargetMode="External"/><Relationship Id="rId339" Type="http://schemas.openxmlformats.org/officeDocument/2006/relationships/hyperlink" Target="https://www.facebook.com/ads/library/?active_status=active&amp;ad_type=all&amp;country=ALL&amp;q=Cultura%20Inglesa%20MG&amp;search_type=keyword_unordered&amp;media_type=all" TargetMode="External"/><Relationship Id="rId340" Type="http://schemas.openxmlformats.org/officeDocument/2006/relationships/hyperlink" Target="https://l.facebook.com/l.php?u=http%3A%2F%2Fculturainglesamg.com.br%2Ffor-schools%3Ffbclid%3DIwcGRvZgFleHRuA2FlbQIxMABicmlkETFXNzlsVXpoUDVDNVVuakFSc3J0YwZhcHBfaWQPNTQxNjM5NDkzODg5MDI1AAEemiG7ZJSZpG9eI9fq5mE7SXnRpY_yuEiuCxv85peaXE2F7vnxtjwNXuT-oUQ_aem_8O1A" TargetMode="External"/><Relationship Id="rId341" Type="http://schemas.openxmlformats.org/officeDocument/2006/relationships/hyperlink" Target="https://www.facebook.com/ads/library/?active_status=active&amp;ad_type=all&amp;country=ALL&amp;q=Cultura%20Inglesa%20MG&amp;search_type=keyword_unordered&amp;media_type=all" TargetMode="External"/><Relationship Id="rId342" Type="http://schemas.openxmlformats.org/officeDocument/2006/relationships/hyperlink" Target="https://l.facebook.com/l.php?u=https%3A%2F%2Fculturainglesamg.com.br%2Ffor-schools%2F%3Ffbclid%3DIwcGRvZgFleHRuA2FlbQIxMABicmlkETFXNzlsVXpoUDVDNVVuakFSc3J0YwZhcHBfaWQPNTQxNjM5NDkzODg5MDI1AAEef2Ay9JH-w62yBzipAYnGYPW8DpiIbNWtsD3FV7TbiynhJrf2FJ-gR6gVWdQ_aem_" TargetMode="External"/><Relationship Id="rId343" Type="http://schemas.openxmlformats.org/officeDocument/2006/relationships/hyperlink" Target="https://www.facebook.com/ads/library/?active_status=active&amp;ad_type=all&amp;country=ALL&amp;q=UniFatecie%20Ensino%20&#224;%20Dist&#226;ncia&amp;search_type=keyword_unordered&amp;media_type=all" TargetMode="External"/><Relationship Id="rId344" Type="http://schemas.openxmlformats.org/officeDocument/2006/relationships/hyperlink" Target="https://api.whatsapp.com/send" TargetMode="External"/><Relationship Id="rId345" Type="http://schemas.openxmlformats.org/officeDocument/2006/relationships/hyperlink" Target="https://www.facebook.com/ads/library/?active_status=active&amp;ad_type=all&amp;country=ALL&amp;q=bercariohumaninhos&amp;search_type=keyword_unordered&amp;media_type=all" TargetMode="External"/><Relationship Id="rId346" Type="http://schemas.openxmlformats.org/officeDocument/2006/relationships/hyperlink" Target="https://l.facebook.com/l.php?u=https%3A%2F%2Fwww.instagram.com%2F_u%2Fbercariohumaninhos%3Ffbclid%3DIwcGRvZgFleHRuA2FlbQIxMABicmlkETFXNzlsVXpoUDVDNVVuakFSc3J0YwZhcHBfaWQPNTQxNjM5NDkzODg5MDI1AAEemiG7ZJSZpG9eI9fq5mE7SXnRpY_yuEiuCxv85peaXE2F7vnxtjwNXuT-oUQ_a" TargetMode="External"/><Relationship Id="rId347" Type="http://schemas.openxmlformats.org/officeDocument/2006/relationships/hyperlink" Target="https://www.facebook.com/ads/library/?active_status=active&amp;ad_type=all&amp;country=ALL&amp;q=Col&#233;gio%20Positivo%20Joinville&amp;search_type=keyword_unordered&amp;media_type=all" TargetMode="External"/><Relationship Id="rId348" Type="http://schemas.openxmlformats.org/officeDocument/2006/relationships/hyperlink" Target="https://l.facebook.com/l.php?u=http%3A%2F%2Finstagram.com%2Fcolegiopositivojoinville%3Ffbclid%3DIwcGRvZgFleHRuA2FlbQIxMABicmlkETFXNzlsVXpoUDVDNVVuakFSc3J0YwZhcHBfaWQPNTQxNjM5NDkzODg5MDI1AAEefbFGDO-zrlIqJQIlM89BJn9ihvjEznXMXNSN5_rYbXTZcEwyAe3CyzX9PY4_aem_C" TargetMode="External"/><Relationship Id="rId349" Type="http://schemas.openxmlformats.org/officeDocument/2006/relationships/hyperlink" Target="https://www.facebook.com/ads/library/?active_status=active&amp;ad_type=all&amp;country=ALL&amp;q=Col&#233;gio%20&#193;lamo%20Vinhedo&amp;search_type=keyword_unordered&amp;media_type=all" TargetMode="External"/><Relationship Id="rId350" Type="http://schemas.openxmlformats.org/officeDocument/2006/relationships/hyperlink" Target="https://l.facebook.com/l.php?u=https%3A%2F%2Fcolegioalamovinhedo.com.br%2Forg%2F%3Ffbclid%3DIwcGRvZgFleHRuA2FlbQIxMABicmlkETFXNzlsVXpoUDVDNVVuakFSc3J0YwZhcHBfaWQPNTQxNjM5NDkzODg5MDI1AAEe6-lGHam-0fdkKTskoHoSKGSmqNV9VvipHgVFi62EM8HQmWSe7Dfh30LV9E4_aem_jPsRl" TargetMode="External"/><Relationship Id="rId351" Type="http://schemas.openxmlformats.org/officeDocument/2006/relationships/hyperlink" Target="https://www.facebook.com/ads/library/?active_status=active&amp;ad_type=all&amp;country=ALL&amp;q=Vila%20Ol&#237;mpia%20Bilingual%20School&amp;search_type=keyword_unordered&amp;media_type=all" TargetMode="External"/><Relationship Id="rId352" Type="http://schemas.openxmlformats.org/officeDocument/2006/relationships/hyperlink" Target="https://l.facebook.com/l.php?u=http%3A%2F%2Finstagram.com%2Fcolegiovilaolimpia%3Ffbclid%3DIwcGRvZgFleHRuA2FlbQIxMABicmlkETFXNzlsVXpoUDVDNVVuakFSc3J0YwZhcHBfaWQPNTQxNjM5NDkzODg5MDI1AAEe6-lGHam-0fdkKTskoHoSKGSmqNV9VvipHgVFi62EM8HQmWSe7Dfh30LV9E4_aem_jPsRlTW" TargetMode="External"/><Relationship Id="rId353" Type="http://schemas.openxmlformats.org/officeDocument/2006/relationships/hyperlink" Target="https://www.facebook.com/ads/library/?active_status=active&amp;ad_type=all&amp;country=ALL&amp;q=Matr&#237;culas%20Faveni&amp;search_type=keyword_unordered&amp;media_type=all" TargetMode="External"/><Relationship Id="rId354" Type="http://schemas.openxmlformats.org/officeDocument/2006/relationships/hyperlink" Target="https://api.whatsapp.com/send" TargetMode="External"/><Relationship Id="rId355" Type="http://schemas.openxmlformats.org/officeDocument/2006/relationships/hyperlink" Target="https://www.facebook.com/ads/library/?active_status=active&amp;ad_type=all&amp;country=ALL&amp;q=NovaSaber%20Educacional&amp;search_type=keyword_unordered&amp;media_type=all" TargetMode="External"/><Relationship Id="rId356" Type="http://schemas.openxmlformats.org/officeDocument/2006/relationships/hyperlink" Target="https://l.facebook.com/l.php?u=https%3A%2F%2Fnovasaberedu.com.br%2Fmagisterio-curso-normal%3Ffbclid%3DIwcGRvZgFleHRuA2FlbQIxMABicmlkETFXNzlsVXpoUDVDNVVuakFSc3J0YwZhcHBfaWQPNTQxNjM5NDkzODg5MDI1AAEe6-lGHam-0fdkKTskoHoSKGSmqNV9VvipHgVFi62EM8HQmWSe7Dfh30LV9E4" TargetMode="External"/><Relationship Id="rId357" Type="http://schemas.openxmlformats.org/officeDocument/2006/relationships/hyperlink" Target="https://www.facebook.com/ads/library/?active_status=active&amp;ad_type=all&amp;country=ALL&amp;q=NovaSaber%20Educacional&amp;search_type=keyword_unordered&amp;media_type=all" TargetMode="External"/><Relationship Id="rId358" Type="http://schemas.openxmlformats.org/officeDocument/2006/relationships/hyperlink" Target="https://l.facebook.com/l.php?u=https%3A%2F%2Fnovasaberedu.com.br%2Fmagisterio-curso-normal%3Ffbclid%3DIwcGRvZgFleHRuA2FlbQIxMABicmlkETFXNzlsVXpoUDVDNVVuakFSc3J0YwZhcHBfaWQPNTQxNjM5NDkzODg5MDI1AAEei-7k0OCV6rulAxe8m7jBCbQ9cA8KiGcW5XYIS0hD0RgB02J221k76asUC-Q" TargetMode="External"/><Relationship Id="rId359" Type="http://schemas.openxmlformats.org/officeDocument/2006/relationships/hyperlink" Target="https://www.facebook.com/ads/library/?active_status=active&amp;ad_type=all&amp;country=ALL&amp;q=Geekie%20Educa&#231;&#227;o&amp;search_type=keyword_unordered&amp;media_type=all" TargetMode="External"/><Relationship Id="rId360" Type="http://schemas.openxmlformats.org/officeDocument/2006/relationships/hyperlink" Target="https://l.facebook.com/l.php?u=https%3A%2F%2Fmaterial.geekie.com.br%2Fdemonstracao-gratuita-geekie-one%2F%3Futm_source%3Dsite_source_name%26utm_medium%3Dcpa%26utm_campaign%3Dgeekie_meta_fev26_awa_institucional-depoimento_v1%26utm_term%3Dad.name%26utm_cont" TargetMode="External"/><Relationship Id="rId361" Type="http://schemas.openxmlformats.org/officeDocument/2006/relationships/hyperlink" Target="https://www.facebook.com/ads/library/?active_status=active&amp;ad_type=all&amp;country=ALL&amp;q=Prof.%20Antonio%20Esteca%20&amp;search_type=keyword_unordered&amp;media_type=all" TargetMode="External"/><Relationship Id="rId362" Type="http://schemas.openxmlformats.org/officeDocument/2006/relationships/hyperlink" Target="https://l.facebook.com/l.php?u=http%3A%2F%2Finstagram.com%2Fprof.antonioesteca%3Ffbclid%3DIwcGRvZgFleHRuA2FlbQIxMABicmlkETFXNzlsVXpoUDVDNVVuakFSc3J0YwZhcHBfaWQPNTQxNjM5NDkzODg5MDI1AAEefnH1UbdwofpdI_CiMiZqSVSkG-E51GXidOepqY31qSthTm9SFWcX8r87ZdM_aem_92EA8pI" TargetMode="External"/><Relationship Id="rId363" Type="http://schemas.openxmlformats.org/officeDocument/2006/relationships/hyperlink" Target="https://www.facebook.com/ads/library/?active_status=active&amp;ad_type=all&amp;country=ALL&amp;q=Col&#233;gio%20S&#227;o%20Judas%20Tadeu&amp;search_type=keyword_unordered&amp;media_type=all" TargetMode="External"/><Relationship Id="rId364" Type="http://schemas.openxmlformats.org/officeDocument/2006/relationships/hyperlink" Target="https://scontent.ffor7-1.fna.fbcdn.net/o1/v/t2/f2/m412/AQPSsE1gqIRNMNCVebaiiU2N12S3PHwdxz8VwKcsDF05oaNKdN_Rb7maoDvwPTJWuVrNedKEEY_ZpYn4olW5iZjUPcTueW2AzOv_9JVTPw.mp4?_nc_cat=105&amp;_nc_oc=AdrvpeOrkN1H981blr2nEedRGFo5pntdTOByl9ICoZDzyizzzwe3NJE_MQHohoGTUOY&amp;_n" TargetMode="External"/><Relationship Id="rId365" Type="http://schemas.openxmlformats.org/officeDocument/2006/relationships/hyperlink" Target="https://www.facebook.com/ads/library/?active_status=active&amp;ad_type=all&amp;country=ALL&amp;q=Sistema%20Anglo%20de%20Ensino&amp;search_type=keyword_unordered&amp;media_type=all" TargetMode="External"/><Relationship Id="rId366" Type="http://schemas.openxmlformats.org/officeDocument/2006/relationships/hyperlink" Target="https://l.facebook.com/l.php?u=https%3A%2F%2Fconteudos.sistemaanglo.com.br%2Fanglo-lp-jornada-do-consultor%3Futm_source%3D%257B%257Bsite_source_name%257D%257D%26utm_medium%3Dcpc%26utm_campaign%3DAC_ANGLO_CP25_Institucional_Awareness_Topo_ABO%26utm_content" TargetMode="External"/><Relationship Id="rId367" Type="http://schemas.openxmlformats.org/officeDocument/2006/relationships/hyperlink" Target="https://www.facebook.com/ads/library/?active_status=active&amp;ad_type=all&amp;country=ALL&amp;q=Vila%20Materna%20Macei&#243;&amp;search_type=keyword_unordered&amp;media_type=all" TargetMode="External"/><Relationship Id="rId368" Type="http://schemas.openxmlformats.org/officeDocument/2006/relationships/hyperlink" Target="https://l.facebook.com/l.php?u=https%3A%2F%2Fapi.whatsapp.com%2Fsend%3Ffbclid%3DIwcGRvZgFleHRuA2FlbQIxMABicmlkETFXNzlsVXpoUDVDNVVuakFSc3J0YwZhcHBfaWQPNTQxNjM5NDkzODg5MDI1AAEeo6JyMjm1XPgMuTrdSlDmfT6YyerozLW2goY7wbM4vUwq0i3rwsBPh9wXcW0_aem_Bbd3xtFGd99neFp52" TargetMode="External"/><Relationship Id="rId369" Type="http://schemas.openxmlformats.org/officeDocument/2006/relationships/hyperlink" Target="https://www.facebook.com/ads/library/?active_status=active&amp;ad_type=all&amp;country=ALL&amp;q=Colegio%20Redentor&amp;search_type=keyword_unordered&amp;media_type=all" TargetMode="External"/><Relationship Id="rId370" Type="http://schemas.openxmlformats.org/officeDocument/2006/relationships/hyperlink" Target="https://l.facebook.com/l.php?u=https%3A%2F%2Fapi.whatsapp.com%2Fsend%3Ffbclid%3DIwcGRvZgFleHRuA2FlbQIxMABicmlkETFXNzlsVXpoUDVDNVVuakFSc3J0YwZhcHBfaWQPNTQxNjM5NDkzODg5MDI1AAEemiG7ZJSZpG9eI9fq5mE7SXnRpY_yuEiuCxv85peaXE2F7vnxtjwNXuT-oUQ_aem_8O1Am_K_CRhxY_Kqm" TargetMode="External"/><Relationship Id="rId371" Type="http://schemas.openxmlformats.org/officeDocument/2006/relationships/hyperlink" Target="https://www.facebook.com/ads/library/?active_status=active&amp;ad_type=all&amp;country=ALL&amp;q=S&#243;%20Educador&amp;search_type=keyword_unordered&amp;media_type=all" TargetMode="External"/><Relationship Id="rId372" Type="http://schemas.openxmlformats.org/officeDocument/2006/relationships/hyperlink" Target="https://l.facebook.com/l.php?u=https%3A%2F%2Fsuperkit.soeducador.com.br%2F%3Ffbclid%3DIwcGRvZgFleHRuA2FlbQIxMABicmlkETFXNzlsVXpoUDVDNVVuakFSc3J0YwZhcHBfaWQPNTQxNjM5NDkzODg5MDI1AAEefbFGDO-zrlIqJQIlM89BJn9ihvjEznXMXNSN5_rYbXTZcEwyAe3CyzX9PY4_aem_CQ8R76th59r" TargetMode="External"/><Relationship Id="rId373" Type="http://schemas.openxmlformats.org/officeDocument/2006/relationships/hyperlink" Target="https://www.facebook.com/ads/library/?active_status=active&amp;ad_type=all&amp;country=ALL&amp;q=Fadelito%20Piracicaba&amp;search_type=keyword_unordered&amp;media_type=all" TargetMode="External"/><Relationship Id="rId374" Type="http://schemas.openxmlformats.org/officeDocument/2006/relationships/hyperlink" Target="https://l.facebook.com/l.php?u=https%3A%2F%2Fwww.fadelito.com.br%2Fpiracicaba%2F%3Futm_source%3Dammo_meta%26utm_medium%3D%257B%257Bplacement%257D%257D%26utm_campaign%3D%257B%257Bad.name%257D%257D%26utm_content%3D%257B%257Bsite_source_name%257D%257D%26fbcl" TargetMode="External"/><Relationship Id="rId375" Type="http://schemas.openxmlformats.org/officeDocument/2006/relationships/hyperlink" Target="https://www.facebook.com/ads/library/?active_status=active&amp;ad_type=all&amp;country=ALL&amp;q=S&#243;%20Educador&amp;search_type=keyword_unordered&amp;media_type=all" TargetMode="External"/><Relationship Id="rId376" Type="http://schemas.openxmlformats.org/officeDocument/2006/relationships/hyperlink" Target="https://l.facebook.com/l.php?u=https%3A%2F%2Fsuperkit.soeducador.com.br%2F%3Ffbclid%3DIwcGRvZgFleHRuA2FlbQIxMABicmlkETFXNzlsVXpoUDVDNVVuakFSc3J0YwZhcHBfaWQPNTQxNjM5NDkzODg5MDI1AAEei-7k0OCV6rulAxe8m7jBCbQ9cA8KiGcW5XYIS0hD0RgB02J221k76asUC-Q_aem_r7SThfJaU_A" TargetMode="External"/><Relationship Id="rId377" Type="http://schemas.openxmlformats.org/officeDocument/2006/relationships/hyperlink" Target="https://www.facebook.com/ads/library/?active_status=active&amp;ad_type=all&amp;country=ALL&amp;q=Instituto%20Alfa%20e%20Beto&amp;search_type=keyword_unordered&amp;media_type=all" TargetMode="External"/><Relationship Id="rId378" Type="http://schemas.openxmlformats.org/officeDocument/2006/relationships/hyperlink" Target="https://l.facebook.com/l.php?u=https%3A%2F%2Fwww.alfaebeto.org.br%2Fsao-cristovao-investe-na-consciencia-fonemica-para-alfabetizacao%3Ffbclid%3DIwcGRvZgFleHRuA2FlbQIxMABicmlkETFXNzlsVXpoUDVDNVVuakFSc3J0YwZhcHBfaWQPNTQxNjM5NDkzODg5MDI1AAEemiG7ZJSZpG9eI9fq5" TargetMode="External"/><Relationship Id="rId379" Type="http://schemas.openxmlformats.org/officeDocument/2006/relationships/hyperlink" Target="https://www.facebook.com/ads/library/?active_status=active&amp;ad_type=all&amp;country=ALL&amp;q=Instituto%20Alfa%20e%20Beto&amp;search_type=keyword_unordered&amp;media_type=all" TargetMode="External"/><Relationship Id="rId380" Type="http://schemas.openxmlformats.org/officeDocument/2006/relationships/hyperlink" Target="https://l.facebook.com/l.php?u=https%3A%2F%2Fwww.alfaebeto.org.br%2Fcasos-de-sucesso%2Ftransformacao-em-bom-jesus-do-desafio-a-excelencia-em-alfabetizacao%3Ffbclid%3DIwcGRvZgFleHRuA2FlbQIxMABicmlkETFXNzlsVXpoUDVDNVVuakFSc3J0YwZhcHBfaWQPNTQxNjM5NDkzODg5MDI" TargetMode="External"/><Relationship Id="rId381" Type="http://schemas.openxmlformats.org/officeDocument/2006/relationships/hyperlink" Target="https://www.facebook.com/ads/library/?active_status=active&amp;ad_type=all&amp;country=ALL&amp;q=Jardim%20dos%20Saberes&amp;search_type=keyword_unordered&amp;media_type=all" TargetMode="External"/><Relationship Id="rId382" Type="http://schemas.openxmlformats.org/officeDocument/2006/relationships/hyperlink" Target="https://api.whatsapp.com/send" TargetMode="External"/><Relationship Id="rId383" Type="http://schemas.openxmlformats.org/officeDocument/2006/relationships/hyperlink" Target="https://www.facebook.com/ads/library/?active_status=active&amp;ad_type=all&amp;country=ALL&amp;q=Col&#233;gio%20Master%20Educa&#231;&#227;o%20Infantil&amp;search_type=keyword_unordered&amp;media_type=all" TargetMode="External"/><Relationship Id="rId384" Type="http://schemas.openxmlformats.org/officeDocument/2006/relationships/hyperlink" Target="https://l.facebook.com/l.php?u=http%3A%2F%2Finstagram.com%2Fcolegiomaster.infantil%3Ffbclid%3DIwcGRvZgFleHRuA2FlbQIxMABicmlkETFXNzlsVXpoUDVDNVVuakFSc3J0YwZhcHBfaWQPNTQxNjM5NDkzODg5MDI1AAEeIbNyWNnqt2-4raZja4sSumcYQpNwnkV8H12szpx0xM1nhqpZ-pH7bYS1Jwo_aem_kq6" TargetMode="External"/><Relationship Id="rId385" Type="http://schemas.openxmlformats.org/officeDocument/2006/relationships/hyperlink" Target="https://www.facebook.com/ads/library/?active_status=active&amp;ad_type=all&amp;country=ALL&amp;q=Mais%20Visao%20Itaborai%20e%20Alcantara&amp;search_type=keyword_unordered&amp;media_type=all" TargetMode="External"/><Relationship Id="rId386" Type="http://schemas.openxmlformats.org/officeDocument/2006/relationships/hyperlink" Target="https://api.whatsapp.com/send" TargetMode="External"/><Relationship Id="rId387" Type="http://schemas.openxmlformats.org/officeDocument/2006/relationships/hyperlink" Target="https://www.facebook.com/ads/library/?active_status=active&amp;ad_type=all&amp;country=ALL&amp;q=Col&#233;gio%20Positivo%20Londrina&amp;search_type=keyword_unordered&amp;media_type=all" TargetMode="External"/><Relationship Id="rId388" Type="http://schemas.openxmlformats.org/officeDocument/2006/relationships/hyperlink" Target="https://l.facebook.com/l.php?u=http%3A%2F%2Finstagram.com%2Fcolegiopositivolondrina%3Ffbclid%3DIwcGRvZgFleHRuA2FlbQIxMABicmlkETFXNzlsVXpoUDVDNVVuakFSc3J0YwZhcHBfaWQPNTQxNjM5NDkzODg5MDI1AAEeomo5_C6J2q3cxfNXzkZroM0VILYhv9g6P2DO5yVgnfUBZbvhqs3M9JiYyF0_aem_uf" TargetMode="External"/><Relationship Id="rId389" Type="http://schemas.openxmlformats.org/officeDocument/2006/relationships/hyperlink" Target="https://www.facebook.com/ads/library/?active_status=active&amp;ad_type=all&amp;country=ALL&amp;q=Fadelito%20Campinas&amp;search_type=keyword_unordered&amp;media_type=all" TargetMode="External"/><Relationship Id="rId390" Type="http://schemas.openxmlformats.org/officeDocument/2006/relationships/hyperlink" Target="https://l.facebook.com/l.php?u=https%3A%2F%2Ffadelito.com.br%2Fcampinas%2F%3Ffbclid%3DIwcGRvZgFleHRuA2FlbQIxMABicmlkETFXNzlsVXpoUDVDNVVuakFSc3J0YwZhcHBfaWQPNTQxNjM5NDkzODg5MDI1AAEefbFGDO-zrlIqJQIlM89BJn9ihvjEznXMXNSN5_rYbXTZcEwyAe3CyzX9PY4_aem_CQ8R76th59r" TargetMode="External"/><Relationship Id="rId391" Type="http://schemas.openxmlformats.org/officeDocument/2006/relationships/hyperlink" Target="https://www.facebook.com/ads/library/?active_status=active&amp;ad_type=all&amp;country=ALL&amp;q=COL&#201;GIO%20APRENDIZ&amp;search_type=keyword_unordered&amp;media_type=all" TargetMode="External"/><Relationship Id="rId392" Type="http://schemas.openxmlformats.org/officeDocument/2006/relationships/hyperlink" Target="https://l.facebook.com/l.php?u=http%3A%2F%2Finstagram.com%2Fcolegioaprendizse%3Ffbclid%3DIwcGRvZgFleHRuA2FlbQIxMABicmlkETFXNzlsVXpoUDVDNVVuakFSc3J0YwZhcHBfaWQPNTQxNjM5NDkzODg5MDI1AAEeH1AJh0vlnF3AlOcgu47q8hasJKuoUFcuVs3sw1Tqc3snFg8RJeOheD-ct6c_aem_PtSsOKEO" TargetMode="External"/><Relationship Id="rId393" Type="http://schemas.openxmlformats.org/officeDocument/2006/relationships/hyperlink" Target="https://www.facebook.com/ads/library/?active_status=active&amp;ad_type=all&amp;country=ALL&amp;q=Jardim%20dos%20Saberes&amp;search_type=keyword_unordered&amp;media_type=all" TargetMode="External"/><Relationship Id="rId394" Type="http://schemas.openxmlformats.org/officeDocument/2006/relationships/hyperlink" Target="https://api.whatsapp.com/send" TargetMode="External"/><Relationship Id="rId395" Type="http://schemas.openxmlformats.org/officeDocument/2006/relationships/hyperlink" Target="https://www.facebook.com/ads/library/?active_status=active&amp;ad_type=all&amp;country=ALL&amp;q=Amor%20de%20Pequenos&amp;search_type=keyword_unordered&amp;media_type=all" TargetMode="External"/><Relationship Id="rId396" Type="http://schemas.openxmlformats.org/officeDocument/2006/relationships/hyperlink" Target="https://l.facebook.com/l.php?u=https%3A%2F%2Feducarcomamor.xyz%2Fproduto%2Fvaral-dos-numeros%2F%3Ffbclid%3DIwcGRvZgFleHRuA2FlbQIxMABicmlkETFXNzlsVXpoUDVDNVVuakFSc3J0YwZhcHBfaWQPNTQxNjM5NDkzODg5MDI1AAEeo6JyMjm1XPgMuTrdSlDmfT6YyerozLW2goY7wbM4vUwq0i3rwsBPh9" TargetMode="External"/><Relationship Id="rId397" Type="http://schemas.openxmlformats.org/officeDocument/2006/relationships/hyperlink" Target="https://www.facebook.com/ads/library/?active_status=active&amp;ad_type=all&amp;country=ALL&amp;q=Matr&#237;culas%20Faveni&amp;search_type=keyword_unordered&amp;media_type=all" TargetMode="External"/><Relationship Id="rId398" Type="http://schemas.openxmlformats.org/officeDocument/2006/relationships/hyperlink" Target="https://api.whatsapp.com/send" TargetMode="External"/><Relationship Id="rId399" Type="http://schemas.openxmlformats.org/officeDocument/2006/relationships/hyperlink" Target="https://www.facebook.com/ads/library/?active_status=active&amp;ad_type=all&amp;country=ALL&amp;q=Dom%20Alberto&amp;search_type=keyword_unordered&amp;media_type=all" TargetMode="External"/><Relationship Id="rId400" Type="http://schemas.openxmlformats.org/officeDocument/2006/relationships/hyperlink" Target="https://api.whatsapp.com/send" TargetMode="External"/><Relationship Id="rId401" Type="http://schemas.openxmlformats.org/officeDocument/2006/relationships/hyperlink" Target="https://www.facebook.com/ads/library/?active_status=active&amp;ad_type=all&amp;country=ALL&amp;q=Jardim%20dos%20Saberes%20D&amp;search_type=keyword_unordered&amp;media_type=all" TargetMode="External"/><Relationship Id="rId402" Type="http://schemas.openxmlformats.org/officeDocument/2006/relationships/hyperlink" Target="https://l.facebook.com/l.php?u=https%3A%2F%2Fmaiaracosta.com.br%2Fproduto%2Fkit-fichas-de-leitura-silabas-simples-e-complexa%2F%3Ffbclid%3DIwcGRvZgFleHRuA2FlbQIxMABicmlkETFXNzlsVXpoUDVDNVVuakFSc3J0YwZhcHBfaWQPNTQxNjM5NDkzODg5MDI1AAEe6-lGHam-0fdkKTskoHoSKG" TargetMode="External"/><Relationship Id="rId403" Type="http://schemas.openxmlformats.org/officeDocument/2006/relationships/hyperlink" Target="https://www.facebook.com/ads/library/?active_status=active&amp;ad_type=all&amp;country=ALL&amp;q=Faveni%20-%20CenterLink&amp;search_type=keyword_unordered&amp;media_type=all" TargetMode="External"/><Relationship Id="rId404" Type="http://schemas.openxmlformats.org/officeDocument/2006/relationships/hyperlink" Target="https://l.facebook.com/l.php?u=http%3A%2F%2Ffb.me%2F&amp;h=AUCSvaiFYluCrwvUX96TO9ecJ379v9Bsu66JouQzAu7aUUZDyeYE9b8QMV6oarun2-207rbUBmWF7jqojuL7PdZPXWszSHGGccjzxqyzQ9B_fsJy8oVGZ0dgxqdbH3vhl2zeEKW5H_c" TargetMode="External"/><Relationship Id="rId405" Type="http://schemas.openxmlformats.org/officeDocument/2006/relationships/hyperlink" Target="https://www.facebook.com/ads/library/?active_status=active&amp;ad_type=all&amp;country=ALL&amp;q=Editora%20Via%20L&#250;dica&amp;search_type=keyword_unordered&amp;media_type=all" TargetMode="External"/><Relationship Id="rId406" Type="http://schemas.openxmlformats.org/officeDocument/2006/relationships/hyperlink" Target="https://l.facebook.com/l.php?u=https%3A%2F%2Fpnld.editoravialudica.com.br%2Ftemas%2Femocoes-e-sentimentos%2F%3Ffbclid%3DIwcGRvZgFleHRuA2FlbQIxMABicmlkETFXNzlsVXpoUDVDNVVuakFSc3J0YwZhcHBfaWQPNTQxNjM5NDkzODg5MDI1AAEemiG7ZJSZpG9eI9fq5mE7SXnRpY_yuEiuCxv85peaX" TargetMode="External"/><Relationship Id="rId407" Type="http://schemas.openxmlformats.org/officeDocument/2006/relationships/hyperlink" Target="https://www.facebook.com/ads/library/?active_status=active&amp;ad_type=all&amp;country=ALL&amp;q=acasadascriancas1&amp;search_type=keyword_unordered&amp;media_type=all" TargetMode="External"/><Relationship Id="rId408" Type="http://schemas.openxmlformats.org/officeDocument/2006/relationships/hyperlink" Target="https://l.facebook.com/l.php?u=https%3A%2F%2Fwww.instagram.com%2F_u%2Facasadascriancas1%3Ffbclid%3DIwcGRvZgFleHRuA2FlbQIxMABicmlkETFXNzlsVXpoUDVDNVVuakFSc3J0YwZhcHBfaWQPNTQxNjM5NDkzODg5MDI1AAEemiG7ZJSZpG9eI9fq5mE7SXnRpY_yuEiuCxv85peaXE2F7vnxtjwNXuT-oUQ_ae" TargetMode="External"/><Relationship Id="rId409" Type="http://schemas.openxmlformats.org/officeDocument/2006/relationships/hyperlink" Target="https://www.facebook.com/ads/library/?active_status=active&amp;ad_type=all&amp;country=ALL&amp;q=Educacional%20Faveni&amp;search_type=keyword_unordered&amp;media_type=all" TargetMode="External"/><Relationship Id="rId410" Type="http://schemas.openxmlformats.org/officeDocument/2006/relationships/hyperlink" Target="https://l.facebook.com/l.php?u=http%3A%2F%2Ffb.me%2F&amp;h=AUCSvaiFYluCrwvUX96TO9ecJ379v9Bsu66JouQzAu7aUUZDyeYE9b8QMV6oarun2-207rbUBmWF7jqojuL7PdZPXWszSHGGccjzxqyzQ9B_fsJy8oVGZ0dgxqdbH3vhl2zeEKW5H_c" TargetMode="External"/><Relationship Id="rId411" Type="http://schemas.openxmlformats.org/officeDocument/2006/relationships/hyperlink" Target="https://www.facebook.com/ads/library/?active_status=active&amp;ad_type=all&amp;country=ALL&amp;q=Expert%20Kids&amp;search_type=keyword_unordered&amp;media_type=all" TargetMode="External"/><Relationship Id="rId412" Type="http://schemas.openxmlformats.org/officeDocument/2006/relationships/hyperlink" Target="https://l.facebook.com/l.php?u=http%3A%2F%2Fingles.expertacademypro.com.br%2F%3Ffbclid%3DIwcGRvZgFleHRuA2FlbQIxMABicmlkETFXNzlsVXpoUDVDNVVuakFSc3J0YwZhcHBfaWQPNTQxNjM5NDkzODg5MDI1AAEefbFGDO-zrlIqJQIlM89BJn9ihvjEznXMXNSN5_rYbXTZcEwyAe3CyzX9PY4_aem_CQ8R76th" TargetMode="External"/><Relationship Id="rId413" Type="http://schemas.openxmlformats.org/officeDocument/2006/relationships/hyperlink" Target="https://www.facebook.com/ads/library/?active_status=active&amp;ad_type=all&amp;country=ALL&amp;q=Polo%20Faveni%20S&#227;o%20Sebasti&#227;o&amp;search_type=keyword_unordered&amp;media_type=all" TargetMode="External"/><Relationship Id="rId414" Type="http://schemas.openxmlformats.org/officeDocument/2006/relationships/hyperlink" Target="https://api.whatsapp.com/send" TargetMode="External"/><Relationship Id="rId415" Type="http://schemas.openxmlformats.org/officeDocument/2006/relationships/hyperlink" Target="https://www.facebook.com/ads/library/?active_status=active&amp;ad_type=all&amp;country=ALL&amp;q=Pedagomania%20Kids&amp;search_type=keyword_unordered&amp;media_type=all" TargetMode="External"/><Relationship Id="rId416" Type="http://schemas.openxmlformats.org/officeDocument/2006/relationships/hyperlink" Target="https://api.whatsapp.com/send" TargetMode="External"/><Relationship Id="rId417" Type="http://schemas.openxmlformats.org/officeDocument/2006/relationships/hyperlink" Target="https://www.facebook.com/ads/library/?active_status=active&amp;ad_type=all&amp;country=ALL&amp;q=Am&#233;rico%20Escribo&amp;search_type=keyword_unordered&amp;media_type=all" TargetMode="External"/><Relationship Id="rId418" Type="http://schemas.openxmlformats.org/officeDocument/2006/relationships/hyperlink" Target="https://l.facebook.com/l.php?u=https%3A%2F%2Fwww.instagram.com%2F%3Ffbclid%3DIwcGRvZgFleHRuA2FlbQIxMABicmlkETFXNzlsVXpoUDVDNVVuakFSc3J0YwZhcHBfaWQPNTQxNjM5NDkzODg5MDI1AAEei-7k0OCV6rulAxe8m7jBCbQ9cA8KiGcW5XYIS0hD0RgB02J221k76asUC-Q_aem_r7SThfJaU_AvddXdgkbf" TargetMode="External"/><Relationship Id="rId419" Type="http://schemas.openxmlformats.org/officeDocument/2006/relationships/hyperlink" Target="https://www.facebook.com/ads/library/?active_status=active&amp;ad_type=all&amp;country=ALL&amp;q=Maple%20Bear%20Belo%20Horizonte&amp;search_type=keyword_unordered&amp;media_type=all" TargetMode="External"/><Relationship Id="rId420" Type="http://schemas.openxmlformats.org/officeDocument/2006/relationships/hyperlink" Target="https://l.facebook.com/l.php?u=http%3A%2F%2Ffb.me%2F&amp;h=AUCSvaiFYluCrwvUX96TO9ecJ379v9Bsu66JouQzAu7aUUZDyeYE9b8QMV6oarun2-207rbUBmWF7jqojuL7PdZPXWszSHGGccjzxqyzQ9B_fsJy8oVGZ0dgxqdbH3vhl2zeEKW5H_c" TargetMode="External"/><Relationship Id="rId421" Type="http://schemas.openxmlformats.org/officeDocument/2006/relationships/hyperlink" Target="https://www.facebook.com/ads/library/?active_status=active&amp;ad_type=all&amp;country=ALL&amp;q=Col&#233;gio%20Cristo%20Rei&amp;search_type=keyword_unordered&amp;media_type=all" TargetMode="External"/><Relationship Id="rId422" Type="http://schemas.openxmlformats.org/officeDocument/2006/relationships/hyperlink" Target="https://l.facebook.com/l.php?u=http%3A%2F%2Finstagram.com%2Fcristoreilinhares%3Ffbclid%3DIwcGRvZgFleHRuA2FlbQIxMABicmlkETFXNzlsVXpoUDVDNVVuakFSc3J0YwZhcHBfaWQPNTQxNjM5NDkzODg5MDI1AAEeIbNyWNnqt2-4raZja4sSumcYQpNwnkV8H12szpx0xM1nhqpZ-pH7bYS1Jwo_aem_kq6TAF2G" TargetMode="External"/><Relationship Id="rId423" Type="http://schemas.openxmlformats.org/officeDocument/2006/relationships/hyperlink" Target="https://www.facebook.com/ads/library/?active_status=active&amp;ad_type=all&amp;country=ALL&amp;q=Educaline%20Brasil&amp;search_type=keyword_unordered&amp;media_type=all" TargetMode="External"/><Relationship Id="rId424" Type="http://schemas.openxmlformats.org/officeDocument/2006/relationships/hyperlink" Target="https://l.facebook.com/l.php?u=https%3A%2F%2Fwww.educaline.com.br%2F%3Ffbclid%3DIwcGRvZgFleHRuA2FlbQIxMABicmlkETFXNzlsVXpoUDVDNVVuakFSc3J0YwZhcHBfaWQPNTQxNjM5NDkzODg5MDI1AAEemiG7ZJSZpG9eI9fq5mE7SXnRpY_yuEiuCxv85peaXE2F7vnxtjwNXuT-oUQ_aem_8O1Am_K_CRhxY_Kqm" TargetMode="External"/><Relationship Id="rId425" Type="http://schemas.openxmlformats.org/officeDocument/2006/relationships/hyperlink" Target="https://www.facebook.com/ads/library/?active_status=active&amp;ad_type=all&amp;country=ALL&amp;q=Educaline%20Brasil&amp;search_type=keyword_unordered&amp;media_type=all" TargetMode="External"/><Relationship Id="rId426" Type="http://schemas.openxmlformats.org/officeDocument/2006/relationships/hyperlink" Target="https://l.facebook.com/l.php?u=https%3A%2F%2Fwww.educaline.com.br%2F%3Ffbclid%3DIwcGRvZgFleHRuA2FlbQIxMABicmlkETFXNzlsVXpoUDVDNVVuakFSc3J0YwZhcHBfaWQPNTQxNjM5NDkzODg5MDI1AAEei-7k0OCV6rulAxe8m7jBCbQ9cA8KiGcW5XYIS0hD0RgB02J221k76asUC-Q_aem_r7SThfJaU_AvddXdg" TargetMode="External"/><Relationship Id="rId427" Type="http://schemas.openxmlformats.org/officeDocument/2006/relationships/hyperlink" Target="https://www.facebook.com/ads/library/?active_status=active&amp;ad_type=all&amp;country=ALL&amp;q=Jardim%20dos%20Saberes&amp;search_type=keyword_unordered&amp;media_type=all" TargetMode="External"/><Relationship Id="rId428" Type="http://schemas.openxmlformats.org/officeDocument/2006/relationships/hyperlink" Target="https://api.whatsapp.com/send" TargetMode="External"/><Relationship Id="rId429" Type="http://schemas.openxmlformats.org/officeDocument/2006/relationships/hyperlink" Target="https://www.facebook.com/ads/library/?active_status=active&amp;ad_type=all&amp;country=ALL&amp;q=Escola%20Guril&#226;ndia&amp;search_type=keyword_unordered&amp;media_type=all" TargetMode="External"/><Relationship Id="rId430" Type="http://schemas.openxmlformats.org/officeDocument/2006/relationships/hyperlink" Target="https://l.facebook.com/l.php?u=https%3A%2F%2Flp.gurilandia.com.br%2Freserva-de-vagas-federacao%3Ffbclid%3DIwcGRvZgFleHRuA2FlbQIxMABicmlkETFXNzlsVXpoUDVDNVVuakFSc3J0YwZhcHBfaWQPNTQxNjM5NDkzODg5MDI1AAEefnH1UbdwofpdI_CiMiZqSVSkG-E51GXidOepqY31qSthTm9SFWcX8r8" TargetMode="External"/><Relationship Id="rId431" Type="http://schemas.openxmlformats.org/officeDocument/2006/relationships/hyperlink" Target="https://www.facebook.com/ads/library/?active_status=active&amp;ad_type=all&amp;country=ALL&amp;q=ANTON%20-%20O%20App%20educativo%20gratuito%20para%20a%20escola&amp;search_type=keyword_unordered&amp;media_type=all" TargetMode="External"/><Relationship Id="rId432" Type="http://schemas.openxmlformats.org/officeDocument/2006/relationships/hyperlink" Target="https://l.facebook.com/l.php?u=https%3A%2F%2Flp.anton.app%2Flp%2Fstatic%2F05_simple%2Fpt%3Futm_source%3D%257B%257Bsite_source_name%257D%257D%26utm_medium%3D%257B%257Bplacement%257D%257D%26utm_campaign%3D%257B%257Bcampaign.id%257D%257D%26utm_content%3D%257" TargetMode="External"/><Relationship Id="rId433" Type="http://schemas.openxmlformats.org/officeDocument/2006/relationships/hyperlink" Target="https://www.facebook.com/ads/library/?active_status=active&amp;ad_type=all&amp;country=ALL&amp;q=Educare%20Cursos%20Online&amp;search_type=keyword_unordered&amp;media_type=all" TargetMode="External"/><Relationship Id="rId434" Type="http://schemas.openxmlformats.org/officeDocument/2006/relationships/hyperlink" Target="https://l.facebook.com/l.php?u=https%3A%2F%2Fmaterialgratis.educarepedagogia.com.br%2Faee-47-90-otimizado-dez-2025%3Fsrc%3D%26utm_source%3D%257B%257Bplacement%257D%257D%26utm_medium%3D%257B%257Badset.name%257D%257D%26utm_content%3D%257B%257Bad.name%257D%2" TargetMode="External"/><Relationship Id="rId435" Type="http://schemas.openxmlformats.org/officeDocument/2006/relationships/hyperlink" Target="https://www.facebook.com/ads/library/?active_status=active&amp;ad_type=all&amp;country=ALL&amp;q=RED%20HOUSE%20Santo%20Andr&#233;&amp;search_type=keyword_unordered&amp;media_type=all" TargetMode="External"/><Relationship Id="rId436" Type="http://schemas.openxmlformats.org/officeDocument/2006/relationships/hyperlink" Target="https://l.facebook.com/l.php?u=https%3A%2F%2Fredhouse.com.br%2Fcampussantoandre%2F%3Ffbclid%3DIwcGRvZgFleHRuA2FlbQIxMABicmlkETFXNzlsVXpoUDVDNVVuakFSc3J0YwZhcHBfaWQPNTQxNjM5NDkzODg5MDI1AAEemiG7ZJSZpG9eI9fq5mE7SXnRpY_yuEiuCxv85peaXE2F7vnxtjwNXuT-oUQ_aem_8O1" TargetMode="External"/><Relationship Id="rId437" Type="http://schemas.openxmlformats.org/officeDocument/2006/relationships/hyperlink" Target="https://www.facebook.com/ads/library/?active_status=active&amp;ad_type=all&amp;country=ALL&amp;q=Escola%20Viva&amp;search_type=keyword_unordered&amp;media_type=all" TargetMode="External"/><Relationship Id="rId438" Type="http://schemas.openxmlformats.org/officeDocument/2006/relationships/hyperlink" Target="https://l.facebook.com/l.php?u=https%3A%2F%2Fsaibamais.escolaviva.com.br%2Fmatriculas-abertas%3Ffbclid%3DIwcGRvZgFleHRuA2FlbQIxMABicmlkETFXNzlsVXpoUDVDNVVuakFSc3J0YwZhcHBfaWQPNTQxNjM5NDkzODg5MDI1AAEeo6JyMjm1XPgMuTrdSlDmfT6YyerozLW2goY7wbM4vUwq0i3rwsBPh9wX" TargetMode="External"/><Relationship Id="rId439" Type="http://schemas.openxmlformats.org/officeDocument/2006/relationships/hyperlink" Target="https://www.facebook.com/ads/library/?active_status=active&amp;ad_type=all&amp;country=ALL&amp;q=Col&#233;gio%20Bernoulli%20Vale%20do%20Sereno&amp;search_type=keyword_unordered&amp;media_type=all" TargetMode="External"/><Relationship Id="rId440" Type="http://schemas.openxmlformats.org/officeDocument/2006/relationships/hyperlink" Target="https://l.facebook.com/l.php?u=https%3A%2F%2Fviva.bernoulli.com.br%2Finscreva-se-vse%3Ffbclid%3DIwcGRvZgFleHRuA2FlbQIxMABicmlkETFXNzlsVXpoUDVDNVVuakFSc3J0YwZhcHBfaWQPNTQxNjM5NDkzODg5MDI1AAEefbFGDO-zrlIqJQIlM89BJn9ihvjEznXMXNSN5_rYbXTZcEwyAe3CyzX9PY4_aem_C" TargetMode="External"/><Relationship Id="rId441" Type="http://schemas.openxmlformats.org/officeDocument/2006/relationships/hyperlink" Target="https://www.facebook.com/ads/library/?active_status=active&amp;ad_type=all&amp;country=ALL&amp;q=Faveni%20Ead&amp;search_type=keyword_unordered&amp;media_type=all" TargetMode="External"/><Relationship Id="rId442" Type="http://schemas.openxmlformats.org/officeDocument/2006/relationships/hyperlink" Target="https://api.whatsapp.com/send" TargetMode="External"/><Relationship Id="rId443" Type="http://schemas.openxmlformats.org/officeDocument/2006/relationships/hyperlink" Target="https://www.facebook.com/ads/library/?active_status=active&amp;ad_type=all&amp;country=ALL&amp;q=Col&#233;gio%20ETAPA&amp;search_type=keyword_unordered&amp;media_type=all" TargetMode="External"/><Relationship Id="rId444" Type="http://schemas.openxmlformats.org/officeDocument/2006/relationships/hyperlink" Target="https://l.facebook.com/l.php?u=https%3A%2F%2Fevento.etapa.com.br%2Facolher-desenvolver-site%3Ffbclid%3DIwcGRvZgFleHRuA2FlbQIxMABicmlkETFXNzlsVXpoUDVDNVVuakFSc3J0YwZhcHBfaWQPNTQxNjM5NDkzODg5MDI1AAEemiG7ZJSZpG9eI9fq5mE7SXnRpY_yuEiuCxv85peaXE2F7vnxtjwNXuT-oU" TargetMode="External"/><Relationship Id="rId445" Type="http://schemas.openxmlformats.org/officeDocument/2006/relationships/hyperlink" Target="https://www.facebook.com/ads/library/?active_status=active&amp;ad_type=all&amp;country=ALL&amp;q=Fadelito%20Jardins&amp;search_type=keyword_unordered&amp;media_type=all" TargetMode="External"/><Relationship Id="rId446" Type="http://schemas.openxmlformats.org/officeDocument/2006/relationships/hyperlink" Target="https://l.facebook.com/l.php?u=https%3A%2F%2Fwww.fadelito.com.br%2Fjardins%2F%3Ffbclid%3DIwcGRvZgFleHRuA2FlbQIxMABicmlkETFXNzlsVXpoUDVDNVVuakFSc3J0YwZhcHBfaWQPNTQxNjM5NDkzODg5MDI1AAEeomo5_C6J2q3cxfNXzkZroM0VILYhv9g6P2DO5yVgnfUBZbvhqs3M9JiYyF0_aem_ufln1sjN" TargetMode="External"/><Relationship Id="rId447" Type="http://schemas.openxmlformats.org/officeDocument/2006/relationships/hyperlink" Target="https://www.facebook.com/ads/library/?active_status=active&amp;ad_type=all&amp;country=ALL&amp;q=RED%20HOUSE%20Sorocaba&amp;search_type=keyword_unordered&amp;media_type=all" TargetMode="External"/><Relationship Id="rId448" Type="http://schemas.openxmlformats.org/officeDocument/2006/relationships/hyperlink" Target="https://l.facebook.com/l.php?u=https%3A%2F%2Fredhouse.com.br%2Fcampussorocaba%2F%3Ffbclid%3DIwcGRvZgFleHRuA2FlbQIxMABicmlkETFXNzlsVXpoUDVDNVVuakFSc3J0YwZhcHBfaWQPNTQxNjM5NDkzODg5MDI1AAEeIbNyWNnqt2-4raZja4sSumcYQpNwnkV8H12szpx0xM1nhqpZ-pH7bYS1Jwo_aem_kq6TA" TargetMode="External"/><Relationship Id="rId449" Type="http://schemas.openxmlformats.org/officeDocument/2006/relationships/hyperlink" Target="https://www.facebook.com/ads/library/?active_status=active&amp;ad_type=all&amp;country=ALL&amp;q=RED%20HOUSE%20Sorocaba&amp;search_type=keyword_unordered&amp;media_type=all" TargetMode="External"/><Relationship Id="rId450" Type="http://schemas.openxmlformats.org/officeDocument/2006/relationships/hyperlink" Target="https://l.facebook.com/l.php?u=https%3A%2F%2Fredhouse.com.br%2Fcampussorocaba%2F%3Ffbclid%3DIwcGRvZgFleHRuA2FlbQIxMABicmlkETFXNzlsVXpoUDVDNVVuakFSc3J0YwZhcHBfaWQPNTQxNjM5NDkzODg5MDI1AAEeo6JyMjm1XPgMuTrdSlDmfT6YyerozLW2goY7wbM4vUwq0i3rwsBPh9wXcW0_aem_Bbd3x" TargetMode="External"/><Relationship Id="rId451" Type="http://schemas.openxmlformats.org/officeDocument/2006/relationships/hyperlink" Target="https://www.facebook.com/ads/library/?active_status=active&amp;ad_type=all&amp;country=ALL&amp;q=Col&#233;gio%20Oswald&amp;search_type=keyword_unordered&amp;media_type=all" TargetMode="External"/><Relationship Id="rId452" Type="http://schemas.openxmlformats.org/officeDocument/2006/relationships/hyperlink" Target="https://l.facebook.com/l.php?u=http%3A%2F%2Finstagram.com%2Fcolegiooswald%3Ffbclid%3DIwcGRvZgFleHRuA2FlbQIxMABicmlkETFXNzlsVXpoUDVDNVVuakFSc3J0YwZhcHBfaWQPNTQxNjM5NDkzODg5MDI1AAEei-7k0OCV6rulAxe8m7jBCbQ9cA8KiGcW5XYIS0hD0RgB02J221k76asUC-Q_aem_r7SThfJaU_Av" TargetMode="External"/><Relationship Id="rId453" Type="http://schemas.openxmlformats.org/officeDocument/2006/relationships/hyperlink" Target="https://www.facebook.com/ads/library/?active_status=active&amp;ad_type=all&amp;country=ALL&amp;q=Kingdom%20School&amp;search_type=keyword_unordered&amp;media_type=all" TargetMode="External"/><Relationship Id="rId454" Type="http://schemas.openxmlformats.org/officeDocument/2006/relationships/hyperlink" Target="https://l.facebook.com/l.php?u=https%3A%2F%2Fmykingdomschool.com.br%2F%3Futm_source%3Dmeta%26utm_campaign%3Dtrafego%26utm_content%3Dsite%26fbclid%3DIwcGRvZgFleHRuA2FlbQIxMABicmlkETFXNzlsVXpoUDVDNVVuakFSc3J0YwZhcHBfaWQPNTQxNjM5NDkzODg5MDI1AAEemiG7ZJSZpG9eI" TargetMode="External"/><Relationship Id="rId455" Type="http://schemas.openxmlformats.org/officeDocument/2006/relationships/hyperlink" Target="https://www.facebook.com/ads/library/?active_status=active&amp;ad_type=all&amp;country=ALL&amp;q=Matr&#237;culas%20Faveni&amp;search_type=keyword_unordered&amp;media_type=all" TargetMode="External"/><Relationship Id="rId456" Type="http://schemas.openxmlformats.org/officeDocument/2006/relationships/hyperlink" Target="https://api.whatsapp.com/send" TargetMode="External"/><Relationship Id="rId457" Type="http://schemas.openxmlformats.org/officeDocument/2006/relationships/hyperlink" Target="https://www.facebook.com/ads/library/?active_status=active&amp;ad_type=all&amp;country=ALL&amp;q=Instituto%20Alfa%20e%20Beto&amp;search_type=keyword_unordered&amp;media_type=all" TargetMode="External"/><Relationship Id="rId458" Type="http://schemas.openxmlformats.org/officeDocument/2006/relationships/hyperlink" Target="https://l.facebook.com/l.php?u=https%3A%2F%2Fwww.alfaebeto.org.br%2Fiab-leva-alfabetizacao-baseada-em-evidencias-a-seminario-em-tres-de-maio%2F%3Ffbclid%3DIwcGRvZgFleHRuA2FlbQIxMABicmlkETFXNzlsVXpoUDVDNVVuakFSc3J0YwZhcHBfaWQPNTQxNjM5NDkzODg5MDI1AAEefnH1Ub" TargetMode="External"/><Relationship Id="rId459" Type="http://schemas.openxmlformats.org/officeDocument/2006/relationships/hyperlink" Target="https://www.facebook.com/ads/library/?active_status=active&amp;ad_type=all&amp;country=ALL&amp;q=Instituto%20Alfa%20e%20Beto&amp;search_type=keyword_unordered&amp;media_type=all" TargetMode="External"/><Relationship Id="rId460" Type="http://schemas.openxmlformats.org/officeDocument/2006/relationships/hyperlink" Target="https://l.facebook.com/l.php?u=https%3A%2F%2Fwww.alfaebeto.org.br%2Fsaeb-o-que-e-e-por-que-ele-e-essencial-para-a-educacao-brasileira%3Ffbclid%3DIwcGRvZgFleHRuA2FlbQIxMABicmlkETFXNzlsVXpoUDVDNVVuakFSc3J0YwZhcHBfaWQPNTQxNjM5NDkzODg5MDI1AAEeo6JyMjm1XPgMuTrd" TargetMode="External"/><Relationship Id="rId461" Type="http://schemas.openxmlformats.org/officeDocument/2006/relationships/hyperlink" Target="https://www.facebook.com/ads/library/?active_status=active&amp;ad_type=all&amp;country=ALL&amp;q=Instituto%20Alfa%20e%20Beto&amp;search_type=keyword_unordered&amp;media_type=all" TargetMode="External"/><Relationship Id="rId462" Type="http://schemas.openxmlformats.org/officeDocument/2006/relationships/hyperlink" Target="https://l.facebook.com/l.php?u=https%3A%2F%2Fwww.alfaebeto.org.br%2Falfabetizacao%3Ffbclid%3DIwcGRvZgFleHRuA2FlbQIxMABicmlkETFXNzlsVXpoUDVDNVVuakFSc3J0YwZhcHBfaWQPNTQxNjM5NDkzODg5MDI1AAEef2Ay9JH-w62yBzipAYnGYPW8DpiIbNWtsD3FV7TbiynhJrf2FJ-gR6gVWdQ_aem_Pkwt" TargetMode="External"/><Relationship Id="rId463" Type="http://schemas.openxmlformats.org/officeDocument/2006/relationships/hyperlink" Target="https://www.facebook.com/ads/library/?active_status=active&amp;ad_type=all&amp;country=ALL&amp;q=Matr&#237;culas%20Faveni&amp;search_type=keyword_unordered&amp;media_type=all" TargetMode="External"/><Relationship Id="rId464" Type="http://schemas.openxmlformats.org/officeDocument/2006/relationships/hyperlink" Target="https://api.whatsapp.com/send" TargetMode="External"/><Relationship Id="rId465" Type="http://schemas.openxmlformats.org/officeDocument/2006/relationships/hyperlink" Target="https://www.facebook.com/ads/library/?active_status=active&amp;ad_type=all&amp;country=ALL&amp;q=Jardim%20dos%20Saberes&amp;search_type=keyword_unordered&amp;media_type=all" TargetMode="External"/><Relationship Id="rId466" Type="http://schemas.openxmlformats.org/officeDocument/2006/relationships/hyperlink" Target="https://api.whatsapp.com/send" TargetMode="External"/><Relationship Id="rId467" Type="http://schemas.openxmlformats.org/officeDocument/2006/relationships/hyperlink" Target="https://www.facebook.com/ads/library/?active_status=active&amp;ad_type=all&amp;country=ALL&amp;q=S&#243;%20Educador&amp;search_type=keyword_unordered&amp;media_type=all" TargetMode="External"/><Relationship Id="rId468" Type="http://schemas.openxmlformats.org/officeDocument/2006/relationships/hyperlink" Target="https://l.facebook.com/l.php?u=https%3A%2F%2Fsoeducador.com.br%2F%3Fassigned_campaign%3Dprofessor-rede-publica%26fbclid%3DIwcGRvZgFleHRuA2FlbQIxMABicmlkETFXNzlsVXpoUDVDNVVuakFSc3J0YwZhcHBfaWQPNTQxNjM5NDkzODg5MDI1AAEe6-lGHam-0fdkKTskoHoSKGSmqNV9VvipHgVFi62" TargetMode="External"/><Relationship Id="rId469" Type="http://schemas.openxmlformats.org/officeDocument/2006/relationships/hyperlink" Target="https://www.facebook.com/ads/library/?active_status=active&amp;ad_type=all&amp;country=ALL&amp;q=Matr&#237;culas%20Faveni&amp;search_type=keyword_unordered&amp;media_type=all" TargetMode="External"/><Relationship Id="rId470" Type="http://schemas.openxmlformats.org/officeDocument/2006/relationships/hyperlink" Target="https://api.whatsapp.com/send" TargetMode="External"/><Relationship Id="rId471" Type="http://schemas.openxmlformats.org/officeDocument/2006/relationships/hyperlink" Target="https://www.facebook.com/ads/library/?active_status=active&amp;ad_type=all&amp;country=ALL&amp;q=Alfabetizando%20Baixinhos&amp;search_type=keyword_unordered&amp;media_type=all" TargetMode="External"/><Relationship Id="rId472" Type="http://schemas.openxmlformats.org/officeDocument/2006/relationships/hyperlink" Target="https://api.whatsapp.com/send" TargetMode="External"/><Relationship Id="rId473" Type="http://schemas.openxmlformats.org/officeDocument/2006/relationships/hyperlink" Target="https://www.facebook.com/ads/library/?active_status=active&amp;ad_type=all&amp;country=ALL&amp;q=Sistema%20de%20Ensino%20pH&amp;search_type=keyword_unordered&amp;media_type=all" TargetMode="External"/><Relationship Id="rId474" Type="http://schemas.openxmlformats.org/officeDocument/2006/relationships/hyperlink" Target="https://l.facebook.com/l.php?u=https%3A%2F%2Fconteudos.somoseducacao.com.br%2Fph-ebook-gestor-escolar%3Futm_source%3D%257B%257Bsite_source_name%257D%257D%26utm_medium%3Dcpc%26utm_campaign%3DAC_PH_CP16_ebook-ph-mudanca-de-sistema_Conversao-Lead_Meio_ABO%26" TargetMode="External"/><Relationship Id="rId475" Type="http://schemas.openxmlformats.org/officeDocument/2006/relationships/hyperlink" Target="https://www.facebook.com/ads/library/?active_status=active&amp;ad_type=all&amp;country=ALL&amp;q=Am&#233;rico%20Escribo&amp;search_type=keyword_unordered&amp;media_type=all" TargetMode="External"/><Relationship Id="rId476" Type="http://schemas.openxmlformats.org/officeDocument/2006/relationships/hyperlink" Target="https://l.facebook.com/l.php?u=https%3A%2F%2Fescribo.revenuelab.com.br%2F%3Ffbclid%3DIwcGRvZgFleHRuA2FlbQIxMABicmlkETFXNzlsVXpoUDVDNVVuakFSc3J0YwZhcHBfaWQPNTQxNjM5NDkzODg5MDI1AAEeo6JyMjm1XPgMuTrdSlDmfT6YyerozLW2goY7wbM4vUwq0i3rwsBPh9wXcW0_aem_Bbd3xtFGd99n" TargetMode="External"/><Relationship Id="rId477" Type="http://schemas.openxmlformats.org/officeDocument/2006/relationships/hyperlink" Target="https://www.facebook.com/ads/library/?active_status=active&amp;ad_type=all&amp;country=ALL&amp;q=Escola%20Granja%20Viana&amp;search_type=keyword_unordered&amp;media_type=all" TargetMode="External"/><Relationship Id="rId478" Type="http://schemas.openxmlformats.org/officeDocument/2006/relationships/hyperlink" Target="https://l.facebook.com/l.php?u=https%3A%2F%2Finfantil.escolagranjaviana.com.br%2F%3Futm_source%3Dinstagram%26utm_medium%3Dcpc%26utm_campaign%3Dmeta-trafego-infantil%26fbclid%3DIwcGRvZgFleHRuA2FlbQIxMABicmlkETFXNzlsVXpoUDVDNVVuakFSc3J0YwZhcHBfaWQPNTQxNjM5N" TargetMode="External"/><Relationship Id="rId479" Type="http://schemas.openxmlformats.org/officeDocument/2006/relationships/hyperlink" Target="https://www.facebook.com/ads/library/?active_status=active&amp;ad_type=all&amp;country=ALL&amp;q=Col&#233;gio%20Bernoulli%20Vale%20do%20Sereno&amp;search_type=keyword_unordered&amp;media_type=all" TargetMode="External"/><Relationship Id="rId480" Type="http://schemas.openxmlformats.org/officeDocument/2006/relationships/hyperlink" Target="https://l.facebook.com/l.php?u=https%3A%2F%2Fviva.bernoulli.com.br%2Finscreva-se-vse%3Ffbclid%3DIwcGRvZgFleHRuA2FlbQIxMABicmlkETFXNzlsVXpoUDVDNVVuakFSc3J0YwZhcHBfaWQPNTQxNjM5NDkzODg5MDI1AAEeomo5_C6J2q3cxfNXzkZroM0VILYhv9g6P2DO5yVgnfUBZbvhqs3M9JiYyF0_aem_u" TargetMode="External"/><Relationship Id="rId481" Type="http://schemas.openxmlformats.org/officeDocument/2006/relationships/hyperlink" Target="https://www.facebook.com/ads/library/?active_status=active&amp;ad_type=all&amp;country=ALL&amp;q=Col&#233;gio%20Bernoulli%20Vale%20do%20Sereno&amp;search_type=keyword_unordered&amp;media_type=all" TargetMode="External"/><Relationship Id="rId482" Type="http://schemas.openxmlformats.org/officeDocument/2006/relationships/hyperlink" Target="https://l.facebook.com/l.php?u=https%3A%2F%2Fviva.bernoulli.com.br%2Finscreva-se-vse%3Ffbclid%3DIwcGRvZgFleHRuA2FlbQIxMABicmlkETFXNzlsVXpoUDVDNVVuakFSc3J0YwZhcHBfaWQPNTQxNjM5NDkzODg5MDI1AAEei-7k0OCV6rulAxe8m7jBCbQ9cA8KiGcW5XYIS0hD0RgB02J221k76asUC-Q_aem_r" TargetMode="External"/><Relationship Id="rId483" Type="http://schemas.openxmlformats.org/officeDocument/2006/relationships/hyperlink" Target="https://www.facebook.com/ads/library/?active_status=active&amp;ad_type=all&amp;country=ALL&amp;q=S&#243;%20Educador&amp;search_type=keyword_unordered&amp;media_type=all" TargetMode="External"/><Relationship Id="rId484" Type="http://schemas.openxmlformats.org/officeDocument/2006/relationships/hyperlink" Target="https://l.facebook.com/l.php?u=https%3A%2F%2Fsoeducador.com.br%2F%3Fassigned_campaign%3Dprofessor-rede-publica%26fbclid%3DIwcGRvZgFleHRuA2FlbQIxMABicmlkETFXNzlsVXpoUDVDNVVuakFSc3J0YwZhcHBfaWQPNTQxNjM5NDkzODg5MDI1AAEei-7k0OCV6rulAxe8m7jBCbQ9cA8KiGcW5XYIS0h" TargetMode="External"/><Relationship Id="rId485" Type="http://schemas.openxmlformats.org/officeDocument/2006/relationships/hyperlink" Target="https://www.facebook.com/ads/library/?active_status=active&amp;ad_type=all&amp;country=ALL&amp;q=Dra.%20Camila%20R.&amp;search_type=keyword_unordered&amp;media_type=all" TargetMode="External"/><Relationship Id="rId486" Type="http://schemas.openxmlformats.org/officeDocument/2006/relationships/hyperlink" Target="https://l.facebook.com/l.php?u=https%3A%2F%2Fkitpsicomotorinfantil.lovable.app%2F%3Ffbclid%3DIwcGRvZgFleHRuA2FlbQIxMABicmlkETFXNzlsVXpoUDVDNVVuakFSc3J0YwZhcHBfaWQPNTQxNjM5NDkzODg5MDI1AAEeo6JyMjm1XPgMuTrdSlDmfT6YyerozLW2goY7wbM4vUwq0i3rwsBPh9wXcW0_aem_Bbd3" TargetMode="External"/><Relationship Id="rId487" Type="http://schemas.openxmlformats.org/officeDocument/2006/relationships/hyperlink" Target="https://www.facebook.com/ads/library/?active_status=active&amp;ad_type=all&amp;country=ALL&amp;q=S&#243;%20Educador&amp;search_type=keyword_unordered&amp;media_type=all" TargetMode="External"/><Relationship Id="rId488" Type="http://schemas.openxmlformats.org/officeDocument/2006/relationships/hyperlink" Target="https://l.facebook.com/l.php?u=https%3A%2F%2Fsoeducador.com.br%2Fcursos%2Finfo%2F2500237%2Fcertificacao-de-professores%3Ffbclid%3DIwcGRvZgFleHRuA2FlbQIxMABicmlkETFXNzlsVXpoUDVDNVVuakFSc3J0YwZhcHBfaWQPNTQxNjM5NDkzODg5MDI1AAEeomo5_C6J2q3cxfNXzkZroM0VILYhv9g" TargetMode="External"/><Relationship Id="rId489" Type="http://schemas.openxmlformats.org/officeDocument/2006/relationships/hyperlink" Target="https://www.facebook.com/ads/library/?active_status=active&amp;ad_type=all&amp;country=ALL&amp;q=Xplay%20Education&amp;search_type=keyword_unordered&amp;media_type=all" TargetMode="External"/><Relationship Id="rId490" Type="http://schemas.openxmlformats.org/officeDocument/2006/relationships/hyperlink" Target="https://api.whatsapp.com/send" TargetMode="External"/><Relationship Id="rId491" Type="http://schemas.openxmlformats.org/officeDocument/2006/relationships/hyperlink" Target="https://www.facebook.com/ads/library/?active_status=active&amp;ad_type=all&amp;country=ALL&amp;q=Profa%20Evelyn%20Cassillo&amp;search_type=keyword_unordered&amp;media_type=all" TargetMode="External"/><Relationship Id="rId492" Type="http://schemas.openxmlformats.org/officeDocument/2006/relationships/hyperlink" Target="https://l.facebook.com/l.php?u=http%3A%2F%2Finstagram.com%2Fprofaevelyncassillo%3Ffbclid%3DIwcGRvZgFleHRuA2FlbQIxMABicmlkETFXNzlsVXpoUDVDNVVuakFSc3J0YwZhcHBfaWQPNTQxNjM5NDkzODg5MDI1AAEef2Ay9JH-w62yBzipAYnGYPW8DpiIbNWtsD3FV7TbiynhJrf2FJ-gR6gVWdQ_aem_PkwtiN" TargetMode="External"/><Relationship Id="rId493" Type="http://schemas.openxmlformats.org/officeDocument/2006/relationships/hyperlink" Target="https://www.facebook.com/ads/library/?active_status=active&amp;ad_type=all&amp;country=ALL&amp;q=BL%20Apoio%20Pedag&#243;gico&amp;search_type=keyword_unordered&amp;media_type=all" TargetMode="External"/><Relationship Id="rId494" Type="http://schemas.openxmlformats.org/officeDocument/2006/relationships/hyperlink" Target="https://l.facebook.com/l.php?u=http%3A%2F%2Fwww.apoiopedagogico.com%2F%3Ffbclid%3DIwcGRvZgFleHRuA2FlbQIxMABicmlkETFXNzlsVXpoUDVDNVVuakFSc3J0YwZhcHBfaWQPNTQxNjM5NDkzODg5MDI1AAEemiG7ZJSZpG9eI9fq5mE7SXnRpY_yuEiuCxv85peaXE2F7vnxtjwNXuT-oUQ_aem_8O1Am_K_CRhxY_K" TargetMode="External"/><Relationship Id="rId495" Type="http://schemas.openxmlformats.org/officeDocument/2006/relationships/hyperlink" Target="https://www.facebook.com/ads/library/?active_status=active&amp;ad_type=all&amp;country=ALL&amp;q=Pedagomania%20Kids&amp;search_type=keyword_unordered&amp;media_type=all" TargetMode="External"/><Relationship Id="rId496" Type="http://schemas.openxmlformats.org/officeDocument/2006/relationships/hyperlink" Target="https://api.whatsapp.com/send" TargetMode="External"/><Relationship Id="rId497" Type="http://schemas.openxmlformats.org/officeDocument/2006/relationships/hyperlink" Target="https://www.facebook.com/ads/library/?active_status=active&amp;ad_type=all&amp;country=ALL&amp;q=S&#243;%20Educador&amp;search_type=keyword_unordered&amp;media_type=all" TargetMode="External"/><Relationship Id="rId498" Type="http://schemas.openxmlformats.org/officeDocument/2006/relationships/hyperlink" Target="https://l.facebook.com/l.php?u=https%3A%2F%2Fsoeducador.com.br%2F%3Fassigned_campaign%3Dprofessor-rede-publica%26fbclid%3DIwcGRvZgFleHRuA2FlbQIxMABicmlkETFXNzlsVXpoUDVDNVVuakFSc3J0YwZhcHBfaWQPNTQxNjM5NDkzODg5MDI1AAEemiG7ZJSZpG9eI9fq5mE7SXnRpY_yuEiuCxv85pe" TargetMode="External"/><Relationship Id="rId499" Type="http://schemas.openxmlformats.org/officeDocument/2006/relationships/hyperlink" Target="https://www.facebook.com/ads/library/?active_status=active&amp;ad_type=all&amp;country=ALL&amp;q=Kit%20Tarefinha%20L&#250;dica&amp;search_type=keyword_unordered&amp;media_type=all" TargetMode="External"/><Relationship Id="rId500" Type="http://schemas.openxmlformats.org/officeDocument/2006/relationships/hyperlink" Target="https://l.facebook.com/l.php?u=https%3A%2F%2Fkittarefinhaludica.com.br%2FRECURSOSFLUENCIA%3Ffbclid%3DIwcGRvZgFleHRuA2FlbQIxMABicmlkETFXNzlsVXpoUDVDNVVuakFSc3J0YwZhcHBfaWQPNTQxNjM5NDkzODg5MDI1AAEef2Ay9JH-w62yBzipAYnGYPW8DpiIbNWtsD3FV7TbiynhJrf2FJ-gR6gVWdQ_" TargetMode="External"/><Relationship Id="rId501" Type="http://schemas.openxmlformats.org/officeDocument/2006/relationships/hyperlink" Target="https://www.facebook.com/ads/library/?active_status=active&amp;ad_type=all&amp;country=ALL&amp;q=Prof%20&#186;%20Jaqueline&amp;search_type=keyword_unordered&amp;media_type=all" TargetMode="External"/><Relationship Id="rId502" Type="http://schemas.openxmlformats.org/officeDocument/2006/relationships/hyperlink" Target="https://api.whatsapp.com/send" TargetMode="External"/><Relationship Id="rId503" Type="http://schemas.openxmlformats.org/officeDocument/2006/relationships/hyperlink" Target="https://www.facebook.com/ads/library/?active_status=active&amp;ad_type=all&amp;country=ALL&amp;q=Paulo%20S&#233;rgio&amp;search_type=keyword_unordered&amp;media_type=all" TargetMode="External"/><Relationship Id="rId504" Type="http://schemas.openxmlformats.org/officeDocument/2006/relationships/hyperlink" Target="https://scontent.ffor7-1.fna.fbcdn.net/o1/v/t2/f2/m367/AQMajl3had5lFC7key-DJu2mdTM18KLdrs4aALyQQdRQ0pzN7h-I7obK9Irj6IElSjsXhJzIwask-LvryDuhK3LYOOlwpQT0IwLraDAmhQ.mp4?_nc_cat=102&amp;_nc_oc=Adp2FwxJ3aQueBIbPJKuMcH_OaZR-iSU3xYbJgUcluGzq0-tqSTsxUYZ7uL7wjood84&amp;_n" TargetMode="External"/><Relationship Id="rId505" Type="http://schemas.openxmlformats.org/officeDocument/2006/relationships/hyperlink" Target="https://www.facebook.com/ads/library/?active_status=active&amp;ad_type=all&amp;country=ALL&amp;q=Congresso%20Brincar&amp;search_type=keyword_unordered&amp;media_type=all" TargetMode="External"/><Relationship Id="rId506" Type="http://schemas.openxmlformats.org/officeDocument/2006/relationships/hyperlink" Target="https://l.facebook.com/l.php?u=http%3A%2F%2Fcongressobrincar.com%2Fcongresso-brincar-digital-edicao-especial-educacao-infantil-na-pratica%3Ffbclid%3DIwcGRvZgFleHRuA2FlbQIxMABicmlkETFXNzlsVXpoUDVDNVVuakFSc3J0YwZhcHBfaWQPNTQxNjM5NDkzODg5MDI1AAEeIbNyWNnqt2-4" TargetMode="External"/><Relationship Id="rId507" Type="http://schemas.openxmlformats.org/officeDocument/2006/relationships/hyperlink" Target="https://www.facebook.com/ads/library/?active_status=active&amp;ad_type=all&amp;country=ALL&amp;q=Col&#233;gio%20Companhia%20do%20Saber&amp;search_type=keyword_unordered&amp;media_type=all" TargetMode="External"/><Relationship Id="rId508" Type="http://schemas.openxmlformats.org/officeDocument/2006/relationships/hyperlink" Target="https://api.whatsapp.com/send" TargetMode="External"/><Relationship Id="rId509" Type="http://schemas.openxmlformats.org/officeDocument/2006/relationships/hyperlink" Target="https://www.facebook.com/ads/library/?active_status=active&amp;ad_type=all&amp;country=ALL&amp;q=Col&#233;gio%20Franciscano%20S&#227;o%20Miguel%20Arcanjo&amp;search_type=keyword_unordered&amp;media_type=all" TargetMode="External"/><Relationship Id="rId510" Type="http://schemas.openxmlformats.org/officeDocument/2006/relationships/hyperlink" Target="https://l.facebook.com/l.php?u=https%3A%2F%2Fwww.colegiosaomiguel.com.br%2F%3Ffbclid%3DIwcGRvZgFleHRuA2FlbQIxMABicmlkETFXNzlsVXpoUDVDNVVuakFSc3J0YwZhcHBfaWQPNTQxNjM5NDkzODg5MDI1AAEei-7k0OCV6rulAxe8m7jBCbQ9cA8KiGcW5XYIS0hD0RgB02J221k76asUC-Q_aem_r7SThfJaU_" TargetMode="External"/><Relationship Id="rId511" Type="http://schemas.openxmlformats.org/officeDocument/2006/relationships/hyperlink" Target="https://www.facebook.com/ads/library/?active_status=active&amp;ad_type=all&amp;country=ALL&amp;q=Anhanguera%20Educacional&amp;search_type=keyword_unordered&amp;media_type=all" TargetMode="External"/><Relationship Id="rId512" Type="http://schemas.openxmlformats.org/officeDocument/2006/relationships/hyperlink" Target="https://api.whatsapp.com/send" TargetMode="External"/><Relationship Id="rId513" Type="http://schemas.openxmlformats.org/officeDocument/2006/relationships/hyperlink" Target="https://www.facebook.com/ads/library/?active_status=active&amp;ad_type=all&amp;country=ALL&amp;q=Educare%20Cursos%20Online&amp;search_type=keyword_unordered&amp;media_type=all" TargetMode="External"/><Relationship Id="rId514" Type="http://schemas.openxmlformats.org/officeDocument/2006/relationships/hyperlink" Target="https://l.facebook.com/l.php?u=https%3A%2F%2Fportal.educarepedagogia.com.br%2Ff%2Fflow-atendimento-educacional-especializado-aee%3Fsrc%3D%26utm_source%3D%257B%257Bplacement%257D%257D%26utm_medium%3D%257B%257Badset.name%257D%257D%26utm_content%3D%257B%257B" TargetMode="External"/><Relationship Id="rId515" Type="http://schemas.openxmlformats.org/officeDocument/2006/relationships/hyperlink" Target="https://www.facebook.com/ads/library/?active_status=active&amp;ad_type=all&amp;country=ALL&amp;q=Skooly&amp;search_type=keyword_unordered&amp;media_type=all" TargetMode="External"/><Relationship Id="rId516" Type="http://schemas.openxmlformats.org/officeDocument/2006/relationships/hyperlink" Target="https://l.facebook.com/l.php?u=https%3A%2F%2Fskooly.com.br%2Fia-para-professores%2F%3Ffbclid%3DIwcGRvZgFleHRuA2FlbQIxMABicmlkETFXNzlsVXpoUDVDNVVuakFSc3J0YwZhcHBfaWQPNTQxNjM5NDkzODg5MDI1AAEe6-lGHam-0fdkKTskoHoSKGSmqNV9VvipHgVFi62EM8HQmWSe7Dfh30LV9E4_aem_jP" TargetMode="External"/><Relationship Id="rId517" Type="http://schemas.openxmlformats.org/officeDocument/2006/relationships/hyperlink" Target="https://www.facebook.com/ads/library/?active_status=active&amp;ad_type=all&amp;country=ALL&amp;q=Matr&#237;culas%20Faveni&amp;search_type=keyword_unordered&amp;media_type=all" TargetMode="External"/><Relationship Id="rId518" Type="http://schemas.openxmlformats.org/officeDocument/2006/relationships/hyperlink" Target="https://api.whatsapp.com/send" TargetMode="External"/><Relationship Id="rId519" Type="http://schemas.openxmlformats.org/officeDocument/2006/relationships/hyperlink" Target="https://www.facebook.com/ads/library/?active_status=active&amp;ad_type=all&amp;country=ALL&amp;q=Matr&#237;culas%20Faveni&amp;search_type=keyword_unordered&amp;media_type=all" TargetMode="External"/><Relationship Id="rId520" Type="http://schemas.openxmlformats.org/officeDocument/2006/relationships/hyperlink" Target="https://api.whatsapp.com/send" TargetMode="External"/><Relationship Id="rId521" Type="http://schemas.openxmlformats.org/officeDocument/2006/relationships/hyperlink" Target="https://www.facebook.com/ads/library/?active_status=active&amp;ad_type=all&amp;country=ALL&amp;q=Dra.%20Camila%20R.&amp;search_type=keyword_unordered&amp;media_type=all" TargetMode="External"/><Relationship Id="rId522" Type="http://schemas.openxmlformats.org/officeDocument/2006/relationships/hyperlink" Target="https://l.facebook.com/l.php?u=https%3A%2F%2Fkitpsicomotorinfantil.lovable.app%2F%3Ffbclid%3DIwcGRvZgFleHRuA2FlbQIxMABicmlkETFXNzlsVXpoUDVDNVVuakFSc3J0YwZhcHBfaWQPNTQxNjM5NDkzODg5MDI1AAEe6-lGHam-0fdkKTskoHoSKGSmqNV9VvipHgVFi62EM8HQmWSe7Dfh30LV9E4_aem_jPsR" TargetMode="External"/><Relationship Id="rId523" Type="http://schemas.openxmlformats.org/officeDocument/2006/relationships/hyperlink" Target="https://www.facebook.com/ads/library/?active_status=active&amp;ad_type=all&amp;country=ALL&amp;q=Col&#233;gio%20Positivo%20Londrina&amp;search_type=keyword_unordered&amp;media_type=all" TargetMode="External"/><Relationship Id="rId524" Type="http://schemas.openxmlformats.org/officeDocument/2006/relationships/hyperlink" Target="https://l.facebook.com/l.php?u=https%3A%2F%2Fcolegiopositivo.com.br%2Fcolegio%2Flondrina%2F%3Futm_source%3Dmetaads%26utm_medium%3Dcpc%26utm_campaign%3Dicherry_lon_londrina_none_always-on_awareness_alcance_leilao_metaads_none_none%26utm_content%3Dicherry_l" TargetMode="External"/><Relationship Id="rId525" Type="http://schemas.openxmlformats.org/officeDocument/2006/relationships/hyperlink" Target="https://www.facebook.com/ads/library/?active_status=active&amp;ad_type=all&amp;country=ALL&amp;q=Anglo%20S&#227;o%20Carlos&amp;search_type=keyword_unordered&amp;media_type=all" TargetMode="External"/><Relationship Id="rId526" Type="http://schemas.openxmlformats.org/officeDocument/2006/relationships/hyperlink" Target="https://l.facebook.com/l.php?u=https%3A%2F%2Fwww.anglosaocarlos.com.br%2F%3Ffbclid%3DIwcGRvZgFleHRuA2FlbQIxMABicmlkETFXNzlsVXpoUDVDNVVuakFSc3J0YwZhcHBfaWQPNTQxNjM5NDkzODg5MDI1AAEeomo5_C6J2q3cxfNXzkZroM0VILYhv9g6P2DO5yVgnfUBZbvhqs3M9JiYyF0_aem_ufln1sjNgmn5" TargetMode="External"/><Relationship Id="rId527" Type="http://schemas.openxmlformats.org/officeDocument/2006/relationships/hyperlink" Target="https://www.facebook.com/ads/library/?active_status=active&amp;ad_type=all&amp;country=ALL&amp;q=Instituto%20Quintino%20Escola%20-%20Espa&#231;o%20Kids&amp;search_type=keyword_unordered&amp;media_type=all" TargetMode="External"/><Relationship Id="rId528" Type="http://schemas.openxmlformats.org/officeDocument/2006/relationships/hyperlink" Target="https://api.whatsapp.com/send" TargetMode="External"/><Relationship Id="rId529" Type="http://schemas.openxmlformats.org/officeDocument/2006/relationships/hyperlink" Target="https://www.facebook.com/ads/library/?active_status=active&amp;ad_type=all&amp;country=ALL&amp;q=Col&#233;gio%20Objetivo%20DF&amp;search_type=keyword_unordered&amp;media_type=all" TargetMode="External"/><Relationship Id="rId530" Type="http://schemas.openxmlformats.org/officeDocument/2006/relationships/hyperlink" Target="https://l.facebook.com/l.php?u=http%3A%2F%2Ffb.me%2F&amp;h=AUCSvaiFYluCrwvUX96TO9ecJ379v9Bsu66JouQzAu7aUUZDyeYE9b8QMV6oarun2-207rbUBmWF7jqojuL7PdZPXWszSHGGccjzxqyzQ9B_fsJy8oVGZ0dgxqdbH3vhl2zeEKW5H_c" TargetMode="External"/><Relationship Id="rId531" Type="http://schemas.openxmlformats.org/officeDocument/2006/relationships/hyperlink" Target="https://www.facebook.com/ads/library/?active_status=active&amp;ad_type=all&amp;country=ALL&amp;q=Pegada&amp;search_type=keyword_unordered&amp;media_type=all" TargetMode="External"/><Relationship Id="rId532" Type="http://schemas.openxmlformats.org/officeDocument/2006/relationships/hyperlink" Target="https://l.facebook.com/l.php?u=https%3A%2F%2Fproduct-flair-maker.lovable.app%2F%3Ffbclid%3DIwcGRvZgFleHRuA2FlbQIxMABicmlkETFXNzlsVXpoUDVDNVVuakFSc3J0YwZhcHBfaWQPNTQxNjM5NDkzODg5MDI1AAEe6-lGHam-0fdkKTskoHoSKGSmqNV9VvipHgVFi62EM8HQmWSe7Dfh30LV9E4_aem_jPsRlT" TargetMode="External"/><Relationship Id="rId533" Type="http://schemas.openxmlformats.org/officeDocument/2006/relationships/hyperlink" Target="https://www.facebook.com/ads/library/?active_status=active&amp;ad_type=all&amp;country=ALL&amp;q=Col&#233;gio%20Marista%20S&#227;o%20Jos&#233;&amp;search_type=keyword_unordered&amp;media_type=all" TargetMode="External"/><Relationship Id="rId534" Type="http://schemas.openxmlformats.org/officeDocument/2006/relationships/hyperlink" Target="https://l.facebook.com/l.php?u=https%3A%2F%2Fcolegiosmaristas.com.br%2Fsao-jose-montes-claros%2F%3Ffbclid%3DIwcGRvZgFleHRuA2FlbQIxMABicmlkETFXNzlsVXpoUDVDNVVuakFSc3J0YwZhcHBfaWQPNTQxNjM5NDkzODg5MDI1AAEei-7k0OCV6rulAxe8m7jBCbQ9cA8KiGcW5XYIS0hD0RgB02J221k76" TargetMode="External"/><Relationship Id="rId535" Type="http://schemas.openxmlformats.org/officeDocument/2006/relationships/hyperlink" Target="https://www.facebook.com/ads/library/?active_status=active&amp;ad_type=all&amp;country=ALL&amp;q=Col&#233;gio%20Marista%20S&#227;o%20Jos&#233;&amp;search_type=keyword_unordered&amp;media_type=all" TargetMode="External"/><Relationship Id="rId536" Type="http://schemas.openxmlformats.org/officeDocument/2006/relationships/hyperlink" Target="https://l.facebook.com/l.php?u=https%3A%2F%2Fcolegiosmaristas.com.br%2Fsao-jose-montes-claros%2F%3Ffbclid%3DIwcGRvZgFleHRuA2FlbQIxMABicmlkETFXNzlsVXpoUDVDNVVuakFSc3J0YwZhcHBfaWQPNTQxNjM5NDkzODg5MDI1AAEemiG7ZJSZpG9eI9fq5mE7SXnRpY_yuEiuCxv85peaXE2F7vnxtjwNX" TargetMode="External"/><Relationship Id="rId537" Type="http://schemas.openxmlformats.org/officeDocument/2006/relationships/hyperlink" Target="https://www.facebook.com/ads/library/?active_status=active&amp;ad_type=all&amp;country=ALL&amp;q=Pedagoga%20Aprovada&amp;search_type=keyword_unordered&amp;media_type=all" TargetMode="External"/><Relationship Id="rId538" Type="http://schemas.openxmlformats.org/officeDocument/2006/relationships/hyperlink" Target="https://api.whatsapp.com/send" TargetMode="External"/><Relationship Id="rId539" Type="http://schemas.openxmlformats.org/officeDocument/2006/relationships/hyperlink" Target="https://www.facebook.com/ads/library/?active_status=active&amp;ad_type=all&amp;country=ALL&amp;q=Alfabetizando%20Baixinhos&amp;search_type=keyword_unordered&amp;media_type=all" TargetMode="External"/><Relationship Id="rId540" Type="http://schemas.openxmlformats.org/officeDocument/2006/relationships/hyperlink" Target="https://l.facebook.com/l.php?u=https%3A%2F%2Fofertas.alfabetizandobaixinhos.com.br%2Famostra%2Fexploradores-das-palavras%3Ffbclid%3DIwcGRvZgFleHRuA2FlbQIxMABicmlkETFXNzlsVXpoUDVDNVVuakFSc3J0YwZhcHBfaWQPNTQxNjM5NDkzODg5MDI1AAEeIbNyWNnqt2-4raZja4sSumcYQpNwn" TargetMode="External"/><Relationship Id="rId541" Type="http://schemas.openxmlformats.org/officeDocument/2006/relationships/hyperlink" Target="https://www.facebook.com/ads/library/?active_status=active&amp;ad_type=all&amp;country=ALL&amp;q=Sistema%20Maxi%20de%20Ensino&amp;search_type=keyword_unordered&amp;media_type=all" TargetMode="External"/><Relationship Id="rId542" Type="http://schemas.openxmlformats.org/officeDocument/2006/relationships/hyperlink" Target="https://l.facebook.com/l.php?u=https%3A%2F%2Fconteudos.sistemamaxi.com.br%2Fsistema-maxi-lp-lm-converse-com-especialista%3Futm_source%3D%257B%257Bsite_source_name%257D%257D%26utm_medium%3Dcpc%26utm_campaign%3DAC_MAXI_CP4_Institucional_Cadastro_Fundo_ABO%2" TargetMode="External"/><Relationship Id="rId543" Type="http://schemas.openxmlformats.org/officeDocument/2006/relationships/hyperlink" Target="https://www.facebook.com/ads/library/?active_status=active&amp;ad_type=all&amp;country=ALL&amp;q=Sistema%20Maxi%20de%20Ensino&amp;search_type=keyword_unordered&amp;media_type=all" TargetMode="External"/><Relationship Id="rId544" Type="http://schemas.openxmlformats.org/officeDocument/2006/relationships/hyperlink" Target="https://l.facebook.com/l.php?u=https%3A%2F%2Fconteudos.sistemamaxi.com.br%2Fsistema-maxi-lp-lm-converse-com-especialista%3Futm_source%3D%257B%257Bsite_source_name%257D%257D%26utm_medium%3Dcpc%26utm_campaign%3DAC_MAXI_CP4_Institucional_Cadastro_Fundo_ABO%2" TargetMode="External"/><Relationship Id="rId545" Type="http://schemas.openxmlformats.org/officeDocument/2006/relationships/hyperlink" Target="https://www.facebook.com/ads/library/?active_status=active&amp;ad_type=all&amp;country=ALL&amp;q=SIS%20Swiss%20International%20School&amp;search_type=keyword_unordered&amp;media_type=all" TargetMode="External"/><Relationship Id="rId546" Type="http://schemas.openxmlformats.org/officeDocument/2006/relationships/hyperlink" Target="https://l.facebook.com/l.php?u=http%3A%2F%2Ffb.me%2F&amp;h=AUCSvaiFYluCrwvUX96TO9ecJ379v9Bsu66JouQzAu7aUUZDyeYE9b8QMV6oarun2-207rbUBmWF7jqojuL7PdZPXWszSHGGccjzxqyzQ9B_fsJy8oVGZ0dgxqdbH3vhl2zeEKW5H_c" TargetMode="External"/><Relationship Id="rId547" Type="http://schemas.openxmlformats.org/officeDocument/2006/relationships/hyperlink" Target="https://www.facebook.com/ads/library/?active_status=active&amp;ad_type=all&amp;country=ALL&amp;q=Antes%20que%20Vire&amp;search_type=keyword_unordered&amp;media_type=all" TargetMode="External"/><Relationship Id="rId548" Type="http://schemas.openxmlformats.org/officeDocument/2006/relationships/hyperlink" Target="https://l.facebook.com/l.php?u=https%3A%2F%2Fantesquevire.com.br%2Fteste-risco-pre-diabetes%3Futm_source%3Dmeta-ads%26utm_medium%3Dpago%26utm_campaign%3D2026_projeto-especial_consideracao_meta-ads_reels%26utm_content%3Dprojeto-especial_meta-ads_considerac" TargetMode="External"/><Relationship Id="rId549" Type="http://schemas.openxmlformats.org/officeDocument/2006/relationships/hyperlink" Target="https://www.facebook.com/ads/library/?active_status=active&amp;ad_type=all&amp;country=ALL&amp;q=Col&#233;gio%20Santa%20M&#244;nica%20-%20Bonsucesso&amp;search_type=keyword_unordered&amp;media_type=all" TargetMode="External"/><Relationship Id="rId550" Type="http://schemas.openxmlformats.org/officeDocument/2006/relationships/hyperlink" Target="https://www.facebook.com/ads/library/?active_status=active&amp;ad_type=all&amp;country=ALL&amp;q=Col&#233;gio%20Cebama&amp;search_type=keyword_unordered&amp;media_type=all" TargetMode="External"/><Relationship Id="rId551" Type="http://schemas.openxmlformats.org/officeDocument/2006/relationships/hyperlink" Target="https://l.facebook.com/l.php?u=https%3A%2F%2Fapi.whatsapp.com%2Fsend%3Ffbclid%3DIwcGRvZgFleHRuA2FlbQIxMABicmlkETFXNzlsVXpoUDVDNVVuakFSc3J0YwZhcHBfaWQPNTQxNjM5NDkzODg5MDI1AAEeomo5_C6J2q3cxfNXzkZroM0VILYhv9g6P2DO5yVgnfUBZbvhqs3M9JiYyF0_aem_ufln1sjNgmn5B-KCb" TargetMode="External"/><Relationship Id="rId552" Type="http://schemas.openxmlformats.org/officeDocument/2006/relationships/hyperlink" Target="https://www.facebook.com/ads/library/?active_status=active&amp;ad_type=all&amp;country=ALL&amp;q=Col&#233;gio%20Santa%20M&#244;nica%20-%20S&#227;o%20Gon&#231;alo&amp;search_type=keyword_unordered&amp;media_type=all" TargetMode="External"/><Relationship Id="rId553" Type="http://schemas.openxmlformats.org/officeDocument/2006/relationships/hyperlink" Target="https://www.facebook.com/ads/library/?active_status=active&amp;ad_type=all&amp;country=ALL&amp;q=Sistema%20Maxi%20de%20Ensino&amp;search_type=keyword_unordered&amp;media_type=all" TargetMode="External"/><Relationship Id="rId554" Type="http://schemas.openxmlformats.org/officeDocument/2006/relationships/hyperlink" Target="https://l.facebook.com/l.php?u=https%3A%2F%2Fconteudos.sistemamaxi.com.br%2Fsistema-maxi-lp-lm-converse-com-especialista%3Futm_source%3D%257B%257Bsite_source_name%257D%257D%26utm_medium%3Dcpc%26utm_campaign%3DAC_MAXI_CP4_Institucional_Cadastro_Fundo_ABO%2" TargetMode="External"/><Relationship Id="rId555" Type="http://schemas.openxmlformats.org/officeDocument/2006/relationships/hyperlink" Target="https://www.facebook.com/ads/library/?active_status=active&amp;ad_type=all&amp;country=ALL&amp;q=Col&#233;gio%20Americano%20Guarapari&amp;search_type=keyword_unordered&amp;media_type=all" TargetMode="External"/><Relationship Id="rId556" Type="http://schemas.openxmlformats.org/officeDocument/2006/relationships/hyperlink" Target="https://l.facebook.com/l.php?u=https%3A%2F%2Famericanoguarapari.doctum.edu.br%2F%3Ffbclid%3DIwcGRvZgFleHRuA2FlbQIxMABicmlkETFXNzlsVXpoUDVDNVVuakFSc3J0YwZhcHBfaWQPNTQxNjM5NDkzODg5MDI1AAEef2Ay9JH-w62yBzipAYnGYPW8DpiIbNWtsD3FV7TbiynhJrf2FJ-gR6gVWdQ_aem_Pkwti" TargetMode="External"/><Relationship Id="rId557" Type="http://schemas.openxmlformats.org/officeDocument/2006/relationships/hyperlink" Target="https://www.facebook.com/ads/library/?active_status=active&amp;ad_type=all&amp;country=ALL&amp;q=Col&#233;gio%20Americano%20Laranjeiras&amp;search_type=keyword_unordered&amp;media_type=all" TargetMode="External"/><Relationship Id="rId558" Type="http://schemas.openxmlformats.org/officeDocument/2006/relationships/hyperlink" Target="https://l.facebook.com/l.php?u=https%3A%2F%2Famericanoserra.doctum.edu.br%2F%3Ffbclid%3DIwcGRvZgFleHRuA2FlbQIxMABicmlkETFXNzlsVXpoUDVDNVVuakFSc3J0YwZhcHBfaWQPNTQxNjM5NDkzODg5MDI1AAEeomo5_C6J2q3cxfNXzkZroM0VILYhv9g6P2DO5yVgnfUBZbvhqs3M9JiYyF0_aem_ufln1sjNg" TargetMode="External"/><Relationship Id="rId559" Type="http://schemas.openxmlformats.org/officeDocument/2006/relationships/hyperlink" Target="https://www.facebook.com/ads/library/?active_status=active&amp;ad_type=all&amp;country=ALL&amp;q=Maple%20Bear%20Brasil&amp;search_type=keyword_unordered&amp;media_type=all" TargetMode="External"/><Relationship Id="rId560" Type="http://schemas.openxmlformats.org/officeDocument/2006/relationships/hyperlink" Target="https://l.facebook.com/l.php?u=http%3A%2F%2Ffb.me%2F&amp;h=AUCSvaiFYluCrwvUX96TO9ecJ379v9Bsu66JouQzAu7aUUZDyeYE9b8QMV6oarun2-207rbUBmWF7jqojuL7PdZPXWszSHGGccjzxqyzQ9B_fsJy8oVGZ0dgxqdbH3vhl2zeEKW5H_c" TargetMode="External"/><Relationship Id="rId561" Type="http://schemas.openxmlformats.org/officeDocument/2006/relationships/hyperlink" Target="https://www.facebook.com/ads/library/?active_status=active&amp;ad_type=all&amp;country=ALL&amp;q=Maple%20Bear%20Brasil&amp;search_type=keyword_unordered&amp;media_type=all" TargetMode="External"/><Relationship Id="rId562" Type="http://schemas.openxmlformats.org/officeDocument/2006/relationships/hyperlink" Target="https://l.facebook.com/l.php?u=http%3A%2F%2Ffb.me%2F&amp;h=AUCSvaiFYluCrwvUX96TO9ecJ379v9Bsu66JouQzAu7aUUZDyeYE9b8QMV6oarun2-207rbUBmWF7jqojuL7PdZPXWszSHGGccjzxqyzQ9B_fsJy8oVGZ0dgxqdbH3vhl2zeEKW5H_c" TargetMode="External"/><Relationship Id="rId563" Type="http://schemas.openxmlformats.org/officeDocument/2006/relationships/hyperlink" Target="https://www.facebook.com/ads/library/?active_status=active&amp;ad_type=all&amp;country=ALL&amp;q=Kit%20Tarefinha%20L&#250;dica&amp;search_type=keyword_unordered&amp;media_type=all" TargetMode="External"/><Relationship Id="rId564" Type="http://schemas.openxmlformats.org/officeDocument/2006/relationships/hyperlink" Target="https://l.facebook.com/l.php?u=https%3A%2F%2Fkittarefinhaludica.com.br%2FRECURSOSFLUENCIA%3Ffbclid%3DIwcGRvZgFleHRuA2FlbQIxMABicmlkETFXNzlsVXpoUDVDNVVuakFSc3J0YwZhcHBfaWQPNTQxNjM5NDkzODg5MDI1AAEefnH1UbdwofpdI_CiMiZqSVSkG-E51GXidOepqY31qSthTm9SFWcX8r87ZdM_" TargetMode="External"/><Relationship Id="rId565" Type="http://schemas.openxmlformats.org/officeDocument/2006/relationships/hyperlink" Target="https://www.facebook.com/ads/library/?active_status=active&amp;ad_type=all&amp;country=ALL&amp;q=EadUnicv&amp;search_type=keyword_unordered&amp;media_type=all" TargetMode="External"/><Relationship Id="rId566" Type="http://schemas.openxmlformats.org/officeDocument/2006/relationships/hyperlink" Target="https://l.facebook.com/l.php?u=https%3A%2F%2Funicvedu.com.br%2Ftecnico-para-tecnologo%2F%3Ffbclid%3DIwcGRvZgFleHRuA2FlbQIxMABicmlkETFXNzlsVXpoUDVDNVVuakFSc3J0YwZhcHBfaWQPNTQxNjM5NDkzODg5MDI1AAEe6-lGHam-0fdkKTskoHoSKGSmqNV9VvipHgVFi62EM8HQmWSe7Dfh30LV9E4_a" TargetMode="External"/><Relationship Id="rId567" Type="http://schemas.openxmlformats.org/officeDocument/2006/relationships/hyperlink" Target="https://www.facebook.com/ads/library/?active_status=active&amp;ad_type=all&amp;country=ALL&amp;q=SESI%20Amazonas&amp;search_type=keyword_unordered&amp;media_type=all" TargetMode="External"/><Relationship Id="rId568" Type="http://schemas.openxmlformats.org/officeDocument/2006/relationships/hyperlink" Target="https://l.facebook.com/l.php?u=https%3A%2F%2Fforms.cloud.microsoft%2Fpages%2Fresponsepage.aspx%3Fid%3Dq0LpbeZpYEqaqYUXBxnIC04tOhEtGZhLkHOSagzAQZpUNEdWTEFGWDExSzFIUExLUDZLR1IyMUNDQi4u%26origin%3DlprLink%26route%3Dshorturl%26fbclid%3DIwcGRvZgFleHRuA2FlbQIxM" TargetMode="External"/><Relationship Id="rId569" Type="http://schemas.openxmlformats.org/officeDocument/2006/relationships/hyperlink" Target="https://www.facebook.com/ads/library/?active_status=active&amp;ad_type=all&amp;country=ALL&amp;q=Companhia%20na%20Educa&#231;&#227;o&amp;search_type=keyword_unordered&amp;media_type=all" TargetMode="External"/><Relationship Id="rId570" Type="http://schemas.openxmlformats.org/officeDocument/2006/relationships/hyperlink" Target="https://l.facebook.com/l.php?u=http%3A%2F%2Ftinyurl.com%2Fpnld26%3Ffbclid%3DIwcGRvZgFleHRuA2FlbQIxMABicmlkETFXNzlsVXpoUDVDNVVuakFSc3J0YwZhcHBfaWQPNTQxNjM5NDkzODg5MDI1AAEemiG7ZJSZpG9eI9fq5mE7SXnRpY_yuEiuCxv85peaXE2F7vnxtjwNXuT-oUQ_aem_8O1Am_K_CRhxY_Kqmi8Gl" TargetMode="External"/><Relationship Id="rId571" Type="http://schemas.openxmlformats.org/officeDocument/2006/relationships/hyperlink" Target="https://www.facebook.com/ads/library/?active_status=active&amp;ad_type=all&amp;country=ALL&amp;q=Maple%20Bear%20Guarulhos&amp;search_type=keyword_unordered&amp;media_type=all" TargetMode="External"/><Relationship Id="rId572" Type="http://schemas.openxmlformats.org/officeDocument/2006/relationships/hyperlink" Target="https://api.whatsapp.com/send" TargetMode="External"/><Relationship Id="rId573" Type="http://schemas.openxmlformats.org/officeDocument/2006/relationships/hyperlink" Target="https://www.facebook.com/ads/library/?active_status=active&amp;ad_type=all&amp;country=ALL&amp;q=Educomunica&#231;&#227;o&amp;search_type=keyword_unordered&amp;media_type=all" TargetMode="External"/><Relationship Id="rId574" Type="http://schemas.openxmlformats.org/officeDocument/2006/relationships/hyperlink" Target="https://l.facebook.com/l.php?u=https%3A%2F%2Feducomunicacao.ead.guru%2F%3Ffbclid%3DIwcGRvZgFleHRuA2FlbQIxMABicmlkETFXNzlsVXpoUDVDNVVuakFSc3J0YwZhcHBfaWQPNTQxNjM5NDkzODg5MDI1AAEefbFGDO-zrlIqJQIlM89BJn9ihvjEznXMXNSN5_rYbXTZcEwyAe3CyzX9PY4_aem_CQ8R76th59r1hQ" TargetMode="External"/><Relationship Id="rId575" Type="http://schemas.openxmlformats.org/officeDocument/2006/relationships/hyperlink" Target="https://www.facebook.com/ads/library/?active_status=active&amp;ad_type=all&amp;country=ALL&amp;q=Educomunica&#231;&#227;o&amp;search_type=keyword_unordered&amp;media_type=all" TargetMode="External"/><Relationship Id="rId576" Type="http://schemas.openxmlformats.org/officeDocument/2006/relationships/hyperlink" Target="https://l.facebook.com/l.php?u=https%3A%2F%2Feducomunicacao.ead.guru%2F%3Ffbclid%3DIwcGRvZgFleHRuA2FlbQIxMABicmlkETFXNzlsVXpoUDVDNVVuakFSc3J0YwZhcHBfaWQPNTQxNjM5NDkzODg5MDI1AAEefbFGDO-zrlIqJQIlM89BJn9ihvjEznXMXNSN5_rYbXTZcEwyAe3CyzX9PY4_aem_CQ8R76th59r1hQ" TargetMode="External"/><Relationship Id="rId577" Type="http://schemas.openxmlformats.org/officeDocument/2006/relationships/hyperlink" Target="https://www.facebook.com/ads/library/?active_status=active&amp;ad_type=all&amp;country=ALL&amp;q=Objetivo%20de%20Atibaia&amp;search_type=keyword_unordered&amp;media_type=all" TargetMode="External"/><Relationship Id="rId578" Type="http://schemas.openxmlformats.org/officeDocument/2006/relationships/hyperlink" Target="https://l.facebook.com/l.php?u=http%3A%2F%2Finstagram.com%2Fobjetivoatibaia%3Ffbclid%3DIwcGRvZgFleHRuA2FlbQIxMABicmlkETFXNzlsVXpoUDVDNVVuakFSc3J0YwZhcHBfaWQPNTQxNjM5NDkzODg5MDI1AAEefnH1UbdwofpdI_CiMiZqSVSkG-E51GXidOepqY31qSthTm9SFWcX8r87ZdM_aem_92EA8pIARN" TargetMode="External"/><Relationship Id="rId579" Type="http://schemas.openxmlformats.org/officeDocument/2006/relationships/hyperlink" Target="https://www.facebook.com/ads/library/?active_status=active&amp;ad_type=all&amp;country=ALL&amp;q=Julifadel&amp;search_type=keyword_unordered&amp;media_type=all" TargetMode="External"/><Relationship Id="rId580" Type="http://schemas.openxmlformats.org/officeDocument/2006/relationships/hyperlink" Target="https://l.facebook.com/l.php?u=http%3A%2F%2Finstagram.com%2Fjulifadel%3Ffbclid%3DIwcGRvZgFleHRuA2FlbQIxMABicmlkETFXNzlsVXpoUDVDNVVuakFSc3J0YwZhcHBfaWQPNTQxNjM5NDkzODg5MDI1AAEe6-lGHam-0fdkKTskoHoSKGSmqNV9VvipHgVFi62EM8HQmWSe7Dfh30LV9E4_aem_jPsRlTWOrr4GIBSA" TargetMode="External"/><Relationship Id="rId581" Type="http://schemas.openxmlformats.org/officeDocument/2006/relationships/hyperlink" Target="https://www.facebook.com/ads/library/?active_status=active&amp;ad_type=all&amp;country=ALL&amp;q=Sistema%20Degraus%20de%20Ensino&amp;search_type=keyword_unordered&amp;media_type=all" TargetMode="External"/><Relationship Id="rId582" Type="http://schemas.openxmlformats.org/officeDocument/2006/relationships/hyperlink" Target="https://l.facebook.com/l.php?u=http%3A%2F%2Finstagram.com%2Fsistemadegraus%3Ffbclid%3DIwcGRvZgFleHRuA2FlbQIxMABicmlkETFXNzlsVXpoUDVDNVVuakFSc3J0YwZhcHBfaWQPNTQxNjM5NDkzODg5MDI1AAEeIbNyWNnqt2-4raZja4sSumcYQpNwnkV8H12szpx0xM1nhqpZ-pH7bYS1Jwo_aem_kq6TAF2G9pP" TargetMode="External"/><Relationship Id="rId583" Type="http://schemas.openxmlformats.org/officeDocument/2006/relationships/hyperlink" Target="https://www.facebook.com/ads/library/?active_status=active&amp;ad_type=all&amp;country=ALL&amp;q=Funda&#231;&#227;o%20Tide%20Setubal&amp;search_type=keyword_unordered&amp;media_type=all" TargetMode="External"/><Relationship Id="rId584" Type="http://schemas.openxmlformats.org/officeDocument/2006/relationships/hyperlink" Target="https://scontent.ffor7-1.fna.fbcdn.net/o1/v/t2/f2/m412/AQOqhric1Nw7ld2csrmXD48YaNOabCN5lWpI63uaLLh2yyOjMVKk1kMVra6snm8vYvGGAGZmaKNqrlUBZtdJjJaEdHd2DINL7j09jzaNBw.mp4?_nc_cat=109&amp;_nc_oc=AdoBWzCJV7JcDBO_-5VpTs6-gjSxkjt8NOqA_7xB7OdK-P6ShvFZu2uNQJw5bOzSWOI&amp;_n" TargetMode="External"/><Relationship Id="rId585" Type="http://schemas.openxmlformats.org/officeDocument/2006/relationships/hyperlink" Target="https://www.facebook.com/ads/library/?active_status=active&amp;ad_type=all&amp;country=ALL&amp;q=EAD%20Pleno%20S&#227;o%20Lu&#237;s&amp;search_type=keyword_unordered&amp;media_type=all" TargetMode="External"/><Relationship Id="rId586" Type="http://schemas.openxmlformats.org/officeDocument/2006/relationships/hyperlink" Target="https://l.facebook.com/l.php?u=https%3A%2F%2Fwww.poseadsaoluis.com.br%2Fcurso%2Fpos-educacao-infantil-abordagem-reggio-emilia-ead%2F%3Ffbclid%3DIwcGRvZgFleHRuA2FlbQIxMABicmlkETFXNzlsVXpoUDVDNVVuakFSc3J0YwZhcHBfaWQPNTQxNjM5NDkzODg5MDI1AAEe6-lGHam-0fdkKTsko" TargetMode="External"/><Relationship Id="rId587" Type="http://schemas.openxmlformats.org/officeDocument/2006/relationships/hyperlink" Target="https://www.facebook.com/ads/library/?active_status=active&amp;ad_type=all&amp;country=ALL&amp;q=Prof%20&#186;%20Jaqueline&amp;search_type=keyword_unordered&amp;media_type=all" TargetMode="External"/><Relationship Id="rId588" Type="http://schemas.openxmlformats.org/officeDocument/2006/relationships/hyperlink" Target="https://api.whatsapp.com/send" TargetMode="External"/><Relationship Id="rId589" Type="http://schemas.openxmlformats.org/officeDocument/2006/relationships/hyperlink" Target="https://www.facebook.com/ads/library/?active_status=active&amp;ad_type=all&amp;country=ALL&amp;q=Julifadel&amp;search_type=keyword_unordered&amp;media_type=all" TargetMode="External"/><Relationship Id="rId590" Type="http://schemas.openxmlformats.org/officeDocument/2006/relationships/hyperlink" Target="https://l.facebook.com/l.php?u=http%3A%2F%2Finstagram.com%2Fjulifadel%3Ffbclid%3DIwcGRvZgFleHRuA2FlbQIxMABicmlkETFXNzlsVXpoUDVDNVVuakFSc3J0YwZhcHBfaWQPNTQxNjM5NDkzODg5MDI1AAEeomo5_C6J2q3cxfNXzkZroM0VILYhv9g6P2DO5yVgnfUBZbvhqs3M9JiYyF0_aem_ufln1sjNgmn5B-KC" TargetMode="External"/><Relationship Id="rId591" Type="http://schemas.openxmlformats.org/officeDocument/2006/relationships/hyperlink" Target="https://www.facebook.com/ads/library/?active_status=active&amp;ad_type=all&amp;country=ALL&amp;q=EPEI%20Nossa%20Senhora%20Aparecida&amp;search_type=keyword_unordered&amp;media_type=all" TargetMode="External"/><Relationship Id="rId592" Type="http://schemas.openxmlformats.org/officeDocument/2006/relationships/hyperlink" Target="https://l.facebook.com/l.php?u=http%3A%2F%2Finstagram.com%2Fescolanossasenhoraparecida%3Ffbclid%3DIwcGRvZgFleHRuA2FlbQIxMABicmlkETFXNzlsVXpoUDVDNVVuakFSc3J0YwZhcHBfaWQPNTQxNjM5NDkzODg5MDI1AAEef2Ay9JH-w62yBzipAYnGYPW8DpiIbNWtsD3FV7TbiynhJrf2FJ-gR6gVWdQ_aem" TargetMode="External"/><Relationship Id="rId593" Type="http://schemas.openxmlformats.org/officeDocument/2006/relationships/hyperlink" Target="https://www.facebook.com/ads/library/?active_status=active&amp;ad_type=all&amp;country=ALL&amp;q=%20%20%20%20Prof.%20Jaci%20Recursos%20Pedag&#243;gicos&amp;search_type=keyword_unordered&amp;media_type=all" TargetMode="External"/><Relationship Id="rId594" Type="http://schemas.openxmlformats.org/officeDocument/2006/relationships/hyperlink" Target="https://api.whatsapp.com/send" TargetMode="External"/><Relationship Id="rId595" Type="http://schemas.openxmlformats.org/officeDocument/2006/relationships/hyperlink" Target="https://www.facebook.com/ads/library/?active_status=active&amp;ad_type=all&amp;country=ALL&amp;q=Prof&#170;%20Karina%20Tarefinhas&amp;search_type=keyword_unordered&amp;media_type=all" TargetMode="External"/><Relationship Id="rId596" Type="http://schemas.openxmlformats.org/officeDocument/2006/relationships/hyperlink" Target="https://api.whatsapp.com/send" TargetMode="External"/><Relationship Id="rId597" Type="http://schemas.openxmlformats.org/officeDocument/2006/relationships/hyperlink" Target="https://www.facebook.com/ads/library/?active_status=active&amp;ad_type=all&amp;country=ALL&amp;q=Instituto%20Preparat&#243;rio%20para%20Professores&amp;search_type=keyword_unordered&amp;media_type=all" TargetMode="External"/><Relationship Id="rId598" Type="http://schemas.openxmlformats.org/officeDocument/2006/relationships/hyperlink" Target="https://l.facebook.com/l.php?u=http%3A%2F%2Finstagram.com%2Finstituto.preparatorio%3Ffbclid%3DIwcGRvZgFleHRuA2FlbQIxMABicmlkETFXNzlsVXpoUDVDNVVuakFSc3J0YwZhcHBfaWQPNTQxNjM5NDkzODg5MDI1AAEemiG7ZJSZpG9eI9fq5mE7SXnRpY_yuEiuCxv85peaXE2F7vnxtjwNXuT-oUQ_aem_8O1" TargetMode="External"/><Relationship Id="rId599" Type="http://schemas.openxmlformats.org/officeDocument/2006/relationships/hyperlink" Target="https://www.facebook.com/ads/library/?active_status=active&amp;ad_type=all&amp;country=ALL&amp;q=Pallotti%20-%20Col&#233;gio%20Ant&#244;nio%20Alves%20Ramos&amp;search_type=keyword_unordered&amp;media_type=all" TargetMode="External"/><Relationship Id="rId600" Type="http://schemas.openxmlformats.org/officeDocument/2006/relationships/hyperlink" Target="https://l.facebook.com/l.php?u=http%3A%2F%2Finstagram.com%2Fcolegiopallottism%3Ffbclid%3DIwcGRvZgFleHRuA2FlbQIxMABicmlkETFXNzlsVXpoUDVDNVVuakFSc3J0YwZhcHBfaWQPNTQxNjM5NDkzODg5MDI1AAEef2Ay9JH-w62yBzipAYnGYPW8DpiIbNWtsD3FV7TbiynhJrf2FJ-gR6gVWdQ_aem_PkwtiNv2" TargetMode="External"/><Relationship Id="rId601" Type="http://schemas.openxmlformats.org/officeDocument/2006/relationships/hyperlink" Target="https://www.facebook.com/ads/library/?active_status=active&amp;ad_type=all&amp;country=ALL&amp;q=%20%20%20%20Prof.%20Jaci%20Recursos%20Pedag&#243;gicos&amp;search_type=keyword_unordered&amp;media_type=all" TargetMode="External"/><Relationship Id="rId602" Type="http://schemas.openxmlformats.org/officeDocument/2006/relationships/hyperlink" Target="https://api.whatsapp.com/send" TargetMode="External"/><Relationship Id="rId603" Type="http://schemas.openxmlformats.org/officeDocument/2006/relationships/hyperlink" Target="https://www.facebook.com/ads/library/?active_status=active&amp;ad_type=all&amp;country=ALL&amp;q=%20%20%20%20Prof.%20Jaci%20Recursos%20Pedag&#243;gicos&amp;search_type=keyword_unordered&amp;media_type=all" TargetMode="External"/><Relationship Id="rId604" Type="http://schemas.openxmlformats.org/officeDocument/2006/relationships/hyperlink" Target="https://api.whatsapp.com/send" TargetMode="External"/><Relationship Id="rId605" Type="http://schemas.openxmlformats.org/officeDocument/2006/relationships/hyperlink" Target="https://www.facebook.com/ads/library/?active_status=active&amp;ad_type=all&amp;country=ALL&amp;q=%20%20%20%20Prof.%20Jaci%20Recursos%20Pedag&#243;gicos&amp;search_type=keyword_unordered&amp;media_type=all" TargetMode="External"/><Relationship Id="rId606" Type="http://schemas.openxmlformats.org/officeDocument/2006/relationships/hyperlink" Target="https://api.whatsapp.com/send" TargetMode="External"/><Relationship Id="rId607" Type="http://schemas.openxmlformats.org/officeDocument/2006/relationships/hyperlink" Target="https://www.facebook.com/ads/library/?active_status=active&amp;ad_type=all&amp;country=ALL&amp;q=The%20Joy%20School%20Eloy%20Chaves&amp;search_type=keyword_unordered&amp;media_type=all" TargetMode="External"/><Relationship Id="rId608" Type="http://schemas.openxmlformats.org/officeDocument/2006/relationships/hyperlink" Target="https://api.whatsapp.com/send" TargetMode="External"/><Relationship Id="rId609" Type="http://schemas.openxmlformats.org/officeDocument/2006/relationships/hyperlink" Target="https://www.facebook.com/ads/library/?active_status=active&amp;ad_type=all&amp;country=ALL&amp;q=jeitoprofessoradeser&amp;search_type=keyword_unordered&amp;media_type=all" TargetMode="External"/><Relationship Id="rId610" Type="http://schemas.openxmlformats.org/officeDocument/2006/relationships/hyperlink" Target="https://l.facebook.com/l.php?u=https%3A%2F%2Fjeitoprofessoradeser.com.br%2Fproduct%2Frotina%2F%3Ffbclid%3DIwcGRvZgFleHRuA2FlbQIxMABicmlkETFXNzlsVXpoUDVDNVVuakFSc3J0YwZhcHBfaWQPNTQxNjM5NDkzODg5MDI1AAEe6-lGHam-0fdkKTskoHoSKGSmqNV9VvipHgVFi62EM8HQmWSe7Dfh30L" TargetMode="External"/><Relationship Id="rId611" Type="http://schemas.openxmlformats.org/officeDocument/2006/relationships/hyperlink" Target="https://www.facebook.com/ads/library/?active_status=active&amp;ad_type=all&amp;country=ALL&amp;q=Prime%20Cursos&amp;search_type=keyword_unordered&amp;media_type=all" TargetMode="External"/><Relationship Id="rId612" Type="http://schemas.openxmlformats.org/officeDocument/2006/relationships/hyperlink" Target="https://l.facebook.com/l.php?u=https%3A%2F%2Fwww.primecursos.com.br%2Fbusca%2F%3Ftermo%3DCreche%26search-button%3D%26fbclid%3DIwcGRvZgFleHRuA2FlbQIxMABicmlkETFXNzlsVXpoUDVDNVVuakFSc3J0YwZhcHBfaWQPNTQxNjM5NDkzODg5MDI1AAEeo6JyMjm1XPgMuTrdSlDmfT6YyerozLW2goY" TargetMode="External"/><Relationship Id="rId613" Type="http://schemas.openxmlformats.org/officeDocument/2006/relationships/hyperlink" Target="https://www.facebook.com/ads/library/?active_status=active&amp;ad_type=all&amp;country=ALL&amp;q=CEI%20Pequeno%20Anjo&amp;search_type=keyword_unordered&amp;media_type=all" TargetMode="External"/><Relationship Id="rId614" Type="http://schemas.openxmlformats.org/officeDocument/2006/relationships/hyperlink" Target="https://api.whatsapp.com/send" TargetMode="External"/><Relationship Id="rId615" Type="http://schemas.openxmlformats.org/officeDocument/2006/relationships/hyperlink" Target="https://www.facebook.com/ads/library/?active_status=active&amp;ad_type=all&amp;country=ALL&amp;q=Col&#233;gio%20Movhi&amp;search_type=keyword_unordered&amp;media_type=all" TargetMode="External"/><Relationship Id="rId616" Type="http://schemas.openxmlformats.org/officeDocument/2006/relationships/hyperlink" Target="https://l.facebook.com/l.php?u=https%3A%2F%2Fmateriais.colegiomovhi.com.br%2Fmatriculas-2026-educacao-infantil%3Ffbclid%3DIwcGRvZgFleHRuA2FlbQIxMABicmlkETFXNzlsVXpoUDVDNVVuakFSc3J0YwZhcHBfaWQPNTQxNjM5NDkzODg5MDI1AAEeo6JyMjm1XPgMuTrdSlDmfT6YyerozLW2goY7wbM" TargetMode="External"/><Relationship Id="rId617" Type="http://schemas.openxmlformats.org/officeDocument/2006/relationships/hyperlink" Target="https://www.facebook.com/ads/library/?active_status=active&amp;ad_type=all&amp;country=ALL&amp;q=Cultura%20Inglesa%20Bilingual%20School&amp;search_type=keyword_unordered&amp;media_type=all" TargetMode="External"/><Relationship Id="rId618" Type="http://schemas.openxmlformats.org/officeDocument/2006/relationships/hyperlink" Target="https://facebook.com/61590998430435" TargetMode="External"/><Relationship Id="rId619" Type="http://schemas.openxmlformats.org/officeDocument/2006/relationships/hyperlink" Target="https://www.facebook.com/ads/library/?active_status=active&amp;ad_type=all&amp;country=ALL&amp;q=Cultura%20Inglesa%20Bilingual%20School&amp;search_type=keyword_unordered&amp;media_type=all" TargetMode="External"/><Relationship Id="rId620" Type="http://schemas.openxmlformats.org/officeDocument/2006/relationships/hyperlink" Target="https://facebook.com/61590998430435" TargetMode="External"/><Relationship Id="rId621" Type="http://schemas.openxmlformats.org/officeDocument/2006/relationships/hyperlink" Target="https://www.facebook.com/ads/library/?active_status=active&amp;ad_type=all&amp;country=ALL&amp;q=Red%20Balloon%20Escola%20de%20Ingl&#234;s&amp;search_type=keyword_unordered&amp;media_type=all" TargetMode="External"/><Relationship Id="rId622" Type="http://schemas.openxmlformats.org/officeDocument/2006/relationships/hyperlink" Target="https://l.facebook.com/l.php?u=http%3A%2F%2Ffb.me%2F&amp;h=AUCSvaiFYluCrwvUX96TO9ecJ379v9Bsu66JouQzAu7aUUZDyeYE9b8QMV6oarun2-207rbUBmWF7jqojuL7PdZPXWszSHGGccjzxqyzQ9B_fsJy8oVGZ0dgxqdbH3vhl2zeEKW5H_c" TargetMode="External"/><Relationship Id="rId623" Type="http://schemas.openxmlformats.org/officeDocument/2006/relationships/hyperlink" Target="https://www.facebook.com/ads/library/?active_status=active&amp;ad_type=all&amp;country=ALL&amp;q=RosaeAzul01&amp;search_type=keyword_unordered&amp;media_type=all" TargetMode="External"/><Relationship Id="rId624" Type="http://schemas.openxmlformats.org/officeDocument/2006/relationships/hyperlink" Target="https://api.whatsapp.com/send" TargetMode="External"/><Relationship Id="rId625" Type="http://schemas.openxmlformats.org/officeDocument/2006/relationships/hyperlink" Target="https://www.facebook.com/ads/library/?active_status=active&amp;ad_type=all&amp;country=ALL&amp;q=Col&#233;gio%20Tutor&amp;search_type=keyword_unordered&amp;media_type=all" TargetMode="External"/><Relationship Id="rId626" Type="http://schemas.openxmlformats.org/officeDocument/2006/relationships/hyperlink" Target="https://l.facebook.com/l.php?u=https%3A%2F%2Fmatriculas26.colegiotutor.com.br%2Ftutor-educacao-infantil%3Futm_source%3Dfacebook%26utm_medium%3Dcpc%26utm_campaign%3Dmontessori%26fbclid%3DIwcGRvZgFleHRuA2FlbQIxMABicmlkETFXNzlsVXpoUDVDNVVuakFSc3J0YwZhcHBfaWQ" TargetMode="External"/><Relationship Id="rId627" Type="http://schemas.openxmlformats.org/officeDocument/2006/relationships/hyperlink" Target="https://www.facebook.com/ads/library/?active_status=active&amp;ad_type=all&amp;country=ALL&amp;q=Educare%20Cursos%20Online&amp;search_type=keyword_unordered&amp;media_type=all" TargetMode="External"/><Relationship Id="rId628" Type="http://schemas.openxmlformats.org/officeDocument/2006/relationships/hyperlink" Target="https://l.facebook.com/l.php?u=https%3A%2F%2Fmaterialgratis.educarepedagogia.com.br%2Faee-47-90-otimizado-dez-2025%3Fsrc%3D%26utm_source%3D%257B%257Bplacement%257D%257D%26utm_medium%3D%257B%257Badset.name%257D%257D%26utm_content%3D%257B%257Bad.name%257D%2" TargetMode="External"/><Relationship Id="rId629" Type="http://schemas.openxmlformats.org/officeDocument/2006/relationships/hyperlink" Target="https://www.facebook.com/ads/library/?active_status=active&amp;ad_type=all&amp;country=ALL&amp;q=Matr&#237;culas%20Faveni&amp;search_type=keyword_unordered&amp;media_type=all" TargetMode="External"/><Relationship Id="rId630" Type="http://schemas.openxmlformats.org/officeDocument/2006/relationships/hyperlink" Target="https://api.whatsapp.com/send" TargetMode="External"/><Relationship Id="rId631" Type="http://schemas.openxmlformats.org/officeDocument/2006/relationships/hyperlink" Target="https://www.facebook.com/ads/library/?active_status=active&amp;ad_type=all&amp;country=ALL&amp;q=Ensinar%20e%20Transformar&amp;search_type=keyword_unordered&amp;media_type=all" TargetMode="External"/><Relationship Id="rId632" Type="http://schemas.openxmlformats.org/officeDocument/2006/relationships/hyperlink" Target="https://l.facebook.com/l.php?u=https%3A%2F%2Fensinaretransformar.com.br%2Fditados-que-fazem-pensar%2Fpv%3Ffbclid%3DIwcGRvZgFleHRuA2FlbQIxMABicmlkETFXNzlsVXpoUDVDNVVuakFSc3J0YwZhcHBfaWQPNTQxNjM5NDkzODg5MDI1AAEeH1AJh0vlnF3AlOcgu47q8hasJKuoUFcuVs3sw1Tqc3snFg" TargetMode="External"/><Relationship Id="rId633" Type="http://schemas.openxmlformats.org/officeDocument/2006/relationships/hyperlink" Target="https://www.facebook.com/ads/library/?active_status=active&amp;ad_type=all&amp;country=ALL&amp;q=Prof%20Decorativa&amp;search_type=keyword_unordered&amp;media_type=all" TargetMode="External"/><Relationship Id="rId634" Type="http://schemas.openxmlformats.org/officeDocument/2006/relationships/hyperlink" Target="https://l.facebook.com/l.php?u=https%3A%2F%2Fprofdecorativa.com.br%2Fproduto%2Fdescubra-o-numero%2F%3Ffbclid%3DIwcGRvZgFleHRuA2FlbQIxMABicmlkETFXNzlsVXpoUDVDNVVuakFSc3J0YwZhcHBfaWQPNTQxNjM5NDkzODg5MDI1AAEef2Ay9JH-w62yBzipAYnGYPW8DpiIbNWtsD3FV7TbiynhJrf2FJ" TargetMode="External"/><Relationship Id="rId635" Type="http://schemas.openxmlformats.org/officeDocument/2006/relationships/hyperlink" Target="https://www.facebook.com/ads/library/?active_status=active&amp;ad_type=all&amp;country=ALL&amp;q=Expert%20Kids&amp;search_type=keyword_unordered&amp;media_type=all" TargetMode="External"/><Relationship Id="rId636" Type="http://schemas.openxmlformats.org/officeDocument/2006/relationships/hyperlink" Target="https://l.facebook.com/l.php?u=https%3A%2F%2F50atividades.expertacademypro.com.br%2F%3Ffbclid%3DIwcGRvZgFleHRuA2FlbQIxMABicmlkETFXNzlsVXpoUDVDNVVuakFSc3J0YwZhcHBfaWQPNTQxNjM5NDkzODg5MDI1AAEemiG7ZJSZpG9eI9fq5mE7SXnRpY_yuEiuCxv85peaXE2F7vnxtjwNXuT-oUQ_aem_8" TargetMode="External"/><Relationship Id="rId637" Type="http://schemas.openxmlformats.org/officeDocument/2006/relationships/hyperlink" Target="https://www.facebook.com/ads/library/?active_status=active&amp;ad_type=all&amp;country=ALL&amp;q=FTD%20PNLD&amp;search_type=keyword_unordered&amp;media_type=all" TargetMode="External"/><Relationship Id="rId638" Type="http://schemas.openxmlformats.org/officeDocument/2006/relationships/hyperlink" Target="https://l.facebook.com/l.php?u=https%3A%2F%2Fpnld.ftd.com.br%2Fguia-digital%2Fensino-fundamental-anos-iniciais-2027%2F%3Futm_source%3Dmeta%26utm_medium%3Dcpc%26utm_campaign%3Dpnld_ensino_fundamental_anos_iniciais%26utm_id%3Dreconhecimento%26utm_term%3Dpro" TargetMode="External"/><Relationship Id="rId639" Type="http://schemas.openxmlformats.org/officeDocument/2006/relationships/hyperlink" Target="https://www.facebook.com/ads/library/?active_status=active&amp;ad_type=all&amp;country=ALL&amp;q=FTD%20PNLD&amp;search_type=keyword_unordered&amp;media_type=all" TargetMode="External"/><Relationship Id="rId640" Type="http://schemas.openxmlformats.org/officeDocument/2006/relationships/hyperlink" Target="https://l.facebook.com/l.php?u=https%3A%2F%2Fpnld.ftd.com.br%2Fguia-digital%2Fensino-fundamental-anos-iniciais-2027%2F%3Futm_source%3Dmeta%26utm_medium%3Dcpv%26utm_campaign%3Dpnld_ensino_fundamental_anos_iniciais%26utm_id%3Dreconhecimento%26utm_term%3Dpro" TargetMode="External"/><Relationship Id="rId641" Type="http://schemas.openxmlformats.org/officeDocument/2006/relationships/hyperlink" Target="https://www.facebook.com/ads/library/?active_status=active&amp;ad_type=all&amp;country=ALL&amp;q=Col&#233;gio%20Nova%20Gera&#231;&#227;o&amp;search_type=keyword_unordered&amp;media_type=all" TargetMode="External"/><Relationship Id="rId642" Type="http://schemas.openxmlformats.org/officeDocument/2006/relationships/hyperlink" Target="https://l.facebook.com/l.php?u=https%3A%2F%2Fapi.whatsapp.com%2Fsend%3Ffbclid%3DIwcGRvZgFleHRuA2FlbQIxMABicmlkETFXNzlsVXpoUDVDNVVuakFSc3J0YwZhcHBfaWQPNTQxNjM5NDkzODg5MDI1AAEeo6JyMjm1XPgMuTrdSlDmfT6YyerozLW2goY7wbM4vUwq0i3rwsBPh9wXcW0_aem_Bbd3xtFGd99neFp52" TargetMode="External"/><Relationship Id="rId643" Type="http://schemas.openxmlformats.org/officeDocument/2006/relationships/hyperlink" Target="https://www.facebook.com/ads/library/?active_status=active&amp;ad_type=all&amp;country=ALL&amp;q=Prof%20Juliana%20&amp;search_type=keyword_unordered&amp;media_type=all" TargetMode="External"/><Relationship Id="rId644" Type="http://schemas.openxmlformats.org/officeDocument/2006/relationships/hyperlink" Target="https://api.whatsapp.com/send" TargetMode="External"/><Relationship Id="rId645" Type="http://schemas.openxmlformats.org/officeDocument/2006/relationships/hyperlink" Target="https://www.facebook.com/ads/library/?active_status=active&amp;ad_type=all&amp;country=ALL&amp;q=Jardim%20dos%20Saberes%20D&amp;search_type=keyword_unordered&amp;media_type=all" TargetMode="External"/><Relationship Id="rId646" Type="http://schemas.openxmlformats.org/officeDocument/2006/relationships/hyperlink" Target="https://l.facebook.com/l.php?u=https%3A%2F%2Fmaiaracosta.com.br%2Fproduto%2Fkit-fichas-de-leitura-silabas-simples-e-complexa%2F%3Ffbclid%3DIwcGRvZgFleHRuA2FlbQIxMABicmlkETFXNzlsVXpoUDVDNVVuakFSc3J0YwZhcHBfaWQPNTQxNjM5NDkzODg5MDI1AAEemiG7ZJSZpG9eI9fq5mE7SX" TargetMode="External"/><Relationship Id="rId647" Type="http://schemas.openxmlformats.org/officeDocument/2006/relationships/hyperlink" Target="https://www.facebook.com/ads/library/?active_status=active&amp;ad_type=all&amp;country=ALL&amp;q=Col&#233;gio%20Nossa%20Senhora%20da%20Concei&#231;&#227;o&amp;search_type=keyword_unordered&amp;media_type=all" TargetMode="External"/><Relationship Id="rId648" Type="http://schemas.openxmlformats.org/officeDocument/2006/relationships/hyperlink" Target="https://l.facebook.com/l.php?u=http%3A%2F%2Finstagram.com%2Fcnscsalvador%3Ffbclid%3DIwcGRvZgFleHRuA2FlbQIxMABicmlkETFXNzlsVXpoUDVDNVVuakFSc3J0YwZhcHBfaWQPNTQxNjM5NDkzODg5MDI1AAEef2Ay9JH-w62yBzipAYnGYPW8DpiIbNWtsD3FV7TbiynhJrf2FJ-gR6gVWdQ_aem_PkwtiNv2ICYFU" TargetMode="External"/><Relationship Id="rId649" Type="http://schemas.openxmlformats.org/officeDocument/2006/relationships/hyperlink" Target="https://www.facebook.com/ads/library/?active_status=active&amp;ad_type=all&amp;country=ALL&amp;q=Cultura%20Inglesa%20Bilingual%20School&amp;search_type=keyword_unordered&amp;media_type=all" TargetMode="External"/><Relationship Id="rId650" Type="http://schemas.openxmlformats.org/officeDocument/2006/relationships/hyperlink" Target="https://l.facebook.com/l.php?u=https%3A%2F%2Fwww.culturainglesa.com.br%2Fbilingual-school%3Futm_source%3D%257B%257Bsite_source_name%257D%257D%26utm_medium%3Dpaid%26utm_campaign%3Dgz_meta-ads_paid-social_social_aw_reach_pais-geo_cibs%26utm_content%3Dgenera" TargetMode="External"/><Relationship Id="rId651" Type="http://schemas.openxmlformats.org/officeDocument/2006/relationships/hyperlink" Target="https://www.facebook.com/ads/library/?active_status=active&amp;ad_type=all&amp;country=ALL&amp;q=Amo.alfabetizar&amp;search_type=keyword_unordered&amp;media_type=all" TargetMode="External"/><Relationship Id="rId652" Type="http://schemas.openxmlformats.org/officeDocument/2006/relationships/hyperlink" Target="https://api.whatsapp.com/send" TargetMode="External"/><Relationship Id="rId653" Type="http://schemas.openxmlformats.org/officeDocument/2006/relationships/hyperlink" Target="https://www.facebook.com/ads/library/?active_status=active&amp;ad_type=all&amp;country=ALL&amp;q=Col&#233;gio%2024%20de%20Maio&amp;search_type=keyword_unordered&amp;media_type=all" TargetMode="External"/><Relationship Id="rId654" Type="http://schemas.openxmlformats.org/officeDocument/2006/relationships/hyperlink" Target="https://api.whatsapp.com/send?phone=5511980162718" TargetMode="External"/><Relationship Id="rId655" Type="http://schemas.openxmlformats.org/officeDocument/2006/relationships/hyperlink" Target="https://www.facebook.com/ads/library/?active_status=active&amp;ad_type=all&amp;country=ALL&amp;q=Prof%20&#186;%20Jaqueline&amp;search_type=keyword_unordered&amp;media_type=all" TargetMode="External"/><Relationship Id="rId656" Type="http://schemas.openxmlformats.org/officeDocument/2006/relationships/hyperlink" Target="https://api.whatsapp.com/send" TargetMode="External"/><Relationship Id="rId657" Type="http://schemas.openxmlformats.org/officeDocument/2006/relationships/hyperlink" Target="https://www.facebook.com/ads/library/?active_status=active&amp;ad_type=all&amp;country=ALL&amp;q=Escola%20Op&#231;&#227;o%20Kids&amp;search_type=keyword_unordered&amp;media_type=all" TargetMode="External"/><Relationship Id="rId658" Type="http://schemas.openxmlformats.org/officeDocument/2006/relationships/hyperlink" Target="https://api.whatsapp.com/send" TargetMode="External"/><Relationship Id="rId659" Type="http://schemas.openxmlformats.org/officeDocument/2006/relationships/hyperlink" Target="https://www.facebook.com/ads/library/?active_status=active&amp;ad_type=all&amp;country=ALL&amp;q=Instituto%20Preparat&#243;rio%20para%20Professores&amp;search_type=keyword_unordered&amp;media_type=all" TargetMode="External"/><Relationship Id="rId660" Type="http://schemas.openxmlformats.org/officeDocument/2006/relationships/hyperlink" Target="https://l.facebook.com/l.php?u=https%3A%2F%2Finstitutopreparatorio.com.br%2Fl63-insca%2F%3Ffbclid%3DIwcGRvZgFleHRuA2FlbQIxMABicmlkETFXNzlsVXpoUDVDNVVuakFSc3J0YwZhcHBfaWQPNTQxNjM5NDkzODg5MDI1AAEeo6JyMjm1XPgMuTrdSlDmfT6YyerozLW2goY7wbM4vUwq0i3rwsBPh9wXcW0_a" TargetMode="External"/><Relationship Id="rId661" Type="http://schemas.openxmlformats.org/officeDocument/2006/relationships/hyperlink" Target="https://www.facebook.com/ads/library/?active_status=active&amp;ad_type=all&amp;country=ALL&amp;q=Escola%20Op&#231;&#227;o%20Kids&amp;search_type=keyword_unordered&amp;media_type=all" TargetMode="External"/><Relationship Id="rId662" Type="http://schemas.openxmlformats.org/officeDocument/2006/relationships/hyperlink" Target="https://api.whatsapp.com/send" TargetMode="External"/><Relationship Id="rId663" Type="http://schemas.openxmlformats.org/officeDocument/2006/relationships/hyperlink" Target="https://www.facebook.com/ads/library/?active_status=active&amp;ad_type=all&amp;country=ALL&amp;q=Expert%20Kids&amp;search_type=keyword_unordered&amp;media_type=all" TargetMode="External"/><Relationship Id="rId664" Type="http://schemas.openxmlformats.org/officeDocument/2006/relationships/hyperlink" Target="https://l.facebook.com/l.php?u=https%3A%2F%2F50atividades.expertacademypro.com.br%2F%3Ffbclid%3DIwcGRvZgFleHRuA2FlbQIxMABicmlkETFXNzlsVXpoUDVDNVVuakFSc3J0YwZhcHBfaWQPNTQxNjM5NDkzODg5MDI1AAEeomo5_C6J2q3cxfNXzkZroM0VILYhv9g6P2DO5yVgnfUBZbvhqs3M9JiYyF0_aem_u" TargetMode="External"/><Relationship Id="rId665" Type="http://schemas.openxmlformats.org/officeDocument/2006/relationships/hyperlink" Target="https://www.facebook.com/ads/library/?active_status=active&amp;ad_type=all&amp;country=ALL&amp;q=Escola%20Op&#231;&#227;o%20Kids&amp;search_type=keyword_unordered&amp;media_type=all" TargetMode="External"/><Relationship Id="rId666" Type="http://schemas.openxmlformats.org/officeDocument/2006/relationships/hyperlink" Target="https://api.whatsapp.com/send" TargetMode="External"/><Relationship Id="rId667" Type="http://schemas.openxmlformats.org/officeDocument/2006/relationships/hyperlink" Target="https://www.facebook.com/ads/library/?active_status=active&amp;ad_type=all&amp;country=ALL&amp;q=Bolacha%20Pedag&#243;gica&amp;search_type=keyword_unordered&amp;media_type=all" TargetMode="External"/><Relationship Id="rId668" Type="http://schemas.openxmlformats.org/officeDocument/2006/relationships/hyperlink" Target="https://l.facebook.com/l.php?u=http%3A%2F%2Finstagram.com%2Fbolacha_pedagogica%3Ffbclid%3DIwcGRvZgFleHRuA2FlbQIxMABicmlkETFXNzlsVXpoUDVDNVVuakFSc3J0YwZhcHBfaWQPNTQxNjM5NDkzODg5MDI1AAEeIbNyWNnqt2-4raZja4sSumcYQpNwnkV8H12szpx0xM1nhqpZ-pH7bYS1Jwo_aem_kq6TAF2" TargetMode="External"/><Relationship Id="rId669" Type="http://schemas.openxmlformats.org/officeDocument/2006/relationships/hyperlink" Target="https://www.facebook.com/ads/library/?active_status=active&amp;ad_type=all&amp;country=ALL&amp;q=Criar%20e%20Alfabetizar%20Site&amp;search_type=keyword_unordered&amp;media_type=all" TargetMode="External"/><Relationship Id="rId670" Type="http://schemas.openxmlformats.org/officeDocument/2006/relationships/hyperlink" Target="https://l.facebook.com/l.php?u=https%3A%2F%2Fcriarealfabetizar.com%2Fshop%2Fatividades%2Fficha-do-nome-editavel-com-letra-bastao-pontilhada%2F%3Ffbclid%3DIwcGRvZgFleHRuA2FlbQIxMABicmlkETFXNzlsVXpoUDVDNVVuakFSc3J0YwZhcHBfaWQPNTQxNjM5NDkzODg5MDI1AAEefnH1Ubd" TargetMode="External"/><Relationship Id="rId671" Type="http://schemas.openxmlformats.org/officeDocument/2006/relationships/hyperlink" Target="https://www.facebook.com/ads/library/?active_status=active&amp;ad_type=all&amp;country=ALL&amp;q=Col&#233;gio%20Davina%20Gasparini&amp;search_type=keyword_unordered&amp;media_type=all" TargetMode="External"/><Relationship Id="rId672" Type="http://schemas.openxmlformats.org/officeDocument/2006/relationships/hyperlink" Target="https://l.facebook.com/l.php?u=http%3A%2F%2Finstagram.com%2Fdavinagasparini%3Ffbclid%3DIwcGRvZgFleHRuA2FlbQIxMABicmlkETFXNzlsVXpoUDVDNVVuakFSc3J0YwZhcHBfaWQPNTQxNjM5NDkzODg5MDI1AAEeo6JyMjm1XPgMuTrdSlDmfT6YyerozLW2goY7wbM4vUwq0i3rwsBPh9wXcW0_aem_Bbd3xtFGd9" TargetMode="External"/><Relationship Id="rId673" Type="http://schemas.openxmlformats.org/officeDocument/2006/relationships/hyperlink" Target="https://www.facebook.com/ads/library/?active_status=active&amp;ad_type=all&amp;country=ALL&amp;q=Criar%20e%20Alfabetizar%20Site&amp;search_type=keyword_unordered&amp;media_type=all" TargetMode="External"/><Relationship Id="rId674" Type="http://schemas.openxmlformats.org/officeDocument/2006/relationships/hyperlink" Target="https://l.facebook.com/l.php?u=https%3A%2F%2Fcriarealfabetizar.com%2Fshop%2Fatividades%2Ftirinhas-parlendas-e-cantigas%2F%3Ffbclid%3DIwcGRvZgFleHRuA2FlbQIxMABicmlkETFXNzlsVXpoUDVDNVVuakFSc3J0YwZhcHBfaWQPNTQxNjM5NDkzODg5MDI1AAEe6-lGHam-0fdkKTskoHoSKGSmqNV9" TargetMode="External"/><Relationship Id="rId675" Type="http://schemas.openxmlformats.org/officeDocument/2006/relationships/hyperlink" Target="https://www.facebook.com/ads/library/?active_status=active&amp;ad_type=all&amp;country=ALL&amp;q=Col&#233;gio%20ETAPA&amp;search_type=keyword_unordered&amp;media_type=all" TargetMode="External"/><Relationship Id="rId676" Type="http://schemas.openxmlformats.org/officeDocument/2006/relationships/hyperlink" Target="https://l.facebook.com/l.php?u=https%3A%2F%2Fwww.colegioetapa.com.br%2Fportal%2Fcondicoes-especiais%3Ffbclid%3DIwcGRvZgFleHRuA2FlbQIxMABicmlkETFXNzlsVXpoUDVDNVVuakFSc3J0YwZhcHBfaWQPNTQxNjM5NDkzODg5MDI1AAEeIbNyWNnqt2-4raZja4sSumcYQpNwnkV8H12szpx0xM1nhqpZ-p" TargetMode="External"/><Relationship Id="rId677" Type="http://schemas.openxmlformats.org/officeDocument/2006/relationships/hyperlink" Target="https://www.facebook.com/ads/library/?active_status=active&amp;ad_type=all&amp;country=ALL&amp;q=Irium%20Educa&#231;&#227;o&amp;search_type=keyword_unordered&amp;media_type=all" TargetMode="External"/><Relationship Id="rId678" Type="http://schemas.openxmlformats.org/officeDocument/2006/relationships/hyperlink" Target="https://l.facebook.com/l.php?u=http%3A%2F%2Ffb.me%2F&amp;h=AUCSvaiFYluCrwvUX96TO9ecJ379v9Bsu66JouQzAu7aUUZDyeYE9b8QMV6oarun2-207rbUBmWF7jqojuL7PdZPXWszSHGGccjzxqyzQ9B_fsJy8oVGZ0dgxqdbH3vhl2zeEKW5H_c" TargetMode="External"/><Relationship Id="rId679" Type="http://schemas.openxmlformats.org/officeDocument/2006/relationships/hyperlink" Target="https://www.facebook.com/ads/library/?active_status=active&amp;ad_type=all&amp;country=ALL&amp;q=Poliedro%20Col&#233;gio&amp;search_type=keyword_unordered&amp;media_type=all" TargetMode="External"/><Relationship Id="rId680" Type="http://schemas.openxmlformats.org/officeDocument/2006/relationships/hyperlink" Target="https://l.facebook.com/l.php?u=https%3A%2F%2Fwww.colegiopoliedro.com.br%2Fetapas%2Feducacao-infantil%2F%3Ffbclid%3DIwcGRvZgFleHRuA2FlbQIxMABicmlkETFXNzlsVXpoUDVDNVVuakFSc3J0YwZhcHBfaWQPNTQxNjM5NDkzODg5MDI1AAEemiG7ZJSZpG9eI9fq5mE7SXnRpY_yuEiuCxv85peaXE2F7v" TargetMode="External"/><Relationship Id="rId681" Type="http://schemas.openxmlformats.org/officeDocument/2006/relationships/hyperlink" Target="https://www.facebook.com/ads/library/?active_status=active&amp;ad_type=all&amp;country=ALL&amp;q=Escola%20Colmeia&amp;search_type=keyword_unordered&amp;media_type=all" TargetMode="External"/><Relationship Id="rId682" Type="http://schemas.openxmlformats.org/officeDocument/2006/relationships/hyperlink" Target="https://l.facebook.com/l.php?u=http%3A%2F%2Ffb.me%2F&amp;h=AUCSvaiFYluCrwvUX96TO9ecJ379v9Bsu66JouQzAu7aUUZDyeYE9b8QMV6oarun2-207rbUBmWF7jqojuL7PdZPXWszSHGGccjzxqyzQ9B_fsJy8oVGZ0dgxqdbH3vhl2zeEKW5H_c" TargetMode="External"/><Relationship Id="rId683" Type="http://schemas.openxmlformats.org/officeDocument/2006/relationships/hyperlink" Target="https://www.facebook.com/ads/library/?active_status=active&amp;ad_type=all&amp;country=ALL&amp;q=Escola%20Colmeia&amp;search_type=keyword_unordered&amp;media_type=all" TargetMode="External"/><Relationship Id="rId684" Type="http://schemas.openxmlformats.org/officeDocument/2006/relationships/hyperlink" Target="https://l.facebook.com/l.php?u=http%3A%2F%2Ffb.me%2F&amp;h=AUCSvaiFYluCrwvUX96TO9ecJ379v9Bsu66JouQzAu7aUUZDyeYE9b8QMV6oarun2-207rbUBmWF7jqojuL7PdZPXWszSHGGccjzxqyzQ9B_fsJy8oVGZ0dgxqdbH3vhl2zeEKW5H_c" TargetMode="External"/><Relationship Id="rId685" Type="http://schemas.openxmlformats.org/officeDocument/2006/relationships/hyperlink" Target="https://www.facebook.com/ads/library/?active_status=active&amp;ad_type=all&amp;country=ALL&amp;q=Col&#233;gio%20Dom%20Castello%20Objetivo%20Ourinhos&amp;search_type=keyword_unordered&amp;media_type=all" TargetMode="External"/><Relationship Id="rId686" Type="http://schemas.openxmlformats.org/officeDocument/2006/relationships/hyperlink" Target="https://api.whatsapp.com/send" TargetMode="External"/><Relationship Id="rId687" Type="http://schemas.openxmlformats.org/officeDocument/2006/relationships/hyperlink" Target="https://www.facebook.com/ads/library/?active_status=active&amp;ad_type=all&amp;country=ALL&amp;q=Clube%20Educa&#231;&#227;o%20F&#237;sica&amp;search_type=keyword_unordered&amp;media_type=all" TargetMode="External"/><Relationship Id="rId688" Type="http://schemas.openxmlformats.org/officeDocument/2006/relationships/hyperlink" Target="https://l.facebook.com/l.php?u=https%3A%2F%2Fpay.kiwify.com.br%2FS4017OX%3Ffbclid%3DIwcGRvZgFleHRuA2FlbQIxMABicmlkETFXNzlsVXpoUDVDNVVuakFSc3J0YwZhcHBfaWQPNTQxNjM5NDkzODg5MDI1AAEeo6JyMjm1XPgMuTrdSlDmfT6YyerozLW2goY7wbM4vUwq0i3rwsBPh9wXcW0_aem_Bbd3xtFGd99ne" TargetMode="External"/><Relationship Id="rId689" Type="http://schemas.openxmlformats.org/officeDocument/2006/relationships/hyperlink" Target="https://www.facebook.com/ads/library/?active_status=active&amp;ad_type=all&amp;country=ALL&amp;q=Col&#233;gio%20Cat&#243;lica%20Curitiba&amp;search_type=keyword_unordered&amp;media_type=all" TargetMode="External"/><Relationship Id="rId690" Type="http://schemas.openxmlformats.org/officeDocument/2006/relationships/hyperlink" Target="https://l.facebook.com/l.php?u=https%3A%2F%2Flp.curitiba.catolica.edu.br%2Fmatriculas%2F%3Futm_campaign%3Dcolegio_catolica_curitiba_matriculas_2027%26utm_medium%3Dpost_trafego%26utm_source%3Dpublya_meta%26utm_term%3Dimg_1080x1920%26utm_content%3Dpost_1%26" TargetMode="External"/><Relationship Id="rId691" Type="http://schemas.openxmlformats.org/officeDocument/2006/relationships/hyperlink" Target="https://www.facebook.com/ads/library/?active_status=active&amp;ad_type=all&amp;country=ALL&amp;q=Col&#233;gio%20Positivo&amp;search_type=keyword_unordered&amp;media_type=all" TargetMode="External"/><Relationship Id="rId692" Type="http://schemas.openxmlformats.org/officeDocument/2006/relationships/hyperlink" Target="https://l.facebook.com/l.php?u=https%3A%2F%2Fcolegiopositivo.com.br%2F%3Ffbclid%3DIwcGRvZgFleHRuA2FlbQIxMABicmlkETFXNzlsVXpoUDVDNVVuakFSc3J0YwZhcHBfaWQPNTQxNjM5NDkzODg5MDI1AAEeIbNyWNnqt2-4raZja4sSumcYQpNwnkV8H12szpx0xM1nhqpZ-pH7bYS1Jwo_aem_kq6TAF2G9pPUEJN" TargetMode="External"/><Relationship Id="rId693" Type="http://schemas.openxmlformats.org/officeDocument/2006/relationships/hyperlink" Target="https://www.facebook.com/ads/library/?active_status=active&amp;ad_type=all&amp;country=ALL&amp;q=Col&#233;gio%20Positivo&amp;search_type=keyword_unordered&amp;media_type=all" TargetMode="External"/><Relationship Id="rId694" Type="http://schemas.openxmlformats.org/officeDocument/2006/relationships/hyperlink" Target="https://l.facebook.com/l.php?u=https%3A%2F%2Fcolegiopositivo.com.br%2F%3Ffbclid%3DIwcGRvZgFleHRuA2FlbQIxMABicmlkETFXNzlsVXpoUDVDNVVuakFSc3J0YwZhcHBfaWQPNTQxNjM5NDkzODg5MDI1AAEeIbNyWNnqt2-4raZja4sSumcYQpNwnkV8H12szpx0xM1nhqpZ-pH7bYS1Jwo_aem_kq6TAF2G9pPUEJN" TargetMode="External"/><Relationship Id="rId695" Type="http://schemas.openxmlformats.org/officeDocument/2006/relationships/hyperlink" Target="https://www.facebook.com/ads/library/?active_status=active&amp;ad_type=all&amp;country=ALL&amp;q=Escola%20de%20Educa&#231;&#227;o%20Infantil%20Amor%20Educa%20-%20S&#227;o%20Bento&amp;search_type=keyword_unordered&amp;media_type=all" TargetMode="External"/><Relationship Id="rId696" Type="http://schemas.openxmlformats.org/officeDocument/2006/relationships/hyperlink" Target="https://www.facebook.com/ads/library/?active_status=active&amp;ad_type=all&amp;country=ALL&amp;q=Maple%20Bear%20Santa%20Rosa&amp;search_type=keyword_unordered&amp;media_type=all" TargetMode="External"/><Relationship Id="rId697" Type="http://schemas.openxmlformats.org/officeDocument/2006/relationships/hyperlink" Target="https://l.facebook.com/l.php?u=https%3A%2F%2Fwww.instagram.com%2Fmaplebearniteroi.middle%2F%3Ffbclid%3DIwcGRvZgFleHRuA2FlbQIxMABicmlkETFXNzlsVXpoUDVDNVVuakFSc3J0YwZhcHBfaWQPNTQxNjM5NDkzODg5MDI1AAEei-7k0OCV6rulAxe8m7jBCbQ9cA8KiGcW5XYIS0hD0RgB02J221k76asUC-" TargetMode="External"/><Relationship Id="rId698" Type="http://schemas.openxmlformats.org/officeDocument/2006/relationships/hyperlink" Target="https://www.facebook.com/ads/library/?active_status=active&amp;ad_type=all&amp;country=ALL&amp;q=Aprende%20Brasil%20Educa&#231;&#227;o&amp;search_type=keyword_unordered&amp;media_type=all" TargetMode="External"/><Relationship Id="rId699" Type="http://schemas.openxmlformats.org/officeDocument/2006/relationships/hyperlink" Target="https://l.facebook.com/l.php?u=https%3A%2F%2Fsistemaname.com.br%2F%3Ffbclid%3DIwcGRvZgFleHRuA2FlbQIxMABicmlkETFXNzlsVXpoUDVDNVVuakFSc3J0YwZhcHBfaWQPNTQxNjM5NDkzODg5MDI1AAEeH1AJh0vlnF3AlOcgu47q8hasJKuoUFcuVs3sw1Tqc3snFg8RJeOheD-ct6c_aem_PtSsOKEOGa3vWkiK9CL" TargetMode="External"/><Relationship Id="rId700" Type="http://schemas.openxmlformats.org/officeDocument/2006/relationships/hyperlink" Target="https://www.facebook.com/ads/library/?active_status=active&amp;ad_type=all&amp;country=ALL&amp;q=Col&#233;gio%20Christus&amp;search_type=keyword_unordered&amp;media_type=all" TargetMode="External"/><Relationship Id="rId701" Type="http://schemas.openxmlformats.org/officeDocument/2006/relationships/hyperlink" Target="https://l.facebook.com/l.php?u=http%3A%2F%2Finstagram.com%2Fcolegiochristus%3Ffbclid%3DIwcGRvZgFleHRuA2FlbQIxMABicmlkETFXNzlsVXpoUDVDNVVuakFSc3J0YwZhcHBfaWQPNTQxNjM5NDkzODg5MDI1AAEeo6JyMjm1XPgMuTrdSlDmfT6YyerozLW2goY7wbM4vUwq0i3rwsBPh9wXcW0_aem_Bbd3xtFGd9" TargetMode="External"/><Relationship Id="rId702" Type="http://schemas.openxmlformats.org/officeDocument/2006/relationships/hyperlink" Target="https://www.facebook.com/ads/library/?active_status=active&amp;ad_type=all&amp;country=ALL&amp;q=CPR%20Col&#233;gio%20Pedro%20e%20Rafael&amp;search_type=keyword_unordered&amp;media_type=all" TargetMode="External"/><Relationship Id="rId703" Type="http://schemas.openxmlformats.org/officeDocument/2006/relationships/hyperlink" Target="https://l.facebook.com/l.php?u=http%3A%2F%2Ffb.me%2F&amp;h=AUCSvaiFYluCrwvUX96TO9ecJ379v9Bsu66JouQzAu7aUUZDyeYE9b8QMV6oarun2-207rbUBmWF7jqojuL7PdZPXWszSHGGccjzxqyzQ9B_fsJy8oVGZ0dgxqdbH3vhl2zeEKW5H_c" TargetMode="External"/><Relationship Id="rId704" Type="http://schemas.openxmlformats.org/officeDocument/2006/relationships/hyperlink" Target="https://www.facebook.com/ads/library/?active_status=active&amp;ad_type=all&amp;country=ALL&amp;q=International%20School&amp;search_type=keyword_unordered&amp;media_type=all" TargetMode="External"/><Relationship Id="rId705" Type="http://schemas.openxmlformats.org/officeDocument/2006/relationships/hyperlink" Target="https://l.facebook.com/l.php?u=https%3A%2F%2Finternationalschool.global%2Fseja-nosso-parceiro%2F%3Futm_source%3D%257B%257Bsite_source_name%257D%257D%26utm_medium%3Dcpa%26utm_campaign%3Dis_meta_jul26_awa_awareness-institucional_v1%26utm_term%3Dis_video_1_l" TargetMode="External"/><Relationship Id="rId706" Type="http://schemas.openxmlformats.org/officeDocument/2006/relationships/hyperlink" Target="https://www.facebook.com/ads/library/?active_status=active&amp;ad_type=all&amp;country=ALL&amp;q=Tudo%20para%20o%20Professor&amp;search_type=keyword_unordered&amp;media_type=all" TargetMode="External"/><Relationship Id="rId707" Type="http://schemas.openxmlformats.org/officeDocument/2006/relationships/hyperlink" Target="https://l.facebook.com/l.php?u=https%3A%2F%2Ftudoparaoprofessor.com.br%2Fproduto%2Fpainel-semana-farroupilha%2F%3Futm_source%3Dmeta_andromeda_RS%26utm_medium%3Dpainel-semana-farroupilha%26utm_id%3Dmeta_painel-semana-farroupilha%26fbclid%3DIwcGRvZgFleHRuA2" TargetMode="External"/><Relationship Id="rId708" Type="http://schemas.openxmlformats.org/officeDocument/2006/relationships/hyperlink" Target="https://www.facebook.com/ads/library/?active_status=active&amp;ad_type=all&amp;country=ALL&amp;q=Col&#233;gio%20&#193;baco&amp;search_type=keyword_unordered&amp;media_type=all" TargetMode="External"/><Relationship Id="rId709" Type="http://schemas.openxmlformats.org/officeDocument/2006/relationships/hyperlink" Target="https://l.facebook.com/l.php?u=http%3A%2F%2Fwww.colegioabaco.com.br%2Fmatriculas2027%3Ffbclid%3DIwcGRvZgFleHRuA2FlbQIxMABicmlkETFXNzlsVXpoUDVDNVVuakFSc3J0YwZhcHBfaWQPNTQxNjM5NDkzODg5MDI1AAEeH1AJh0vlnF3AlOcgu47q8hasJKuoUFcuVs3sw1Tqc3snFg8RJeOheD-ct6c_aem_P" TargetMode="External"/><Relationship Id="rId710" Type="http://schemas.openxmlformats.org/officeDocument/2006/relationships/hyperlink" Target="https://www.facebook.com/ads/library/?active_status=active&amp;ad_type=all&amp;country=ALL&amp;q=Maple%20Bear%20Recreio&amp;search_type=keyword_unordered&amp;media_type=all" TargetMode="External"/><Relationship Id="rId711" Type="http://schemas.openxmlformats.org/officeDocument/2006/relationships/hyperlink" Target="https://api.whatsapp.com/send" TargetMode="External"/><Relationship Id="rId712" Type="http://schemas.openxmlformats.org/officeDocument/2006/relationships/hyperlink" Target="https://www.facebook.com/ads/library/?active_status=active&amp;ad_type=all&amp;country=ALL&amp;q=Jardim%20dos%20Saberes&amp;search_type=keyword_unordered&amp;media_type=all" TargetMode="External"/><Relationship Id="rId713" Type="http://schemas.openxmlformats.org/officeDocument/2006/relationships/hyperlink" Target="https://api.whatsapp.com/send" TargetMode="External"/><Relationship Id="rId714" Type="http://schemas.openxmlformats.org/officeDocument/2006/relationships/hyperlink" Target="https://www.facebook.com/ads/library/?active_status=active&amp;ad_type=all&amp;country=ALL&amp;q=Col&#233;gio%20Davina%20Gasparini&amp;search_type=keyword_unordered&amp;media_type=all" TargetMode="External"/><Relationship Id="rId715" Type="http://schemas.openxmlformats.org/officeDocument/2006/relationships/hyperlink" Target="https://l.facebook.com/l.php?u=https%3A%2F%2Finstagram.com%2Fdavinagasparini%3Ffbclid%3DIwcGRvZgFleHRuA2FlbQIxMABicmlkETFXNzlsVXpoUDVDNVVuakFSc3J0YwZhcHBfaWQPNTQxNjM5NDkzODg5MDI1AAEeIbNyWNnqt2-4raZja4sSumcYQpNwnkV8H12szpx0xM1nhqpZ-pH7bYS1Jwo_aem_kq6TAF2G9" TargetMode="External"/><Relationship Id="rId716" Type="http://schemas.openxmlformats.org/officeDocument/2006/relationships/hyperlink" Target="https://www.facebook.com/ads/library/?active_status=active&amp;ad_type=all&amp;country=ALL&amp;q=Col&#233;gio%20DOM%20de%20Educar&amp;search_type=keyword_unordered&amp;media_type=all" TargetMode="External"/><Relationship Id="rId717" Type="http://schemas.openxmlformats.org/officeDocument/2006/relationships/hyperlink" Target="https://api.whatsapp.com/send" TargetMode="External"/><Relationship Id="rId718" Type="http://schemas.openxmlformats.org/officeDocument/2006/relationships/hyperlink" Target="https://www.facebook.com/ads/library/?active_status=active&amp;ad_type=all&amp;country=ALL&amp;q=Solu&#231;&#245;es%20Moderna&amp;search_type=keyword_unordered&amp;media_type=all" TargetMode="External"/><Relationship Id="rId719" Type="http://schemas.openxmlformats.org/officeDocument/2006/relationships/hyperlink" Target="https://l.facebook.com/l.php?u=https%3A%2F%2Fsolucoesmoderna.com.br%2Fproduto%2Fset-brasil-360%2F%3Ffbclid%3DIwcGRvZgFleHRuA2FlbQIxMABicmlkETFXNzlsVXpoUDVDNVVuakFSc3J0YwZhcHBfaWQPNTQxNjM5NDkzODg5MDI1AAEeIbNyWNnqt2-4raZja4sSumcYQpNwnkV8H12szpx0xM1nhqpZ-pH7" TargetMode="External"/><Relationship Id="rId720" Type="http://schemas.openxmlformats.org/officeDocument/2006/relationships/hyperlink" Target="https://www.facebook.com/ads/library/?active_status=active&amp;ad_type=all&amp;country=ALL&amp;q=Imagine%20S&#243;%20Educa&#231;&#227;o%20Infantil&amp;search_type=keyword_unordered&amp;media_type=all" TargetMode="External"/><Relationship Id="rId721" Type="http://schemas.openxmlformats.org/officeDocument/2006/relationships/hyperlink" Target="https://l.facebook.com/l.php?u=https%3A%2F%2Finstagram.com%2Fescolaimagineso%3Ffbclid%3DIwcGRvZgFleHRuA2FlbQIxMABicmlkETFXNzlsVXpoUDVDNVVuakFSc3J0YwZhcHBfaWQPNTQxNjM5NDkzODg5MDI1AAEefbFGDO-zrlIqJQIlM89BJn9ihvjEznXMXNSN5_rYbXTZcEwyAe3CyzX9PY4_aem_CQ8R76th5" TargetMode="External"/><Relationship Id="rId722" Type="http://schemas.openxmlformats.org/officeDocument/2006/relationships/hyperlink" Target="https://www.facebook.com/ads/library/?active_status=active&amp;ad_type=all&amp;country=ALL&amp;q=Estev&#227;o%20Torres&amp;search_type=keyword_unordered&amp;media_type=all" TargetMode="External"/><Relationship Id="rId723" Type="http://schemas.openxmlformats.org/officeDocument/2006/relationships/hyperlink" Target="https://l.facebook.com/l.php?u=https%3A%2F%2Fsite.arquivopratico.online%2Fatv-autistas-6-ao-9%3Ffbclid%3DIwcGRvZgFleHRuA2FlbQIxMABicmlkETFXNzlsVXpoUDVDNVVuakFSc3J0YwZhcHBfaWQPNTQxNjM5NDkzODg5MDI1AAEemiG7ZJSZpG9eI9fq5mE7SXnRpY_yuEiuCxv85peaXE2F7vnxtjwNXuT-" TargetMode="External"/><Relationship Id="rId724" Type="http://schemas.openxmlformats.org/officeDocument/2006/relationships/hyperlink" Target="https://www.facebook.com/ads/library/?active_status=active&amp;ad_type=all&amp;country=ALL&amp;q=EducaPr&#225;tica&amp;search_type=keyword_unordered&amp;media_type=all" TargetMode="External"/><Relationship Id="rId725" Type="http://schemas.openxmlformats.org/officeDocument/2006/relationships/hyperlink" Target="https://api.whatsapp.com/send" TargetMode="External"/><Relationship Id="rId726" Type="http://schemas.openxmlformats.org/officeDocument/2006/relationships/hyperlink" Target="https://www.facebook.com/ads/library/?active_status=active&amp;ad_type=all&amp;country=ALL&amp;q=SAS%20Plataforma%20de%20Educa&#231;&#227;o&amp;search_type=keyword_unordered&amp;media_type=all" TargetMode="External"/><Relationship Id="rId727" Type="http://schemas.openxmlformats.org/officeDocument/2006/relationships/hyperlink" Target="https://l.facebook.com/l.php?u=http%3A%2F%2Ffb.me%2F&amp;h=AUCSvaiFYluCrwvUX96TO9ecJ379v9Bsu66JouQzAu7aUUZDyeYE9b8QMV6oarun2-207rbUBmWF7jqojuL7PdZPXWszSHGGccjzxqyzQ9B_fsJy8oVGZ0dgxqdbH3vhl2zeEKW5H_c" TargetMode="External"/><Relationship Id="rId728" Type="http://schemas.openxmlformats.org/officeDocument/2006/relationships/hyperlink" Target="https://www.facebook.com/ads/library/?active_status=active&amp;ad_type=all&amp;country=ALL&amp;q=Col&#233;gio%20Santa%20Maria%20Minas&amp;search_type=keyword_unordered&amp;media_type=all" TargetMode="External"/><Relationship Id="rId729" Type="http://schemas.openxmlformats.org/officeDocument/2006/relationships/hyperlink" Target="https://l.facebook.com/l.php?u=https%3A%2F%2Fsantamaria.pucminas.br%2Fadmissao-de-novos-alunos%2F%3Futm_source%3Dmeta%26utm_medium%3Dcpc%26utm_campaign%3Dadm2027_rede_integral_fundo%26utm_content%3Dgeral-carrossel-geral-1080x1080%26fbclid%3DIwcGRvZgFleHRu" TargetMode="External"/><Relationship Id="rId730" Type="http://schemas.openxmlformats.org/officeDocument/2006/relationships/hyperlink" Target="https://www.facebook.com/ads/library/?active_status=active&amp;ad_type=all&amp;country=ALL&amp;q=Instituto%20Preparat&#243;rio%20para%20Professores&amp;search_type=keyword_unordered&amp;media_type=all" TargetMode="External"/><Relationship Id="rId731" Type="http://schemas.openxmlformats.org/officeDocument/2006/relationships/hyperlink" Target="https://l.facebook.com/l.php?u=https%3A%2F%2Finstitutopreparatorio.com.br%2Fl63-insca%2F%3Ffbclid%3DIwcGRvZgFleHRuA2FlbQIxMABicmlkETFXNzlsVXpoUDVDNVVuakFSc3J0YwZhcHBfaWQPNTQxNjM5NDkzODg5MDI1AAEeIbNyWNnqt2-4raZja4sSumcYQpNwnkV8H12szpx0xM1nhqpZ-pH7bYS1Jwo_a" TargetMode="External"/><Relationship Id="rId732" Type="http://schemas.openxmlformats.org/officeDocument/2006/relationships/hyperlink" Target="https://www.facebook.com/ads/library/?active_status=active&amp;ad_type=all&amp;country=ALL&amp;q=Escola%20Crist&#227;%20Gomes&amp;search_type=keyword_unordered&amp;media_type=all" TargetMode="External"/><Relationship Id="rId733" Type="http://schemas.openxmlformats.org/officeDocument/2006/relationships/hyperlink" Target="https://www.facebook.com/ads/library/?active_status=active&amp;ad_type=all&amp;country=ALL&amp;q=Eduhot%20Cursos%20Online&amp;search_type=keyword_unordered&amp;media_type=all" TargetMode="External"/><Relationship Id="rId734" Type="http://schemas.openxmlformats.org/officeDocument/2006/relationships/hyperlink" Target="https://l.facebook.com/l.php?u=https%3A%2F%2Feduhot.com.br%2Fcursos%2Finfo%2F120%2Fenfermagem-em-servicos-pediatricos-e-neonatais%3Ffbclid%3DIwcGRvZgFleHRuA2FlbQIxMABicmlkETFXNzlsVXpoUDVDNVVuakFSc3J0YwZhcHBfaWQPNTQxNjM5NDkzODg5MDI1AAEeH1AJh0vlnF3AlOcgu47q" TargetMode="External"/><Relationship Id="rId735" Type="http://schemas.openxmlformats.org/officeDocument/2006/relationships/hyperlink" Target="https://www.facebook.com/ads/library/?active_status=active&amp;ad_type=all&amp;country=ALL&amp;q=Col&#233;gio%20Santa%20Maria%20Minas&amp;search_type=keyword_unordered&amp;media_type=all" TargetMode="External"/><Relationship Id="rId736" Type="http://schemas.openxmlformats.org/officeDocument/2006/relationships/hyperlink" Target="https://l.facebook.com/l.php?u=https%3A%2F%2Fsantamaria.pucminas.br%2Fadmissao-de-novos-alunos%2F%3Futm_source%3Dmeta%26utm_medium%3Dcpc%26utm_campaign%3Dadm2027_rede_integral_fundo%26utm_content%3Dgeral-carrossel-geral-1080x1920%26fbclid%3DIwcGRvZgFleHRu" TargetMode="External"/><Relationship Id="rId737" Type="http://schemas.openxmlformats.org/officeDocument/2006/relationships/hyperlink" Target="https://www.facebook.com/ads/library/?active_status=active&amp;ad_type=all&amp;country=ALL&amp;q=Aprendendo%20para%20Ensinar&amp;search_type=keyword_unordered&amp;media_type=all" TargetMode="External"/><Relationship Id="rId738" Type="http://schemas.openxmlformats.org/officeDocument/2006/relationships/hyperlink" Target="https://l.facebook.com/l.php?u=https%3A%2F%2Flnk.bio%2Faprendendoparaensinar%3Ffbclid%3DIwcGRvZgFleHRuA2FlbQIxMABicmlkETFXNzlsVXpoUDVDNVVuakFSc3J0YwZhcHBfaWQPNTQxNjM5NDkzODg5MDI1AAEei-7k0OCV6rulAxe8m7jBCbQ9cA8KiGcW5XYIS0hD0RgB02J221k76asUC-Q_aem_r7SThfJaU" TargetMode="External"/><Relationship Id="rId739" Type="http://schemas.openxmlformats.org/officeDocument/2006/relationships/hyperlink" Target="https://www.facebook.com/ads/library/?active_status=active&amp;ad_type=all&amp;country=ALL&amp;q=Mundo%20Pedag&#243;gico%20Prof&#170;%20Greice%20Moura&amp;search_type=keyword_unordered&amp;media_type=all" TargetMode="External"/><Relationship Id="rId740" Type="http://schemas.openxmlformats.org/officeDocument/2006/relationships/hyperlink" Target="https://l.facebook.com/l.php?u=https%3A%2F%2Fmundopedagogicogm.com.br%2Fproduto%2Fcantinho-da-calma%2F%3Ffbclid%3DIwcGRvZgFleHRuA2FlbQIxMABicmlkETFXNzlsVXpoUDVDNVVuakFSc3J0YwZhcHBfaWQPNTQxNjM5NDkzODg5MDI1AAEei-7k0OCV6rulAxe8m7jBCbQ9cA8KiGcW5XYIS0hD0RgB02J" TargetMode="External"/><Relationship Id="rId741" Type="http://schemas.openxmlformats.org/officeDocument/2006/relationships/hyperlink" Target="https://www.facebook.com/ads/library/?active_status=active&amp;ad_type=all&amp;country=ALL&amp;q=teterecoss&amp;search_type=keyword_unordered&amp;media_type=all" TargetMode="External"/><Relationship Id="rId742" Type="http://schemas.openxmlformats.org/officeDocument/2006/relationships/hyperlink" Target="https://l.facebook.com/l.php?u=https%3A%2F%2Fteterecoss.com.br%2Fproduto%2Fcantinho-da-leitura-arvore-grande%2F%3Ffbclid%3DIwcGRvZgFleHRuA2FlbQIxMABicmlkETFXNzlsVXpoUDVDNVVuakFSc3J0YwZhcHBfaWQPNTQxNjM5NDkzODg5MDI1AAEefbFGDO-zrlIqJQIlM89BJn9ihvjEznXMXNSN5_" TargetMode="External"/><Relationship Id="rId743" Type="http://schemas.openxmlformats.org/officeDocument/2006/relationships/hyperlink" Target="https://www.facebook.com/ads/library/?active_status=active&amp;ad_type=all&amp;country=ALL&amp;q=Escola%20SEB%20Unimaster&amp;search_type=keyword_unordered&amp;media_type=all" TargetMode="External"/><Relationship Id="rId744" Type="http://schemas.openxmlformats.org/officeDocument/2006/relationships/hyperlink" Target="https://l.facebook.com/l.php?u=https%3A%2F%2Flp.escolaseb.com.br%2Funimaster-belo-horizonte-agende-uma-visita%3Ffbclid%3DIwcGRvZgFleHRuA2FlbQIxMABicmlkETFXNzlsVXpoUDVDNVVuakFSc3J0YwZhcHBfaWQPNTQxNjM5NDkzODg5MDI1AAEefbFGDO-zrlIqJQIlM89BJn9ihvjEznXMXNSN5_rY" TargetMode="External"/><Relationship Id="rId745" Type="http://schemas.openxmlformats.org/officeDocument/2006/relationships/hyperlink" Target="https://www.facebook.com/ads/library/?active_status=active&amp;ad_type=all&amp;country=ALL&amp;q=Chromos%20Col&#233;gio%20E%20Pr&#233;&amp;search_type=keyword_unordered&amp;media_type=all" TargetMode="External"/><Relationship Id="rId746" Type="http://schemas.openxmlformats.org/officeDocument/2006/relationships/hyperlink" Target="https://l.facebook.com/l.php?u=http%3A%2F%2Fchromos.com.br%2Fadmissao%3Ffbclid%3DIwcGRvZgFleHRuA2FlbQIxMABicmlkETFXNzlsVXpoUDVDNVVuakFSc3J0YwZhcHBfaWQPNTQxNjM5NDkzODg5MDI1AAEeo6JyMjm1XPgMuTrdSlDmfT6YyerozLW2goY7wbM4vUwq0i3rwsBPh9wXcW0_aem_Bbd3xtFGd99neFp5" TargetMode="External"/><Relationship Id="rId747" Type="http://schemas.openxmlformats.org/officeDocument/2006/relationships/hyperlink" Target="https://www.facebook.com/ads/library/?active_status=active&amp;ad_type=all&amp;country=ALL&amp;q=Col&#233;gio%20Santa%20Maria&amp;search_type=keyword_unordered&amp;media_type=all" TargetMode="External"/><Relationship Id="rId748" Type="http://schemas.openxmlformats.org/officeDocument/2006/relationships/hyperlink" Target="https://l.facebook.com/l.php?u=https%3A%2F%2Flp.colegiosantamaria.com.br%2Fagende-uma-visita%3Ffbclid%3DIwcGRvZgFleHRuA2FlbQIxMABicmlkETFXNzlsVXpoUDVDNVVuakFSc3J0YwZhcHBfaWQPNTQxNjM5NDkzODg5MDI1AAEeomo5_C6J2q3cxfNXzkZroM0VILYhv9g6P2DO5yVgnfUBZbvhqs3M9JiYy" TargetMode="External"/><Relationship Id="rId749" Type="http://schemas.openxmlformats.org/officeDocument/2006/relationships/hyperlink" Target="https://www.facebook.com/ads/library/?active_status=active&amp;ad_type=all&amp;country=ALL&amp;q=Col&#233;gio%20Objetivo%20Peru&#237;be&amp;search_type=keyword_unordered&amp;media_type=all" TargetMode="External"/><Relationship Id="rId750" Type="http://schemas.openxmlformats.org/officeDocument/2006/relationships/hyperlink" Target="https://l.facebook.com/l.php?u=http%3A%2F%2Fwww.objetivoperuibe.com.br%2Fdesafio%3Ffbclid%3DIwcGRvZgFleHRuA2FlbQIxMABicmlkETFXNzlsVXpoUDVDNVVuakFSc3J0YwZhcHBfaWQPNTQxNjM5NDkzODg5MDI1AAEemiG7ZJSZpG9eI9fq5mE7SXnRpY_yuEiuCxv85peaXE2F7vnxtjwNXuT-oUQ_aem_8O1Am" TargetMode="External"/><Relationship Id="rId751" Type="http://schemas.openxmlformats.org/officeDocument/2006/relationships/hyperlink" Target="https://www.facebook.com/ads/library/?active_status=active&amp;ad_type=all&amp;country=ALL&amp;q=Escola%20SEB%20Dom%20Bosco&amp;search_type=keyword_unordered&amp;media_type=all" TargetMode="External"/><Relationship Id="rId752" Type="http://schemas.openxmlformats.org/officeDocument/2006/relationships/hyperlink" Target="https://l.facebook.com/l.php?u=https%3A%2F%2Flp.curitiba-dombosco.escolaseb.com.br%2Fagendamento%3Ffbclid%3DIwcGRvZgFleHRuA2FlbQIxMABicmlkETFXNzlsVXpoUDVDNVVuakFSc3J0YwZhcHBfaWQPNTQxNjM5NDkzODg5MDI1AAEefbFGDO-zrlIqJQIlM89BJn9ihvjEznXMXNSN5_rYbXTZcEwyAe3Cy" TargetMode="External"/><Relationship Id="rId753" Type="http://schemas.openxmlformats.org/officeDocument/2006/relationships/hyperlink" Target="https://www.facebook.com/ads/library/?active_status=active&amp;ad_type=all&amp;country=ALL&amp;q=Col&#233;gio%20Objetivo%20Peru&#237;be&amp;search_type=keyword_unordered&amp;media_type=all" TargetMode="External"/><Relationship Id="rId754" Type="http://schemas.openxmlformats.org/officeDocument/2006/relationships/hyperlink" Target="https://l.facebook.com/l.php?u=http%3A%2F%2Fwww.objetivoperuibe.com.br%2Fdesafio%3Ffbclid%3DIwcGRvZgFleHRuA2FlbQIxMABicmlkETFXNzlsVXpoUDVDNVVuakFSc3J0YwZhcHBfaWQPNTQxNjM5NDkzODg5MDI1AAEemiG7ZJSZpG9eI9fq5mE7SXnRpY_yuEiuCxv85peaXE2F7vnxtjwNXuT-oUQ_aem_8O1Am" TargetMode="External"/><Relationship Id="rId755" Type="http://schemas.openxmlformats.org/officeDocument/2006/relationships/hyperlink" Target="https://www.facebook.com/ads/library/?active_status=active&amp;ad_type=all&amp;country=ALL&amp;q=Instituto%20Hilda%20Ferreira&amp;search_type=keyword_unordered&amp;media_type=all" TargetMode="External"/><Relationship Id="rId756" Type="http://schemas.openxmlformats.org/officeDocument/2006/relationships/hyperlink" Target="https://api.whatsapp.com/send" TargetMode="External"/><Relationship Id="rId757" Type="http://schemas.openxmlformats.org/officeDocument/2006/relationships/hyperlink" Target="https://www.facebook.com/ads/library/?active_status=active&amp;ad_type=all&amp;country=ALL&amp;q=Pensi%2B&amp;search_type=keyword_unordered&amp;media_type=all" TargetMode="External"/><Relationship Id="rId758" Type="http://schemas.openxmlformats.org/officeDocument/2006/relationships/hyperlink" Target="https://l.facebook.com/l.php?u=https%3A%2F%2Fwww.pensimais.com.br%2Fmatriculas2027%3Ffbclid%3DIwcGRvZgFleHRuA2FlbQIxMABicmlkETFXNzlsVXpoUDVDNVVuakFSc3J0YwZhcHBfaWQPNTQxNjM5NDkzODg5MDI1AAEeomo5_C6J2q3cxfNXzkZroM0VILYhv9g6P2DO5yVgnfUBZbvhqs3M9JiYyF0_aem_ufl" TargetMode="External"/><Relationship Id="rId759" Type="http://schemas.openxmlformats.org/officeDocument/2006/relationships/hyperlink" Target="https://www.facebook.com/ads/library/?active_status=active&amp;ad_type=all&amp;country=ALL&amp;q=Guias%20e%20Manuais%20para%20ajuda&amp;search_type=keyword_unordered&amp;media_type=all" TargetMode="External"/><Relationship Id="rId760" Type="http://schemas.openxmlformats.org/officeDocument/2006/relationships/hyperlink" Target="https://l.facebook.com/l.php?u=https%3A%2F%2Fjogoseducativosr.vercel.app%2F%3Ffbclid%3DIwcGRvZgFleHRuA2FlbQIxMABicmlkETFXNzlsVXpoUDVDNVVuakFSc3J0YwZhcHBfaWQPNTQxNjM5NDkzODg5MDI1AAEei-7k0OCV6rulAxe8m7jBCbQ9cA8KiGcW5XYIS0hD0RgB02J221k76asUC-Q_aem_r7SThfJaU_" TargetMode="External"/><Relationship Id="rId761" Type="http://schemas.openxmlformats.org/officeDocument/2006/relationships/hyperlink" Target="https://www.facebook.com/ads/library/?active_status=active&amp;ad_type=all&amp;country=ALL&amp;q=Escola%20SEB%20Unimaster&amp;search_type=keyword_unordered&amp;media_type=all" TargetMode="External"/><Relationship Id="rId762" Type="http://schemas.openxmlformats.org/officeDocument/2006/relationships/hyperlink" Target="https://l.facebook.com/l.php?u=https%3A%2F%2Flp.escolaseb.com.br%2Funimaster-belo-horizonte-agende-uma-visita%3Ffbclid%3DIwcGRvZgFleHRuA2FlbQIxMABicmlkETFXNzlsVXpoUDVDNVVuakFSc3J0YwZhcHBfaWQPNTQxNjM5NDkzODg5MDI1AAEefnH1UbdwofpdI_CiMiZqSVSkG-E51GXidOepqY31" TargetMode="External"/><Relationship Id="rId763" Type="http://schemas.openxmlformats.org/officeDocument/2006/relationships/hyperlink" Target="https://www.facebook.com/ads/library/?active_status=active&amp;ad_type=all&amp;country=ALL&amp;q=Escola%20SEB%20Dom%20Bosco&amp;search_type=keyword_unordered&amp;media_type=all" TargetMode="External"/><Relationship Id="rId764" Type="http://schemas.openxmlformats.org/officeDocument/2006/relationships/hyperlink" Target="https://l.facebook.com/l.php?u=https%3A%2F%2Flp.curitiba-dombosco.escolaseb.com.br%2Fagendamento%3Ffbclid%3DIwcGRvZgFleHRuA2FlbQIxMABicmlkETFXNzlsVXpoUDVDNVVuakFSc3J0YwZhcHBfaWQPNTQxNjM5NDkzODg5MDI1AAEeomo5_C6J2q3cxfNXzkZroM0VILYhv9g6P2DO5yVgnfUBZbvhqs3M9" TargetMode="External"/><Relationship Id="rId765" Type="http://schemas.openxmlformats.org/officeDocument/2006/relationships/hyperlink" Target="https://www.facebook.com/ads/library/?active_status=active&amp;ad_type=all&amp;country=ALL&amp;q=Col&#233;gio%20Integrado&amp;search_type=keyword_unordered&amp;media_type=all" TargetMode="External"/><Relationship Id="rId766" Type="http://schemas.openxmlformats.org/officeDocument/2006/relationships/hyperlink" Target="https://l.facebook.com/l.php?u=http%3A%2F%2Fwww.souintegrado.com.br%2Fmatriculas2027%3Ffbclid%3DIwcGRvZgFleHRuA2FlbQIxMABicmlkETFXNzlsVXpoUDVDNVVuakFSc3J0YwZhcHBfaWQPNTQxNjM5NDkzODg5MDI1AAEefbFGDO-zrlIqJQIlM89BJn9ihvjEznXMXNSN5_rYbXTZcEwyAe3CyzX9PY4_aem_C" TargetMode="External"/><Relationship Id="rId767" Type="http://schemas.openxmlformats.org/officeDocument/2006/relationships/hyperlink" Target="https://www.facebook.com/ads/library/?active_status=active&amp;ad_type=all&amp;country=ALL&amp;q=Col&#233;gio%20Singular%20Anglo%20-%20Oficial&amp;search_type=keyword_unordered&amp;media_type=all" TargetMode="External"/><Relationship Id="rId768" Type="http://schemas.openxmlformats.org/officeDocument/2006/relationships/hyperlink" Target="https://l.facebook.com/l.php?u=http%3A%2F%2Finstagram.com%2Fsingularanglo%3Ffbclid%3DIwcGRvZgFleHRuA2FlbQIxMABicmlkETFXNzlsVXpoUDVDNVVuakFSc3J0YwZhcHBfaWQPNTQxNjM5NDkzODg5MDI1AAEei-7k0OCV6rulAxe8m7jBCbQ9cA8KiGcW5XYIS0hD0RgB02J221k76asUC-Q_aem_r7SThfJaU_Av" TargetMode="External"/><Relationship Id="rId769" Type="http://schemas.openxmlformats.org/officeDocument/2006/relationships/hyperlink" Target="https://www.facebook.com/ads/library/?active_status=active&amp;ad_type=all&amp;country=ALL&amp;q=Ciranda%20Escola&amp;search_type=keyword_unordered&amp;media_type=all" TargetMode="External"/><Relationship Id="rId770" Type="http://schemas.openxmlformats.org/officeDocument/2006/relationships/hyperlink" Target="https://l.facebook.com/l.php?u=https%3A%2F%2Fwww.instagram.com%2F%3Ffbclid%3DIwcGRvZgFleHRuA2FlbQIxMABicmlkETFXNzlsVXpoUDVDNVVuakFSc3J0YwZhcHBfaWQPNTQxNjM5NDkzODg5MDI1AAEeo6JyMjm1XPgMuTrdSlDmfT6YyerozLW2goY7wbM4vUwq0i3rwsBPh9wXcW0_aem_Bbd3xtFGd99neFp52YSV" TargetMode="External"/><Relationship Id="rId771" Type="http://schemas.openxmlformats.org/officeDocument/2006/relationships/hyperlink" Target="https://www.facebook.com/ads/library/?active_status=active&amp;ad_type=all&amp;country=ALL&amp;q=Camila%20Medeiros%20-%20Psicopedagoga&amp;search_type=keyword_unordered&amp;media_type=all" TargetMode="External"/><Relationship Id="rId772" Type="http://schemas.openxmlformats.org/officeDocument/2006/relationships/hyperlink" Target="https://l.facebook.com/l.php?u=https%3A%2F%2Fwww.profcamila.com%2Feducacaoinfantil%3Ffbclid%3DIwcGRvZgFleHRuA2FlbQIxMABicmlkETFXNzlsVXpoUDVDNVVuakFSc3J0YwZhcHBfaWQPNTQxNjM5NDkzODg5MDI1AAEei-7k0OCV6rulAxe8m7jBCbQ9cA8KiGcW5XYIS0hD0RgB02J221k76asUC-Q_aem_r7S" TargetMode="External"/><Relationship Id="rId773" Type="http://schemas.openxmlformats.org/officeDocument/2006/relationships/hyperlink" Target="https://www.facebook.com/ads/library/?active_status=active&amp;ad_type=all&amp;country=ALL&amp;q=Mundo%20Pedag&#243;gico%20Kids&amp;search_type=keyword_unordered&amp;media_type=all" TargetMode="External"/><Relationship Id="rId774" Type="http://schemas.openxmlformats.org/officeDocument/2006/relationships/hyperlink" Target="https://api.whatsapp.com/send" TargetMode="External"/><Relationship Id="rId775" Type="http://schemas.openxmlformats.org/officeDocument/2006/relationships/hyperlink" Target="https://www.facebook.com/ads/library/?active_status=active&amp;ad_type=all&amp;country=ALL&amp;q=Col&#233;gio%20Bagozzi&amp;search_type=keyword_unordered&amp;media_type=all" TargetMode="External"/><Relationship Id="rId776" Type="http://schemas.openxmlformats.org/officeDocument/2006/relationships/hyperlink" Target="https://l.facebook.com/l.php?u=https%3A%2F%2Fvisite.bagozzi.edu.br%2Fagende-sua-visita%3Futm_source%3DMeta-2027%26utm_medium%3DBG-CWB%2520%25C2%25B7%2520C2%2520%25C2%25B7%2520Awareness%2520EI%2520Priorit%25C3%25A1rio%2520%25C2%25B7%25202027%26utm_campaign" TargetMode="External"/><Relationship Id="rId777" Type="http://schemas.openxmlformats.org/officeDocument/2006/relationships/hyperlink" Target="https://www.facebook.com/ads/library/?active_status=active&amp;ad_type=all&amp;country=ALL&amp;q=Casa%20Escola&amp;search_type=keyword_unordered&amp;media_type=all" TargetMode="External"/><Relationship Id="rId778" Type="http://schemas.openxmlformats.org/officeDocument/2006/relationships/hyperlink" Target="https://scontent.ffor7-1.fna.fbcdn.net/o1/v/t2/f2/m412/AQOQY87RjVdolR1Kz4kGGs661hsTryYKAENgefIbBkzczVevcDheQBll1hof6Z2MCBDBPt0MLCk8eH_zuiOp_6OL1eTFZTw4HXd0wi_ZsQ.mp4?_nc_cat=110&amp;_nc_oc=AdpRsa7uyCUC1sbXpcEOlzVHIHODmV-bikYffDZWEJV2SuRQ9cIudImx6z_5GoAKXz0&amp;_n" TargetMode="External"/><Relationship Id="rId779" Type="http://schemas.openxmlformats.org/officeDocument/2006/relationships/hyperlink" Target="https://www.facebook.com/ads/library/?active_status=active&amp;ad_type=all&amp;country=ALL&amp;q=Grupo%20Educacional%20Acesso&amp;search_type=keyword_unordered&amp;media_type=all" TargetMode="External"/><Relationship Id="rId780" Type="http://schemas.openxmlformats.org/officeDocument/2006/relationships/hyperlink" Target="https://l.facebook.com/l.php?u=https%3A%2F%2Fwww.cursoacesso.com.br%2Finfantil-matriculas-2027%2F%3Futm_source%3Dfacebook%26utm_medium%3Dpaid%26utm_campaign%3Dnpbr_acesso_facebook_lead_fundo_infantil_aon_%26utm_content%3Dnpbr_infantil_interesse_28-42%26ut" TargetMode="External"/><Relationship Id="rId781" Type="http://schemas.openxmlformats.org/officeDocument/2006/relationships/hyperlink" Target="https://www.facebook.com/ads/library/?active_status=active&amp;ad_type=all&amp;country=ALL&amp;q=Camila%20Medeiros%20-%20Psicopedagoga&amp;search_type=keyword_unordered&amp;media_type=all" TargetMode="External"/><Relationship Id="rId782" Type="http://schemas.openxmlformats.org/officeDocument/2006/relationships/hyperlink" Target="https://l.facebook.com/l.php?u=https%3A%2F%2Fwww.profcamila.com%2Feducacaoinfantil%3Ffbclid%3DIwcGRvZgFleHRuA2FlbQIxMABicmlkETFXNzlsVXpoUDVDNVVuakFSc3J0YwZhcHBfaWQPNTQxNjM5NDkzODg5MDI1AAEemiG7ZJSZpG9eI9fq5mE7SXnRpY_yuEiuCxv85peaXE2F7vnxtjwNXuT-oUQ_aem_8O1" TargetMode="External"/><Relationship Id="rId783" Type="http://schemas.openxmlformats.org/officeDocument/2006/relationships/hyperlink" Target="https://www.facebook.com/ads/library/?active_status=active&amp;ad_type=all&amp;country=ALL&amp;q=Sarto&amp;search_type=keyword_unordered&amp;media_type=all" TargetMode="External"/><Relationship Id="rId784" Type="http://schemas.openxmlformats.org/officeDocument/2006/relationships/hyperlink" Target="https://scontent.ffor7-1.fna.fbcdn.net/o1/v/t2/f2/m412/AQMx38049U6Cj-6mqYJIYWv6UgZ2ldkiVsNbXHq0VyLGZGu5Jhk81cqZRKDrhTcVbRqbxxBVKpFm4b_o2FaAMCouGbyCME5Km4N5lM6nfA.mp4?_nc_cat=104&amp;_nc_oc=AdpA4MJ4AsWU6wTP1FbJtQdN9pvXQi9LfpakcpsWJNX2raMHjvEJr___efhDJieWFGg&amp;_n" TargetMode="External"/><Relationship Id="rId785" Type="http://schemas.openxmlformats.org/officeDocument/2006/relationships/hyperlink" Target="https://www.facebook.com/ads/library/?active_status=active&amp;ad_type=all&amp;country=ALL&amp;q=Col&#233;gio%20Santa%20Sofia&amp;search_type=keyword_unordered&amp;media_type=all" TargetMode="External"/><Relationship Id="rId786" Type="http://schemas.openxmlformats.org/officeDocument/2006/relationships/hyperlink" Target="https://l.facebook.com/l.php?u=https%3A%2F%2Fconteudocolegiosantasofia.angulodigital.com.br%2Flp-matriculas-2027%2F%3Ffbclid%3DIwcGRvZgFleHRuA2FlbQIxMABicmlkETFXNzlsVXpoUDVDNVVuakFSc3J0YwZhcHBfaWQPNTQxNjM5NDkzODg5MDI1AAEeo6JyMjm1XPgMuTrdSlDmfT6YyerozLW2go" TargetMode="External"/><Relationship Id="rId787" Type="http://schemas.openxmlformats.org/officeDocument/2006/relationships/hyperlink" Target="https://www.facebook.com/ads/library/?active_status=active&amp;ad_type=all&amp;country=ALL&amp;q=Espa&#231;o%20Col&#233;gio%20Day%20Care&amp;search_type=keyword_unordered&amp;media_type=all" TargetMode="External"/><Relationship Id="rId788" Type="http://schemas.openxmlformats.org/officeDocument/2006/relationships/hyperlink" Target="https://espacodaycare.com.br/" TargetMode="External"/><Relationship Id="rId789" Type="http://schemas.openxmlformats.org/officeDocument/2006/relationships/hyperlink" Target="https://www.facebook.com/ads/library/?active_status=active&amp;ad_type=all&amp;country=ALL&amp;q=Camila%20Medeiros%20-%20Psicopedagoga&amp;search_type=keyword_unordered&amp;media_type=all" TargetMode="External"/><Relationship Id="rId790" Type="http://schemas.openxmlformats.org/officeDocument/2006/relationships/hyperlink" Target="https://l.facebook.com/l.php?u=https%3A%2F%2Fwww.profcamila.com%2Feducacaoinfantil%3Ffbclid%3DIwcGRvZgFleHRuA2FlbQIxMABicmlkETFXNzlsVXpoUDVDNVVuakFSc3J0YwZhcHBfaWQPNTQxNjM5NDkzODg5MDI1AAEeH1AJh0vlnF3AlOcgu47q8hasJKuoUFcuVs3sw1Tqc3snFg8RJeOheD-ct6c_aem_PtS" TargetMode="External"/><Relationship Id="rId791" Type="http://schemas.openxmlformats.org/officeDocument/2006/relationships/hyperlink" Target="https://www.facebook.com/ads/library/?active_status=active&amp;ad_type=all&amp;country=ALL&amp;q=Camila%20Medeiros%20-%20Psicopedagoga&amp;search_type=keyword_unordered&amp;media_type=all" TargetMode="External"/><Relationship Id="rId792" Type="http://schemas.openxmlformats.org/officeDocument/2006/relationships/hyperlink" Target="https://l.facebook.com/l.php?u=https%3A%2F%2Fwww.profcamila.com%2Feducacaoinfantil%3Ffbclid%3DIwcGRvZgFleHRuA2FlbQIxMABicmlkETFXNzlsVXpoUDVDNVVuakFSc3J0YwZhcHBfaWQPNTQxNjM5NDkzODg5MDI1AAEefnH1UbdwofpdI_CiMiZqSVSkG-E51GXidOepqY31qSthTm9SFWcX8r87ZdM_aem_92E" TargetMode="External"/><Relationship Id="rId793" Type="http://schemas.openxmlformats.org/officeDocument/2006/relationships/hyperlink" Target="https://www.facebook.com/ads/library/?active_status=active&amp;ad_type=all&amp;country=ALL&amp;q=Col&#233;gio%20Positivo&amp;search_type=keyword_unordered&amp;media_type=all" TargetMode="External"/><Relationship Id="rId794" Type="http://schemas.openxmlformats.org/officeDocument/2006/relationships/hyperlink" Target="https://api.whatsapp.com/send" TargetMode="External"/><Relationship Id="rId795" Type="http://schemas.openxmlformats.org/officeDocument/2006/relationships/hyperlink" Target="https://www.facebook.com/ads/library/?active_status=active&amp;ad_type=all&amp;country=ALL&amp;q=Educa&#231;&#227;o%20Premium&amp;search_type=keyword_unordered&amp;media_type=all" TargetMode="External"/><Relationship Id="rId796" Type="http://schemas.openxmlformats.org/officeDocument/2006/relationships/hyperlink" Target="https://api.whatsapp.com/send" TargetMode="External"/><Relationship Id="rId797" Type="http://schemas.openxmlformats.org/officeDocument/2006/relationships/hyperlink" Target="https://www.facebook.com/ads/library/?active_status=active&amp;ad_type=all&amp;country=ALL&amp;q=Professora%20Tatiane%20Moraes&amp;search_type=keyword_unordered&amp;media_type=all" TargetMode="External"/><Relationship Id="rId798" Type="http://schemas.openxmlformats.org/officeDocument/2006/relationships/hyperlink" Target="https://l.facebook.com/l.php?u=https%3A%2F%2Fwww.instagram.com%2F_u%2Fprofessora_tatianemoraes%3Ffbclid%3DIwcGRvZgFleHRuA2FlbQIxMABicmlkETFXNzlsVXpoUDVDNVVuakFSc3J0YwZhcHBfaWQPNTQxNjM5NDkzODg5MDI1AAEeo6JyMjm1XPgMuTrdSlDmfT6YyerozLW2goY7wbM4vUwq0i3rwsBPh9w" TargetMode="External"/><Relationship Id="rId799" Type="http://schemas.openxmlformats.org/officeDocument/2006/relationships/hyperlink" Target="https://www.facebook.com/ads/library/?active_status=active&amp;ad_type=all&amp;country=ALL&amp;q=ProPedagogia%20-%20Concursos%20para%20Professores&amp;search_type=keyword_unordered&amp;media_type=all" TargetMode="External"/><Relationship Id="rId800" Type="http://schemas.openxmlformats.org/officeDocument/2006/relationships/hyperlink" Target="https://l.facebook.com/l.php?u=https%3A%2F%2Faprovado.propedagogia.com.br%2Faula-gratis-sme-sp-ads%3Ffbclid%3DIwcGRvZgFleHRuA2FlbQIxMABicmlkETFXNzlsVXpoUDVDNVVuakFSc3J0YwZhcHBfaWQPNTQxNjM5NDkzODg5MDI1AAEeo6JyMjm1XPgMuTrdSlDmfT6YyerozLW2goY7wbM4vUwq0i3rwsB" TargetMode="External"/><Relationship Id="rId801" Type="http://schemas.openxmlformats.org/officeDocument/2006/relationships/hyperlink" Target="https://www.facebook.com/ads/library/?active_status=active&amp;ad_type=all&amp;country=ALL&amp;q=ProPedagogia%20-%20Concursos%20para%20Professores&amp;search_type=keyword_unordered&amp;media_type=all" TargetMode="External"/><Relationship Id="rId802" Type="http://schemas.openxmlformats.org/officeDocument/2006/relationships/hyperlink" Target="https://l.facebook.com/l.php?u=https%3A%2F%2Faprovado.propedagogia.com.br%2Faula-gratis-sme-sp-ads%3Ffbclid%3DIwcGRvZgFleHRuA2FlbQIxMABicmlkETFXNzlsVXpoUDVDNVVuakFSc3J0YwZhcHBfaWQPNTQxNjM5NDkzODg5MDI1AAEe6-lGHam-0fdkKTskoHoSKGSmqNV9VvipHgVFi62EM8HQmWSe7Df" TargetMode="External"/><Relationship Id="rId803" Type="http://schemas.openxmlformats.org/officeDocument/2006/relationships/hyperlink" Target="https://www.facebook.com/ads/library/?active_status=active&amp;ad_type=all&amp;country=ALL&amp;q=Instituto%20Transforma%20Edu&amp;search_type=keyword_unordered&amp;media_type=all" TargetMode="External"/><Relationship Id="rId804" Type="http://schemas.openxmlformats.org/officeDocument/2006/relationships/hyperlink" Target="https://l.facebook.com/l.php?u=https%3A%2F%2Finstitutotransformaedu.gupy.io%2Fjobs%2F11858224%3FjobBoardSource%3Dshare_link%26fbclid%3DIwcGRvZgFleHRuA2FlbQIxMABicmlkETFXNzlsVXpoUDVDNVVuakFSc3J0YwZhcHBfaWQPNTQxNjM5NDkzODg5MDI1AAEeIbNyWNnqt2-4raZja4sSumcYQp" TargetMode="External"/><Relationship Id="rId805" Type="http://schemas.openxmlformats.org/officeDocument/2006/relationships/hyperlink" Target="https://www.facebook.com/ads/library/?active_status=active&amp;ad_type=all&amp;country=ALL&amp;q=jeitoprofessoradeser&amp;search_type=keyword_unordered&amp;media_type=all" TargetMode="External"/><Relationship Id="rId806" Type="http://schemas.openxmlformats.org/officeDocument/2006/relationships/hyperlink" Target="https://l.facebook.com/l.php?u=https%3A%2F%2Fjeitoprofessoradeser.com.br%2Fproduct%2Fdescobrindo-as-texturas%2F%3Ffbclid%3DIwcGRvZgFleHRuA2FlbQIxMABicmlkETFXNzlsVXpoUDVDNVVuakFSc3J0YwZhcHBfaWQPNTQxNjM5NDkzODg5MDI1AAEefbFGDO-zrlIqJQIlM89BJn9ihvjEznXMXNSN5_" TargetMode="External"/><Relationship Id="rId807" Type="http://schemas.openxmlformats.org/officeDocument/2006/relationships/hyperlink" Target="https://www.facebook.com/ads/library/?active_status=active&amp;ad_type=all&amp;country=ALL&amp;q=Col&#233;gio%20Positivo&amp;search_type=keyword_unordered&amp;media_type=all" TargetMode="External"/><Relationship Id="rId808" Type="http://schemas.openxmlformats.org/officeDocument/2006/relationships/hyperlink" Target="https://l.facebook.com/l.php?u=https%3A%2F%2Fcolegiopositivo.com.br%2Fcolegio%2Fjardim-ambiental%2F%3Futm_source%3Dmetaads%26utm_medium%3Dcpc%26utm_campaign%3Dicherry_posi-cwb_curitiba_Dire-influ_always-on_consideracao_trafego_leilao_metaads_none_none%26u" TargetMode="External"/><Relationship Id="rId809" Type="http://schemas.openxmlformats.org/officeDocument/2006/relationships/hyperlink" Target="https://www.facebook.com/ads/library/?active_status=active&amp;ad_type=all&amp;country=ALL&amp;q=Prof&#170;%20Karina%20Tarefinhas&amp;search_type=keyword_unordered&amp;media_type=all" TargetMode="External"/><Relationship Id="rId810" Type="http://schemas.openxmlformats.org/officeDocument/2006/relationships/hyperlink" Target="https://l.facebook.com/l.php?u=https%3A%2F%2Fsilabassimples.karinatarefinhas.com.br%2F%3Ffbclid%3DIwcGRvZgFleHRuA2FlbQIxMABicmlkETFXNzlsVXpoUDVDNVVuakFSc3J0YwZhcHBfaWQPNTQxNjM5NDkzODg5MDI1AAEeomo5_C6J2q3cxfNXzkZroM0VILYhv9g6P2DO5yVgnfUBZbvhqs3M9JiYyF0_aem" TargetMode="External"/><Relationship Id="rId811" Type="http://schemas.openxmlformats.org/officeDocument/2006/relationships/hyperlink" Target="https://www.facebook.com/ads/library/?active_status=active&amp;ad_type=all&amp;country=ALL&amp;q=Col&#233;gio%20N&#243;s&amp;search_type=keyword_unordered&amp;media_type=all" TargetMode="External"/><Relationship Id="rId812" Type="http://schemas.openxmlformats.org/officeDocument/2006/relationships/hyperlink" Target="https://l.facebook.com/l.php?u=https%3A%2F%2Fmatriculas.colegionos.com%2F%3Ffbclid%3DIwcGRvZgFleHRuA2FlbQIxMABicmlkETFXNzlsVXpoUDVDNVVuakFSc3J0YwZhcHBfaWQPNTQxNjM5NDkzODg5MDI1AAEeIbNyWNnqt2-4raZja4sSumcYQpNwnkV8H12szpx0xM1nhqpZ-pH7bYS1Jwo_aem_kq6TAF2G9pPU" TargetMode="External"/><Relationship Id="rId813" Type="http://schemas.openxmlformats.org/officeDocument/2006/relationships/hyperlink" Target="https://www.facebook.com/ads/library/?active_status=active&amp;ad_type=all&amp;country=ALL&amp;q=Centro%20Educacional%20Ess&#234;ncia%20de%20Vida&amp;search_type=keyword_unordered&amp;media_type=all" TargetMode="External"/><Relationship Id="rId814" Type="http://schemas.openxmlformats.org/officeDocument/2006/relationships/hyperlink" Target="https://l.facebook.com/l.php?u=https%3A%2F%2Fwww.instagram.com%2Fceessenciadevida%2F%3Ffbclid%3DIwcGRvZgFleHRuA2FlbQIxMABicmlkETFXNzlsVXpoUDVDNVVuakFSc3J0YwZhcHBfaWQPNTQxNjM5NDkzODg5MDI1AAEe6-lGHam-0fdkKTskoHoSKGSmqNV9VvipHgVFi62EM8HQmWSe7Dfh30LV9E4_aem_j" TargetMode="External"/><Relationship Id="rId815" Type="http://schemas.openxmlformats.org/officeDocument/2006/relationships/hyperlink" Target="https://www.facebook.com/ads/library/?active_status=active&amp;ad_type=all&amp;country=ALL&amp;q=Estrelakidsofcial&amp;search_type=keyword_unordered&amp;media_type=all" TargetMode="External"/><Relationship Id="rId816" Type="http://schemas.openxmlformats.org/officeDocument/2006/relationships/hyperlink" Target="https://api.whatsapp.com/send" TargetMode="External"/><Relationship Id="rId817" Type="http://schemas.openxmlformats.org/officeDocument/2006/relationships/hyperlink" Target="https://www.facebook.com/ads/library/?active_status=active&amp;ad_type=all&amp;country=ALL&amp;q=Col&#233;gio%20Universit&#225;rio%20de%20Londrina&amp;search_type=keyword_unordered&amp;media_type=all" TargetMode="External"/><Relationship Id="rId818" Type="http://schemas.openxmlformats.org/officeDocument/2006/relationships/hyperlink" Target="https://l.facebook.com/l.php?u=https%3A%2F%2Fwww.colegioecursouniversitario.com.br%2Fmedio-matriculas-2027%2F%3Futm_source%3Dfacebook%26utm_medium%3Dpaid%26utm_campaign%3Dnpbr_universitario_facebook_lead_fundo_medio_aon%26utm_content%3Dnpbr_ciclo_interess" TargetMode="External"/><Relationship Id="rId819" Type="http://schemas.openxmlformats.org/officeDocument/2006/relationships/hyperlink" Target="https://www.facebook.com/ads/library/?active_status=active&amp;ad_type=all&amp;country=ALL&amp;q=Col&#233;gio%20Real&amp;search_type=keyword_unordered&amp;media_type=all" TargetMode="External"/><Relationship Id="rId820" Type="http://schemas.openxmlformats.org/officeDocument/2006/relationships/hyperlink" Target="https://api.whatsapp.com/send" TargetMode="External"/><Relationship Id="rId821" Type="http://schemas.openxmlformats.org/officeDocument/2006/relationships/hyperlink" Target="https://www.facebook.com/ads/library/?active_status=active&amp;ad_type=all&amp;country=ALL&amp;q=Col&#233;gio%20APOGEU&amp;search_type=keyword_unordered&amp;media_type=all" TargetMode="External"/><Relationship Id="rId822" Type="http://schemas.openxmlformats.org/officeDocument/2006/relationships/hyperlink" Target="https://l.facebook.com/l.php?u=http%3A%2F%2Ffb.me%2F&amp;h=AUCSvaiFYluCrwvUX96TO9ecJ379v9Bsu66JouQzAu7aUUZDyeYE9b8QMV6oarun2-207rbUBmWF7jqojuL7PdZPXWszSHGGccjzxqyzQ9B_fsJy8oVGZ0dgxqdbH3vhl2zeEKW5H_c" TargetMode="External"/><Relationship Id="rId823" Type="http://schemas.openxmlformats.org/officeDocument/2006/relationships/hyperlink" Target="https://www.facebook.com/ads/library/?active_status=active&amp;ad_type=all&amp;country=ALL&amp;q=Col&#233;gio%20Universit&#225;rio%20de%20Londrina&amp;search_type=keyword_unordered&amp;media_type=all" TargetMode="External"/><Relationship Id="rId824" Type="http://schemas.openxmlformats.org/officeDocument/2006/relationships/hyperlink" Target="https://l.facebook.com/l.php?u=https%3A%2F%2Fwww.colegioecursouniversitario.com.br%2Finfantil-matriculas-2027%3Futm_source%3Dfacebook%26utm_medium%3Dpaid%26utm_campaign%3Dnpbr_universitario_facebook_lead_fundo_infantil_aon%26utm_content%3Dnpbr_ciclo_inter" TargetMode="External"/><Relationship Id="rId825" Type="http://schemas.openxmlformats.org/officeDocument/2006/relationships/hyperlink" Target="https://www.facebook.com/ads/library/?active_status=active&amp;ad_type=all&amp;country=ALL&amp;q=Mundo%20da%20pedagogia%20&amp;search_type=keyword_unordered&amp;media_type=all" TargetMode="External"/><Relationship Id="rId826" Type="http://schemas.openxmlformats.org/officeDocument/2006/relationships/hyperlink" Target="https://api.whatsapp.com/send" TargetMode="External"/><Relationship Id="rId827" Type="http://schemas.openxmlformats.org/officeDocument/2006/relationships/hyperlink" Target="https://www.facebook.com/ads/library/?active_status=active&amp;ad_type=all&amp;country=ALL&amp;q=Escola%20Rembrandt&amp;search_type=keyword_unordered&amp;media_type=all" TargetMode="External"/><Relationship Id="rId828" Type="http://schemas.openxmlformats.org/officeDocument/2006/relationships/hyperlink" Target="https://l.facebook.com/l.php?u=https%3A%2F%2Fescolarembrandt.com.br%2Fmatriculas-2027%2F%3Ffbclid%3DIwcGRvZgFleHRuA2FlbQIxMABicmlkETFXNzlsVXpoUDVDNVVuakFSc3J0YwZhcHBfaWQPNTQxNjM5NDkzODg5MDI1AAEe6-lGHam-0fdkKTskoHoSKGSmqNV9VvipHgVFi62EM8HQmWSe7Dfh30LV9E4_a" TargetMode="External"/><Relationship Id="rId829" Type="http://schemas.openxmlformats.org/officeDocument/2006/relationships/hyperlink" Target="https://www.facebook.com/ads/library/?active_status=active&amp;ad_type=all&amp;country=ALL&amp;q=P&#225;gina%20%22Carlos%20Amastha%22&amp;search_type=keyword_unordered&amp;media_type=all" TargetMode="External"/><Relationship Id="rId830" Type="http://schemas.openxmlformats.org/officeDocument/2006/relationships/hyperlink" Target="https://l.facebook.com/l.php?u=http%3A%2F%2Finstagram.com%2Famastha2026%3Ffbclid%3DIwcGRvZgFleHRuA2FlbQIxMABicmlkETFXNzlsVXpoUDVDNVVuakFSc3J0YwZhcHBfaWQPNTQxNjM5NDkzODg5MDI1AAEefbFGDO-zrlIqJQIlM89BJn9ihvjEznXMXNSN5_rYbXTZcEwyAe3CyzX9PY4_aem_CQ8R76th59r1hQ" TargetMode="External"/><Relationship Id="rId831" Type="http://schemas.openxmlformats.org/officeDocument/2006/relationships/hyperlink" Target="https://www.facebook.com/ads/library/?active_status=active&amp;ad_type=all&amp;country=ALL&amp;q=Col&#233;gio%20Antares&amp;search_type=keyword_unordered&amp;media_type=all" TargetMode="External"/><Relationship Id="rId832" Type="http://schemas.openxmlformats.org/officeDocument/2006/relationships/hyperlink" Target="https://l.facebook.com/l.php?u=https%3A%2F%2Fwww.colegioantares.com.br%2Fmatriculas2027%2F%3Ffbclid%3DIwcGRvZgFleHRuA2FlbQIxMABicmlkETFXNzlsVXpoUDVDNVVuakFSc3J0YwZhcHBfaWQPNTQxNjM5NDkzODg5MDI1AAEeo6JyMjm1XPgMuTrdSlDmfT6YyerozLW2goY7wbM4vUwq0i3rwsBPh9wXcW0" TargetMode="External"/><Relationship Id="rId833" Type="http://schemas.openxmlformats.org/officeDocument/2006/relationships/hyperlink" Target="https://www.facebook.com/ads/library/?active_status=active&amp;ad_type=all&amp;country=ALL&amp;q=Col&#233;gio%20Objetivo&amp;search_type=keyword_unordered&amp;media_type=all" TargetMode="External"/><Relationship Id="rId834" Type="http://schemas.openxmlformats.org/officeDocument/2006/relationships/hyperlink" Target="https://l.facebook.com/l.php?u=https%3A%2F%2Fwww.objetivo.br%2Fmatriculas%2Fformulario-interesse.aspx%3Fid%3DOP-0565%26fbclid%3DIwcGRvZgFleHRuA2FlbQIxMABicmlkETFXNzlsVXpoUDVDNVVuakFSc3J0YwZhcHBfaWQPNTQxNjM5NDkzODg5MDI1AAEeomo5_C6J2q3cxfNXzkZroM0VILYhv9g6P" TargetMode="External"/><Relationship Id="rId835" Type="http://schemas.openxmlformats.org/officeDocument/2006/relationships/hyperlink" Target="https://www.facebook.com/ads/library/?active_status=active&amp;ad_type=all&amp;country=ALL&amp;q=Pedagogia%20toda%20hora&amp;search_type=keyword_unordered&amp;media_type=all" TargetMode="External"/><Relationship Id="rId836" Type="http://schemas.openxmlformats.org/officeDocument/2006/relationships/hyperlink" Target="https://api.whatsapp.com/send" TargetMode="External"/><Relationship Id="rId837" Type="http://schemas.openxmlformats.org/officeDocument/2006/relationships/hyperlink" Target="https://www.facebook.com/ads/library/?active_status=active&amp;ad_type=all&amp;country=ALL&amp;q=Escola%20SEB%20Dom%20Bosco&amp;search_type=keyword_unordered&amp;media_type=all" TargetMode="External"/><Relationship Id="rId838" Type="http://schemas.openxmlformats.org/officeDocument/2006/relationships/hyperlink" Target="https://l.facebook.com/l.php?u=https%3A%2F%2Flp.curitiba-dombosco.escolaseb.com.br%2Fagendamento%3Ffbclid%3DIwcGRvZgFleHRuA2FlbQIxMABicmlkETFXNzlsVXpoUDVDNVVuakFSc3J0YwZhcHBfaWQPNTQxNjM5NDkzODg5MDI1AAEeH1AJh0vlnF3AlOcgu47q8hasJKuoUFcuVs3sw1Tqc3snFg8RJeOhe" TargetMode="External"/><Relationship Id="rId839" Type="http://schemas.openxmlformats.org/officeDocument/2006/relationships/hyperlink" Target="https://www.facebook.com/ads/library/?active_status=active&amp;ad_type=all&amp;country=ALL&amp;q=Espa&#231;o%20Col&#233;gio%20Day%20Care&amp;search_type=keyword_unordered&amp;media_type=all" TargetMode="External"/><Relationship Id="rId840" Type="http://schemas.openxmlformats.org/officeDocument/2006/relationships/hyperlink" Target="https://api.whatsapp.com/send" TargetMode="External"/><Relationship Id="rId841" Type="http://schemas.openxmlformats.org/officeDocument/2006/relationships/hyperlink" Target="https://www.facebook.com/ads/library/?active_status=active&amp;ad_type=all&amp;country=ALL&amp;q=Col&#233;gio%20Ineditec&amp;search_type=keyword_unordered&amp;media_type=all" TargetMode="External"/><Relationship Id="rId842" Type="http://schemas.openxmlformats.org/officeDocument/2006/relationships/hyperlink" Target="https://l.facebook.com/l.php?u=https%3A%2F%2Finstagram.com%2Fcolegioineditec%3Ffbclid%3DIwcGRvZgFleHRuA2FlbQIxMABicmlkETFXNzlsVXpoUDVDNVVuakFSc3J0YwZhcHBfaWQPNTQxNjM5NDkzODg5MDI1AAEeIbNyWNnqt2-4raZja4sSumcYQpNwnkV8H12szpx0xM1nhqpZ-pH7bYS1Jwo_aem_kq6TAF2G9" TargetMode="External"/><Relationship Id="rId843" Type="http://schemas.openxmlformats.org/officeDocument/2006/relationships/hyperlink" Target="https://www.facebook.com/ads/library/?active_status=active&amp;ad_type=all&amp;country=ALL&amp;q=Col&#233;gio%20Carlos%20Drummond%20de%20Andrade&amp;search_type=keyword_unordered&amp;media_type=all" TargetMode="External"/><Relationship Id="rId844" Type="http://schemas.openxmlformats.org/officeDocument/2006/relationships/hyperlink" Target="https://www.facebook.com/ads/library/?active_status=active&amp;ad_type=all&amp;country=ALL&amp;q=P&#225;gina%20%22Carlos%20Amastha%22&amp;search_type=keyword_unordered&amp;media_type=all" TargetMode="External"/><Relationship Id="rId845" Type="http://schemas.openxmlformats.org/officeDocument/2006/relationships/hyperlink" Target="https://l.facebook.com/l.php?u=https%3A%2F%2Finstagram.com%2Famastha2026%3Ffbclid%3DIwcGRvZgFleHRuA2FlbQIxMABicmlkETFXNzlsVXpoUDVDNVVuakFSc3J0YwZhcHBfaWQPNTQxNjM5NDkzODg5MDI1AAEefnH1UbdwofpdI_CiMiZqSVSkG-E51GXidOepqY31qSthTm9SFWcX8r87ZdM_aem_92EA8pIARN0bI" TargetMode="External"/><Relationship Id="rId846" Type="http://schemas.openxmlformats.org/officeDocument/2006/relationships/hyperlink" Target="https://www.facebook.com/ads/library/?active_status=active&amp;ad_type=all&amp;country=ALL&amp;q=Col&#233;gio%20Itatiaia&amp;search_type=keyword_unordered&amp;media_type=all" TargetMode="External"/><Relationship Id="rId847" Type="http://schemas.openxmlformats.org/officeDocument/2006/relationships/hyperlink" Target="https://l.facebook.com/l.php?u=https%3A%2F%2Fcolegioitatiaia.com.br%2Fbercario-lp%2F%3Ffbclid%3DIwcGRvZgFleHRuA2FlbQIxMABicmlkETFXNzlsVXpoUDVDNVVuakFSc3J0YwZhcHBfaWQPNTQxNjM5NDkzODg5MDI1AAEeIbNyWNnqt2-4raZja4sSumcYQpNwnkV8H12szpx0xM1nhqpZ-pH7bYS1Jwo_aem_k" TargetMode="External"/><Relationship Id="rId848" Type="http://schemas.openxmlformats.org/officeDocument/2006/relationships/hyperlink" Target="https://www.facebook.com/ads/library/?active_status=active&amp;ad_type=all&amp;country=ALL&amp;q=Voa%20Conhecimento&amp;search_type=keyword_unordered&amp;media_type=all" TargetMode="External"/><Relationship Id="rId849" Type="http://schemas.openxmlformats.org/officeDocument/2006/relationships/hyperlink" Target="https://l.facebook.com/l.php?u=https%3A%2F%2Fvoaconhecimento.com.br%2Fjornada-bncc-na-pratica%3Fsrc%3DMTADS-BNCC019_%257B%257Badset.name%257D%257D_%257B%257Bad.name%257D%257D_MTADS-BNCC019_%257B%257Bcampaign.name%257D%257D_%257B%257Badset.name%257D%257D_%" TargetMode="External"/><Relationship Id="rId850" Type="http://schemas.openxmlformats.org/officeDocument/2006/relationships/hyperlink" Target="https://www.facebook.com/ads/library/?active_status=active&amp;ad_type=all&amp;country=ALL&amp;q=SAGRADO%20-%20Rede%20de%20Educa&#231;&#227;o&amp;search_type=keyword_unordered&amp;media_type=all" TargetMode="External"/><Relationship Id="rId851" Type="http://schemas.openxmlformats.org/officeDocument/2006/relationships/hyperlink" Target="https://l.facebook.com/l.php?u=https%3A%2F%2Fcampanha.redesagradosul.com.br%2F%3Ffbclid%3DIwcGRvZgFleHRuA2FlbQIxMABicmlkETFXNzlsVXpoUDVDNVVuakFSc3J0YwZhcHBfaWQPNTQxNjM5NDkzODg5MDI1AAEeo6JyMjm1XPgMuTrdSlDmfT6YyerozLW2goY7wbM4vUwq0i3rwsBPh9wXcW0_aem_Bbd3xtF" TargetMode="External"/><Relationship Id="rId852" Type="http://schemas.openxmlformats.org/officeDocument/2006/relationships/hyperlink" Target="https://www.facebook.com/ads/library/?active_status=active&amp;ad_type=all&amp;country=ALL&amp;q=Camila%20Medeiros%20-%20Psicopedagoga&amp;search_type=keyword_unordered&amp;media_type=all" TargetMode="External"/><Relationship Id="rId853" Type="http://schemas.openxmlformats.org/officeDocument/2006/relationships/hyperlink" Target="https://l.facebook.com/l.php?u=https%3A%2F%2Fwww.profcamila.com%2Feducacaoinfantil%3Ffbclid%3DIwcGRvZgFleHRuA2FlbQIxMABicmlkETFXNzlsVXpoUDVDNVVuakFSc3J0YwZhcHBfaWQPNTQxNjM5NDkzODg5MDI1AAEefbFGDO-zrlIqJQIlM89BJn9ihvjEznXMXNSN5_rYbXTZcEwyAe3CyzX9PY4_aem_CQ8" TargetMode="External"/><Relationship Id="rId854" Type="http://schemas.openxmlformats.org/officeDocument/2006/relationships/hyperlink" Target="https://www.facebook.com/ads/library/?active_status=active&amp;ad_type=all&amp;country=ALL&amp;q=Gabarito%20Educa&#231;&#227;o&amp;search_type=keyword_unordered&amp;media_type=all" TargetMode="External"/><Relationship Id="rId855" Type="http://schemas.openxmlformats.org/officeDocument/2006/relationships/hyperlink" Target="https://l.facebook.com/l.php?u=https%3A%2F%2Fgabaritoeducacao.com%2F%3Ffbclid%3DIwcGRvZgFleHRuA2FlbQIxMABicmlkETFXNzlsVXpoUDVDNVVuakFSc3J0YwZhcHBfaWQPNTQxNjM5NDkzODg5MDI1AAEefnH1UbdwofpdI_CiMiZqSVSkG-E51GXidOepqY31qSthTm9SFWcX8r87ZdM_aem_92EA8pIARN0bInN1Y" TargetMode="External"/><Relationship Id="rId856" Type="http://schemas.openxmlformats.org/officeDocument/2006/relationships/hyperlink" Target="https://www.facebook.com/ads/library/?active_status=active&amp;ad_type=all&amp;country=ALL&amp;q=Col&#233;gio%20Santa%20Maria&amp;search_type=keyword_unordered&amp;media_type=all" TargetMode="External"/><Relationship Id="rId857" Type="http://schemas.openxmlformats.org/officeDocument/2006/relationships/hyperlink" Target="https://l.facebook.com/l.php?u=https%3A%2F%2Flp.colegiosantamaria.com.br%2Fagende-uma-visita%3Ffbclid%3DIwcGRvZgFleHRuA2FlbQIxMABicmlkETFXNzlsVXpoUDVDNVVuakFSc3J0YwZhcHBfaWQPNTQxNjM5NDkzODg5MDI1AAEeo6JyMjm1XPgMuTrdSlDmfT6YyerozLW2goY7wbM4vUwq0i3rwsBPh9wXc" TargetMode="External"/><Relationship Id="rId858" Type="http://schemas.openxmlformats.org/officeDocument/2006/relationships/hyperlink" Target="https://www.facebook.com/ads/library/?active_status=active&amp;ad_type=all&amp;country=ALL&amp;q=Col&#233;gio%20Logos&#243;fico%20S&#227;o%20Paulo&amp;search_type=keyword_unordered&amp;media_type=all" TargetMode="External"/><Relationship Id="rId859" Type="http://schemas.openxmlformats.org/officeDocument/2006/relationships/hyperlink" Target="https://l.facebook.com/l.php?u=https%3A%2F%2Fportas-abertas-capture.lovable.app%2F%3Fv%3D5%26utm_source%3Dmeta%26utm_medium%3Dcpc%26utm_campaign%3Dtraf_portas%26fbclid%3DIwcGRvZgFleHRuA2FlbQIxMABicmlkETFXNzlsVXpoUDVDNVVuakFSc3J0YwZhcHBfaWQPNTQxNjM5NDkzODg" TargetMode="External"/><Relationship Id="rId860" Type="http://schemas.openxmlformats.org/officeDocument/2006/relationships/hyperlink" Target="https://www.facebook.com/ads/library/?active_status=active&amp;ad_type=all&amp;country=ALL&amp;q=Col&#233;gio%20Santa%20Maria&amp;search_type=keyword_unordered&amp;media_type=all" TargetMode="External"/><Relationship Id="rId861" Type="http://schemas.openxmlformats.org/officeDocument/2006/relationships/hyperlink" Target="https://l.facebook.com/l.php?u=https%3A%2F%2Flp.colegiosantamaria.com.br%2Fagende-uma-visita%3Ffbclid%3DIwcGRvZgFleHRuA2FlbQIxMABicmlkETFXNzlsVXpoUDVDNVVuakFSc3J0YwZhcHBfaWQPNTQxNjM5NDkzODg5MDI1AAEeH1AJh0vlnF3AlOcgu47q8hasJKuoUFcuVs3sw1Tqc3snFg8RJeOheD-ct" TargetMode="External"/><Relationship Id="rId862" Type="http://schemas.openxmlformats.org/officeDocument/2006/relationships/hyperlink" Target="https://www.facebook.com/ads/library/?active_status=active&amp;ad_type=all&amp;country=ALL&amp;q=Col&#233;gio%20Nossa%20Senhora%20da%20Concei&#231;&#227;o&amp;search_type=keyword_unordered&amp;media_type=all" TargetMode="External"/><Relationship Id="rId863" Type="http://schemas.openxmlformats.org/officeDocument/2006/relationships/hyperlink" Target="https://l.facebook.com/l.php?u=https%3A%2F%2Fforms.gle%2FLjmT6SaqYaLscAEy5%3Ffbclid%3DIwcGRvZgFleHRuA2FlbQIxMABicmlkETFXNzlsVXpoUDVDNVVuakFSc3J0YwZhcHBfaWQPNTQxNjM5NDkzODg5MDI1AAEe6-lGHam-0fdkKTskoHoSKGSmqNV9VvipHgVFi62EM8HQmWSe7Dfh30LV9E4_aem_jPsRlTWOrr4" TargetMode="External"/><Relationship Id="rId864" Type="http://schemas.openxmlformats.org/officeDocument/2006/relationships/hyperlink" Target="https://www.facebook.com/ads/library/?active_status=active&amp;ad_type=all&amp;country=ALL&amp;q=Yury%20Bruno&amp;search_type=keyword_unordered&amp;media_type=all" TargetMode="External"/><Relationship Id="rId865" Type="http://schemas.openxmlformats.org/officeDocument/2006/relationships/hyperlink" Target="https://l.facebook.com/l.php?u=http%3A%2F%2Finstagram.com%2Fyurydoparedao%3Ffbclid%3DIwcGRvZgFleHRuA2FlbQIxMABicmlkETFXNzlsVXpoUDVDNVVuakFSc3J0YwZhcHBfaWQPNTQxNjM5NDkzODg5MDI1AAEef2Ay9JH-w62yBzipAYnGYPW8DpiIbNWtsD3FV7TbiynhJrf2FJ-gR6gVWdQ_aem_PkwtiNv2ICYF" TargetMode="External"/><Relationship Id="rId866" Type="http://schemas.openxmlformats.org/officeDocument/2006/relationships/hyperlink" Target="https://www.facebook.com/ads/library/?active_status=active&amp;ad_type=all&amp;country=ALL&amp;q=Mendon&#231;a%20Filho&amp;search_type=keyword_unordered&amp;media_type=all" TargetMode="External"/><Relationship Id="rId867" Type="http://schemas.openxmlformats.org/officeDocument/2006/relationships/hyperlink" Target="https://scontent.ffor7-1.fna.fbcdn.net/o1/v/t2/f2/m367/AQNloV3wFeYEO9OH__AGX53TujrFbQSnDSZ9H6s4dj2vhIiJAyYlcX3Xf1HzXMC8FcXXe4bHzk2iC9F7VmTFkIh7jI-GJ1GjfmhJ8csieg.mp4?_nc_cat=110&amp;_nc_oc=AdrVIt0IdtpJURcBYwbue4NpValX3S6FMOVhBvefpexnwu-2_Yy0D_jYMc9dFnisrDM&amp;_n" TargetMode="External"/><Relationship Id="rId868" Type="http://schemas.openxmlformats.org/officeDocument/2006/relationships/hyperlink" Target="https://www.facebook.com/ads/library/?active_status=active&amp;ad_type=all&amp;country=ALL&amp;q=Col&#233;gio%20CEI&amp;search_type=keyword_unordered&amp;media_type=all" TargetMode="External"/><Relationship Id="rId869" Type="http://schemas.openxmlformats.org/officeDocument/2006/relationships/hyperlink" Target="https://l.facebook.com/l.php?u=https%3A%2F%2Fwww.ceinet.com.br%2Fsejacei2027%3Ffbclid%3DIwcGRvZgFleHRuA2FlbQIxMABicmlkETFXNzlsVXpoUDVDNVVuakFSc3J0YwZhcHBfaWQPNTQxNjM5NDkzODg5MDI1AAEeo6JyMjm1XPgMuTrdSlDmfT6YyerozLW2goY7wbM4vUwq0i3rwsBPh9wXcW0_aem_Bbd3xtFGd" TargetMode="External"/><Relationship Id="rId870" Type="http://schemas.openxmlformats.org/officeDocument/2006/relationships/hyperlink" Target="https://www.facebook.com/ads/library/?active_status=active&amp;ad_type=all&amp;country=ALL&amp;q=Paulo%20Teixeira&amp;search_type=keyword_unordered&amp;media_type=all" TargetMode="External"/><Relationship Id="rId871" Type="http://schemas.openxmlformats.org/officeDocument/2006/relationships/hyperlink" Target="https://l.facebook.com/l.php?u=https%3A%2F%2Fwww.instagram.com%2Fpauloteixeira13%2F%3Ffbclid%3DIwcGRvZgFleHRuA2FlbQIxMABicmlkETFXNzlsVXpoUDVDNVVuakFSc3J0YwZhcHBfaWQPNTQxNjM5NDkzODg5MDI1AAEeo6JyMjm1XPgMuTrdSlDmfT6YyerozLW2goY7wbM4vUwq0i3rwsBPh9wXcW0_aem_Bb" TargetMode="External"/><Relationship Id="rId872" Type="http://schemas.openxmlformats.org/officeDocument/2006/relationships/hyperlink" Target="https://www.facebook.com/ads/library/?active_status=active&amp;ad_type=all&amp;country=ALL&amp;q=Col&#233;gio%20B&#225;sico%20de%20Campinas&amp;search_type=keyword_unordered&amp;media_type=all" TargetMode="External"/><Relationship Id="rId873" Type="http://schemas.openxmlformats.org/officeDocument/2006/relationships/hyperlink" Target="https://api.whatsapp.com/send" TargetMode="External"/><Relationship Id="rId874" Type="http://schemas.openxmlformats.org/officeDocument/2006/relationships/hyperlink" Target="https://www.facebook.com/ads/library/?active_status=active&amp;ad_type=all&amp;country=ALL&amp;q=Zool&#243;gico%20de%20S&#227;o%20Paulo&amp;search_type=keyword_unordered&amp;media_type=all" TargetMode="External"/><Relationship Id="rId875" Type="http://schemas.openxmlformats.org/officeDocument/2006/relationships/hyperlink" Target="https://l.facebook.com/l.php?u=https%3A%2F%2Fzoologico.com.br%2Freconnect%3Ffbclid%3DIwcGRvZgFleHRuA2FlbQIxMABicmlkETFXNzlsVXpoUDVDNVVuakFSc3J0YwZhcHBfaWQPNTQxNjM5NDkzODg5MDI1AAEeomo5_C6J2q3cxfNXzkZroM0VILYhv9g6P2DO5yVgnfUBZbvhqs3M9JiYyF0_aem_ufln1sjNgmn5" TargetMode="External"/><Relationship Id="rId876" Type="http://schemas.openxmlformats.org/officeDocument/2006/relationships/hyperlink" Target="https://www.facebook.com/ads/library/?active_status=active&amp;ad_type=all&amp;country=ALL&amp;q=Col&#233;gio%20Motivo&amp;search_type=keyword_unordered&amp;media_type=all" TargetMode="External"/><Relationship Id="rId877" Type="http://schemas.openxmlformats.org/officeDocument/2006/relationships/hyperlink" Target="https://l.facebook.com/l.php?u=http%3A%2F%2Fwww.colegiomotivo.com.br%2Fmatriculas2027%3Ffbclid%3DIwcGRvZgFleHRuA2FlbQIxMABicmlkETFXNzlsVXpoUDVDNVVuakFSc3J0YwZhcHBfaWQPNTQxNjM5NDkzODg5MDI1AAEe6-lGHam-0fdkKTskoHoSKGSmqNV9VvipHgVFi62EM8HQmWSe7Dfh30LV9E4_aem_" TargetMode="External"/><Relationship Id="rId878" Type="http://schemas.openxmlformats.org/officeDocument/2006/relationships/hyperlink" Target="https://www.facebook.com/ads/library/?active_status=active&amp;ad_type=all&amp;country=ALL&amp;q=Andr&#233;%20Gomes&amp;search_type=keyword_unordered&amp;media_type=all" TargetMode="External"/><Relationship Id="rId879" Type="http://schemas.openxmlformats.org/officeDocument/2006/relationships/hyperlink" Target="https://l.facebook.com/l.php?u=https%3A%2F%2Fwww.instagram.com%2Fandregomes.pb%2F%3Ffbclid%3DIwcGRvZgFleHRuA2FlbQIxMABicmlkETFXNzlsVXpoUDVDNVVuakFSc3J0YwZhcHBfaWQPNTQxNjM5NDkzODg5MDI1AAEe6-lGHam-0fdkKTskoHoSKGSmqNV9VvipHgVFi62EM8HQmWSe7Dfh30LV9E4_aem_jPsR" TargetMode="External"/><Relationship Id="rId880" Type="http://schemas.openxmlformats.org/officeDocument/2006/relationships/hyperlink" Target="https://www.facebook.com/ads/library/?active_status=active&amp;ad_type=all&amp;country=ALL&amp;q=Col&#233;gio%20&#193;baco&amp;search_type=keyword_unordered&amp;media_type=all" TargetMode="External"/><Relationship Id="rId881" Type="http://schemas.openxmlformats.org/officeDocument/2006/relationships/hyperlink" Target="https://l.facebook.com/l.php?u=https%3A%2F%2Fatlasedu.com.br%2Fsismat%2Fmodules%2Fcampaigns%2FdUJ1SExkQVZUNk01TlNrUnQwMnc5cWdNSmpab3dsRzlWVk40OTRjUDIyZnR2eitQ%2Fregister%3Ffbclid%3DIwcGRvZgFleHRuA2FlbQIxMABicmlkETFXNzlsVXpoUDVDNVVuakFSc3J0YwZhcHBfaWQPNTQx" TargetMode="External"/><Relationship Id="rId882" Type="http://schemas.openxmlformats.org/officeDocument/2006/relationships/hyperlink" Target="https://www.facebook.com/ads/library/?active_status=active&amp;ad_type=all&amp;country=ALL&amp;q=Pedro%20Uczai&amp;search_type=keyword_unordered&amp;media_type=all" TargetMode="External"/><Relationship Id="rId883" Type="http://schemas.openxmlformats.org/officeDocument/2006/relationships/hyperlink" Target="https://l.facebook.com/l.php?u=https%3A%2F%2Fwww.instagram.com%2Fpedro.uczai%2F%3Ffbclid%3DIwcGRvZgFleHRuA2FlbQIxMABicmlkETFXNzlsVXpoUDVDNVVuakFSc3J0YwZhcHBfaWQPNTQxNjM5NDkzODg5MDI1AAEei-7k0OCV6rulAxe8m7jBCbQ9cA8KiGcW5XYIS0hD0RgB02J221k76asUC-Q_aem_r7SThf" TargetMode="External"/><Relationship Id="rId884" Type="http://schemas.openxmlformats.org/officeDocument/2006/relationships/hyperlink" Target="https://www.facebook.com/ads/library/?active_status=active&amp;ad_type=all&amp;country=ALL&amp;q=Atto%20Educacional&amp;search_type=keyword_unordered&amp;media_type=all" TargetMode="External"/><Relationship Id="rId885" Type="http://schemas.openxmlformats.org/officeDocument/2006/relationships/hyperlink" Target="https://l.facebook.com/l.php?u=http%3A%2F%2Fwww.attoeducacional.com.br%2F%3Ffbclid%3DIwcGRvZgFleHRuA2FlbQIxMABicmlkETFXNzlsVXpoUDVDNVVuakFSc3J0YwZhcHBfaWQPNTQxNjM5NDkzODg5MDI1AAEefnH1UbdwofpdI_CiMiZqSVSkG-E51GXidOepqY31qSthTm9SFWcX8r87ZdM_aem_92EA8pIARN0b" TargetMode="External"/><Relationship Id="rId886" Type="http://schemas.openxmlformats.org/officeDocument/2006/relationships/hyperlink" Target="https://www.facebook.com/ads/library/?active_status=active&amp;ad_type=all&amp;country=ALL&amp;q=Voa%20Conhecimento&amp;search_type=keyword_unordered&amp;media_type=all" TargetMode="External"/><Relationship Id="rId887" Type="http://schemas.openxmlformats.org/officeDocument/2006/relationships/hyperlink" Target="https://l.facebook.com/l.php?u=https%3A%2F%2Fvoaconhecimento.com.br%2Fjornada-bncc-na-pratica%3Fsrc%3DMTADS-BNCC019_%257B%257Badset.name%257D%257D_%257B%257Bad.name%257D%257D_MTADS-BNCC019_%257B%257Bcampaign.name%257D%257D_%257B%257Badset.name%257D%257D_%" TargetMode="External"/><Relationship Id="rId888" Type="http://schemas.openxmlformats.org/officeDocument/2006/relationships/hyperlink" Target="https://www.facebook.com/ads/library/?active_status=active&amp;ad_type=all&amp;country=ALL&amp;q=Escola%20Rembrandt&amp;search_type=keyword_unordered&amp;media_type=all" TargetMode="External"/><Relationship Id="rId889" Type="http://schemas.openxmlformats.org/officeDocument/2006/relationships/hyperlink" Target="https://l.facebook.com/l.php?u=https%3A%2F%2Fescolarembrandt.com.br%2Fmatriculas-2027%2F%3Ffbclid%3DIwcGRvZgFleHRuA2FlbQIxMABicmlkETFXNzlsVXpoUDVDNVVuakFSc3J0YwZhcHBfaWQPNTQxNjM5NDkzODg5MDI1AAEemiG7ZJSZpG9eI9fq5mE7SXnRpY_yuEiuCxv85peaXE2F7vnxtjwNXuT-oUQ_a" TargetMode="External"/><Relationship Id="rId890" Type="http://schemas.openxmlformats.org/officeDocument/2006/relationships/hyperlink" Target="https://www.facebook.com/ads/library/?active_status=active&amp;ad_type=all&amp;country=ALL&amp;q=Plaza%20Shopping%20Niteroi&amp;search_type=keyword_unordered&amp;media_type=all" TargetMode="External"/><Relationship Id="rId891" Type="http://schemas.openxmlformats.org/officeDocument/2006/relationships/hyperlink" Target="https://l.facebook.com/l.php?u=https%3A%2F%2Fplazaniteroi.com.br%2F%3Fcnddefault%3Dtrue%26utm_campaign%3Dfranco_plaza-niteroi_festival-de-escolas-e-cursos_divulgacao_2609_na_alcance_awareness%26utm_source%3Dfacebook-instagram%26utm_medium%3Dsocial%26utm_c" TargetMode="External"/><Relationship Id="rId892" Type="http://schemas.openxmlformats.org/officeDocument/2006/relationships/hyperlink" Target="https://www.facebook.com/ads/library/?active_status=active&amp;ad_type=all&amp;country=ALL&amp;q=Col&#233;gio%20Integrado&amp;search_type=keyword_unordered&amp;media_type=all" TargetMode="External"/><Relationship Id="rId893" Type="http://schemas.openxmlformats.org/officeDocument/2006/relationships/hyperlink" Target="https://l.facebook.com/l.php?u=https%3A%2F%2Fsouintegrado.com.br%2F%3Ffbclid%3DIwcGRvZgFleHRuA2FlbQIxMABicmlkETFXNzlsVXpoUDVDNVVuakFSc3J0YwZhcHBfaWQPNTQxNjM5NDkzODg5MDI1AAEe6-lGHam-0fdkKTskoHoSKGSmqNV9VvipHgVFi62EM8HQmWSe7Dfh30LV9E4_aem_jPsRlTWOrr4GIBSAUQ" TargetMode="External"/><Relationship Id="rId894" Type="http://schemas.openxmlformats.org/officeDocument/2006/relationships/hyperlink" Target="https://www.facebook.com/ads/library/?active_status=active&amp;ad_type=all&amp;country=ALL&amp;q=NeuroSaber&amp;search_type=keyword_unordered&amp;media_type=all" TargetMode="External"/><Relationship Id="rId895" Type="http://schemas.openxmlformats.org/officeDocument/2006/relationships/hyperlink" Target="https://l.facebook.com/l.php?u=https%3A%2F%2Fpromaisneurosaber.com.br%2Fneuroficina-da-matematica%2F%3Ffbclid%3DIwcGRvZgFleHRuA2FlbQIxMABicmlkETFXNzlsVXpoUDVDNVVuakFSc3J0YwZhcHBfaWQPNTQxNjM5NDkzODg5MDI1AAEe6-lGHam-0fdkKTskoHoSKGSmqNV9VvipHgVFi62EM8HQmWSe7" TargetMode="External"/><Relationship Id="rId896" Type="http://schemas.openxmlformats.org/officeDocument/2006/relationships/hyperlink" Target="https://www.facebook.com/ads/library/?active_status=active&amp;ad_type=all&amp;country=ALL&amp;q=Pensi%20Col&#233;gio%20e%20Curso&amp;search_type=keyword_unordered&amp;media_type=all" TargetMode="External"/><Relationship Id="rId897" Type="http://schemas.openxmlformats.org/officeDocument/2006/relationships/hyperlink" Target="https://l.facebook.com/l.php?u=https%3A%2F%2Fpensi.com.br%2Fmatriculas2027%2F%3Ffbclid%3DIwcGRvZgFleHRuA2FlbQIxMABicmlkETFXNzlsVXpoUDVDNVVuakFSc3J0YwZhcHBfaWQPNTQxNjM5NDkzODg5MDI1AAEeo6JyMjm1XPgMuTrdSlDmfT6YyerozLW2goY7wbM4vUwq0i3rwsBPh9wXcW0_aem_Bbd3xtFG" TargetMode="External"/><Relationship Id="rId898" Type="http://schemas.openxmlformats.org/officeDocument/2006/relationships/hyperlink" Target="https://www.facebook.com/ads/library/?active_status=active&amp;ad_type=all&amp;country=ALL&amp;q=Col&#233;gio%20ARBOS&amp;search_type=keyword_unordered&amp;media_type=all" TargetMode="External"/><Relationship Id="rId899" Type="http://schemas.openxmlformats.org/officeDocument/2006/relationships/hyperlink" Target="https://l.facebook.com/l.php?u=https%3A%2F%2Fforms.cloud.microsoft%2Fr%2F5Rwida9Vba%3Ffbclid%3DIwcGRvZgFleHRuA2FlbQIxMABicmlkETFXNzlsVXpoUDVDNVVuakFSc3J0YwZhcHBfaWQPNTQxNjM5NDkzODg5MDI1AAEefnH1UbdwofpdI_CiMiZqSVSkG-E51GXidOepqY31qSthTm9SFWcX8r87ZdM_aem_92" TargetMode="External"/><Relationship Id="rId900" Type="http://schemas.openxmlformats.org/officeDocument/2006/relationships/hyperlink" Target="https://www.facebook.com/ads/library/?active_status=active&amp;ad_type=all&amp;country=ALL&amp;q=Escola%20Visconde%20de%20Sabugosa&amp;search_type=keyword_unordered&amp;media_type=all" TargetMode="External"/><Relationship Id="rId901" Type="http://schemas.openxmlformats.org/officeDocument/2006/relationships/hyperlink" Target="https://l.facebook.com/l.php?u=https%3A%2F%2Fescolaviscondedesabugosa.com.br%2F%3Ffbclid%3DIwcGRvZgFleHRuA2FlbQIxMABicmlkETFXNzlsVXpoUDVDNVVuakFSc3J0YwZhcHBfaWQPNTQxNjM5NDkzODg5MDI1AAEefnH1UbdwofpdI_CiMiZqSVSkG-E51GXidOepqY31qSthTm9SFWcX8r87ZdM_aem_92EA8p" TargetMode="External"/><Relationship Id="rId902" Type="http://schemas.openxmlformats.org/officeDocument/2006/relationships/hyperlink" Target="https://www.facebook.com/ads/library/?active_status=active&amp;ad_type=all&amp;country=ALL&amp;q=Ju%20Mildemberg&amp;search_type=keyword_unordered&amp;media_type=all" TargetMode="External"/><Relationship Id="rId903" Type="http://schemas.openxmlformats.org/officeDocument/2006/relationships/hyperlink" Target="https://l.facebook.com/l.php?u=https%3A%2F%2Fwww.instagram.com%2F%3Ffbclid%3DIwcGRvZgFleHRuA2FlbQIxMABicmlkETFXNzlsVXpoUDVDNVVuakFSc3J0YwZhcHBfaWQPNTQxNjM5NDkzODg5MDI1AAEeomo5_C6J2q3cxfNXzkZroM0VILYhv9g6P2DO5yVgnfUBZbvhqs3M9JiYyF0_aem_ufln1sjNgmn5B-KCbgu6" TargetMode="External"/><Relationship Id="rId904" Type="http://schemas.openxmlformats.org/officeDocument/2006/relationships/hyperlink" Target="https://www.facebook.com/ads/library/?active_status=active&amp;ad_type=all&amp;country=ALL&amp;q=CIE%20%2F%20Centro%20Integrado%20de%20Ensino&amp;search_type=keyword_unordered&amp;media_type=all" TargetMode="External"/><Relationship Id="rId905" Type="http://schemas.openxmlformats.org/officeDocument/2006/relationships/hyperlink" Target="https://l.facebook.com/l.php?u=https%3A%2F%2Fcieducando.com.br%2Fmatriculas2027%3Ffbclid%3DIwcGRvZgFleHRuA2FlbQIxMABicmlkETFXNzlsVXpoUDVDNVVuakFSc3J0YwZhcHBfaWQPNTQxNjM5NDkzODg5MDI1AAEei-7k0OCV6rulAxe8m7jBCbQ9cA8KiGcW5XYIS0hD0RgB02J221k76asUC-Q_aem_r7SThf" TargetMode="External"/><Relationship Id="rId906" Type="http://schemas.openxmlformats.org/officeDocument/2006/relationships/hyperlink" Target="https://www.facebook.com/ads/library/?active_status=active&amp;ad_type=all&amp;country=ALL&amp;q=Mapas%20Pedag&#243;gicos&amp;search_type=keyword_unordered&amp;media_type=all" TargetMode="External"/><Relationship Id="rId907" Type="http://schemas.openxmlformats.org/officeDocument/2006/relationships/hyperlink" Target="https://l.facebook.com/l.php?u=https%3A%2F%2Finstagram.com%2Fmapaspedagogicos%3Ffbclid%3DIwcGRvZgFleHRuA2FlbQIxMABicmlkETFXNzlsVXpoUDVDNVVuakFSc3J0YwZhcHBfaWQPNTQxNjM5NDkzODg5MDI1AAEeIbNyWNnqt2-4raZja4sSumcYQpNwnkV8H12szpx0xM1nhqpZ-pH7bYS1Jwo_aem_kq6TAF2G" TargetMode="External"/><Relationship Id="rId908" Type="http://schemas.openxmlformats.org/officeDocument/2006/relationships/hyperlink" Target="https://www.facebook.com/ads/library/?active_status=active&amp;ad_type=all&amp;country=ALL&amp;q=Pritt&amp;search_type=keyword_unordered&amp;media_type=all" TargetMode="External"/><Relationship Id="rId909" Type="http://schemas.openxmlformats.org/officeDocument/2006/relationships/hyperlink" Target="https://l.facebook.com/l.php?u=https%3A%2F%2Fwww.prittworld.com.br%2F%3Ffbclid%3DIwcGRvZgFleHRuA2FlbQIxMABicmlkETFXNzlsVXpoUDVDNVVuakFSc3J0YwZhcHBfaWQPNTQxNjM5NDkzODg5MDI1AAEefnH1UbdwofpdI_CiMiZqSVSkG-E51GXidOepqY31qSthTm9SFWcX8r87ZdM_aem_92EA8pIARN0bInN1" TargetMode="External"/><Relationship Id="rId910" Type="http://schemas.openxmlformats.org/officeDocument/2006/relationships/hyperlink" Target="https://www.facebook.com/ads/library/?active_status=active&amp;ad_type=all&amp;country=ALL&amp;q=P&#225;gina%20%22Eliel%20Miranda%22&amp;search_type=keyword_unordered&amp;media_type=all" TargetMode="External"/><Relationship Id="rId911" Type="http://schemas.openxmlformats.org/officeDocument/2006/relationships/hyperlink" Target="https://www.facebook.com/elielmirandadeputadofederal5553" TargetMode="External"/><Relationship Id="rId912" Type="http://schemas.openxmlformats.org/officeDocument/2006/relationships/hyperlink" Target="https://www.facebook.com/ads/library/?active_status=active&amp;ad_type=all&amp;country=ALL&amp;q=Miguel%20Coelho&amp;search_type=keyword_unordered&amp;media_type=all" TargetMode="External"/><Relationship Id="rId913" Type="http://schemas.openxmlformats.org/officeDocument/2006/relationships/hyperlink" Target="https://scontent.ffor7-1.fna.fbcdn.net/o1/v/t2/f2/m367/AQP9DlIpuZzi2HlRDv3crfRjqJCNq5DAXnHxx07jVyOuk-N25dH6G_r1E-2OKzTzTglYt2BhC6vCVSSAB57P3vZAM7I3gqlWooVEywXEwg.mp4?_nc_cat=106&amp;_nc_oc=AdoOihQzrTqU2lsvLHIDQ8J-EPPRQlrw-SB7RVjBsnb_J0_OAqfnDr9oRjsejwWOFS8&amp;_n" TargetMode="External"/><Relationship Id="rId914" Type="http://schemas.openxmlformats.org/officeDocument/2006/relationships/hyperlink" Target="https://www.facebook.com/ads/library/?active_status=active&amp;ad_type=all&amp;country=ALL&amp;q=Veja%20dicas%20de%20pesquisa.&amp;search_type=keyword_unordered&amp;media_type=all" TargetMode="External"/><Relationship Id="rId915" Type="http://schemas.openxmlformats.org/officeDocument/2006/relationships/hyperlink" Target="https://www.facebook.com/ads/library/?active_status=active&amp;ad_type=political_and_issue_ads&amp;country=BR&amp;is_targeted_country=false&amp;media_type=all&amp;sort_data[mode]=total_impressions&amp;sort_data[direction]=desc" TargetMode="External"/><Relationship Id="rId916" Type="http://schemas.openxmlformats.org/officeDocument/2006/relationships/hyperlink" Target="https://www.facebook.com/ads/library/?active_status=active&amp;ad_type=all&amp;country=ALL&amp;q=Mar&#237;lia%20Campos&amp;search_type=keyword_unordered&amp;media_type=all" TargetMode="External"/><Relationship Id="rId917" Type="http://schemas.openxmlformats.org/officeDocument/2006/relationships/hyperlink" Target="https://l.facebook.com/l.php?u=https%3A%2F%2Fwww.instagram.com%2Fmariliacampos.mg%3Ffbclid%3DIwcGRvZgFleHRuA2FlbQIxMABicmlkETFXNzlsVXpoUDVDNVVuakFSc3J0YwZhcHBfaWQPNTQxNjM5NDkzODg5MDI1AAEei-7k0OCV6rulAxe8m7jBCbQ9cA8KiGcW5XYIS0hD0RgB02J221k76asUC-Q_aem_r7ST" TargetMode="External"/><Relationship Id="rId918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9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0" t="s">
        <v>3</v>
      </c>
      <c r="B5" s="4" t="n">
        <v>0.55</v>
      </c>
      <c r="C5" s="5" t="s">
        <v>4</v>
      </c>
    </row>
    <row r="6" customFormat="false" ht="15" hidden="false" customHeight="false" outlineLevel="0" collapsed="false">
      <c r="A6" s="0" t="s">
        <v>5</v>
      </c>
      <c r="B6" s="4" t="n">
        <v>0.45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true" outlineLevel="0" collapsed="false">
      <c r="A9" s="6" t="s">
        <v>7</v>
      </c>
      <c r="B9" s="7"/>
      <c r="C9" s="8"/>
    </row>
    <row r="10" customFormat="false" ht="30" hidden="false" customHeight="true" outlineLevel="0" collapsed="false">
      <c r="A10" s="7" t="s">
        <v>8</v>
      </c>
      <c r="B10" s="7" t="s">
        <v>9</v>
      </c>
      <c r="C10" s="8" t="s">
        <v>10</v>
      </c>
    </row>
    <row r="11" customFormat="false" ht="15" hidden="false" customHeight="true" outlineLevel="0" collapsed="false">
      <c r="A11" s="7" t="s">
        <v>11</v>
      </c>
      <c r="B11" s="7" t="s">
        <v>9</v>
      </c>
      <c r="C11" s="8" t="s">
        <v>12</v>
      </c>
    </row>
    <row r="12" customFormat="false" ht="30" hidden="false" customHeight="true" outlineLevel="0" collapsed="false">
      <c r="A12" s="7" t="s">
        <v>13</v>
      </c>
      <c r="B12" s="7" t="s">
        <v>9</v>
      </c>
      <c r="C12" s="8" t="s">
        <v>14</v>
      </c>
    </row>
    <row r="13" customFormat="false" ht="15" hidden="false" customHeight="true" outlineLevel="0" collapsed="false">
      <c r="A13" s="7"/>
      <c r="B13" s="7"/>
      <c r="C13" s="8"/>
    </row>
    <row r="14" customFormat="false" ht="15" hidden="false" customHeight="true" outlineLevel="0" collapsed="false">
      <c r="A14" s="6" t="s">
        <v>15</v>
      </c>
      <c r="B14" s="7"/>
      <c r="C14" s="8"/>
    </row>
    <row r="15" customFormat="false" ht="30" hidden="false" customHeight="true" outlineLevel="0" collapsed="false">
      <c r="A15" s="7" t="s">
        <v>16</v>
      </c>
      <c r="B15" s="7" t="s">
        <v>17</v>
      </c>
      <c r="C15" s="8" t="s">
        <v>18</v>
      </c>
    </row>
    <row r="16" customFormat="false" ht="30" hidden="false" customHeight="true" outlineLevel="0" collapsed="false">
      <c r="A16" s="7" t="s">
        <v>19</v>
      </c>
      <c r="B16" s="7" t="s">
        <v>20</v>
      </c>
      <c r="C16" s="8" t="s">
        <v>21</v>
      </c>
    </row>
    <row r="17" customFormat="false" ht="30" hidden="false" customHeight="true" outlineLevel="0" collapsed="false">
      <c r="A17" s="7" t="s">
        <v>22</v>
      </c>
      <c r="B17" s="7" t="s">
        <v>23</v>
      </c>
      <c r="C17" s="8" t="s">
        <v>24</v>
      </c>
    </row>
    <row r="18" customFormat="false" ht="15" hidden="false" customHeight="true" outlineLevel="0" collapsed="false">
      <c r="A18" s="7" t="s">
        <v>25</v>
      </c>
      <c r="B18" s="7" t="s">
        <v>26</v>
      </c>
      <c r="C18" s="8" t="s">
        <v>27</v>
      </c>
    </row>
    <row r="19" customFormat="false" ht="15" hidden="false" customHeight="true" outlineLevel="0" collapsed="false">
      <c r="A19" s="7"/>
      <c r="B19" s="7"/>
      <c r="C19" s="8"/>
    </row>
    <row r="20" customFormat="false" ht="30" hidden="false" customHeight="true" outlineLevel="0" collapsed="false">
      <c r="A20" s="6" t="s">
        <v>28</v>
      </c>
      <c r="B20" s="7"/>
      <c r="C20" s="8" t="s">
        <v>29</v>
      </c>
    </row>
    <row r="21" customFormat="false" ht="15" hidden="false" customHeight="true" outlineLevel="0" collapsed="false">
      <c r="A21" s="7"/>
      <c r="B21" s="7"/>
      <c r="C21" s="8"/>
    </row>
    <row r="22" customFormat="false" ht="30" hidden="false" customHeight="true" outlineLevel="0" collapsed="false">
      <c r="A22" s="6" t="s">
        <v>30</v>
      </c>
      <c r="B22" s="7"/>
      <c r="C22" s="8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11"/>
    <col collapsed="false" customWidth="true" hidden="false" outlineLevel="0" max="7" min="6" style="0" width="10"/>
    <col collapsed="false" customWidth="true" hidden="false" outlineLevel="0" max="8" min="8" style="0" width="9"/>
    <col collapsed="false" customWidth="true" hidden="false" outlineLevel="0" max="9" min="9" style="0" width="17"/>
    <col collapsed="false" customWidth="true" hidden="false" outlineLevel="0" max="10" min="10" style="0" width="34"/>
    <col collapsed="false" customWidth="true" hidden="false" outlineLevel="0" max="12" min="11" style="0" width="7"/>
    <col collapsed="false" customWidth="true" hidden="false" outlineLevel="0" max="17" min="13" style="0" width="8"/>
    <col collapsed="false" customWidth="true" hidden="false" outlineLevel="0" max="19" min="18" style="0" width="10"/>
    <col collapsed="false" customWidth="true" hidden="false" outlineLevel="0" max="20" min="20" style="0" width="11"/>
    <col collapsed="false" customWidth="true" hidden="false" outlineLevel="0" max="21" min="21" style="0" width="12"/>
    <col collapsed="false" customWidth="true" hidden="false" outlineLevel="0" max="22" min="22" style="0" width="10"/>
  </cols>
  <sheetData>
    <row r="1" customFormat="false" ht="16.15" hidden="false" customHeight="false" outlineLevel="0" collapsed="false">
      <c r="A1" s="9" t="s">
        <v>32</v>
      </c>
    </row>
    <row r="2" customFormat="false" ht="15" hidden="false" customHeight="false" outlineLevel="0" collapsed="false">
      <c r="A2" s="10" t="s">
        <v>33</v>
      </c>
    </row>
    <row r="4" customFormat="false" ht="33.75" hidden="false" customHeight="true" outlineLevel="0" collapsed="false">
      <c r="A4" s="11" t="s">
        <v>34</v>
      </c>
      <c r="B4" s="11" t="s">
        <v>35</v>
      </c>
      <c r="C4" s="11" t="s">
        <v>36</v>
      </c>
      <c r="D4" s="11" t="s">
        <v>37</v>
      </c>
      <c r="E4" s="11" t="s">
        <v>38</v>
      </c>
      <c r="F4" s="11" t="s">
        <v>39</v>
      </c>
      <c r="G4" s="11" t="s">
        <v>40</v>
      </c>
      <c r="H4" s="11" t="s">
        <v>41</v>
      </c>
      <c r="I4" s="11" t="s">
        <v>42</v>
      </c>
      <c r="J4" s="11" t="s">
        <v>43</v>
      </c>
      <c r="K4" s="11" t="s">
        <v>44</v>
      </c>
      <c r="L4" s="11" t="s">
        <v>45</v>
      </c>
      <c r="M4" s="11" t="s">
        <v>46</v>
      </c>
      <c r="N4" s="11" t="s">
        <v>47</v>
      </c>
      <c r="O4" s="11" t="s">
        <v>48</v>
      </c>
      <c r="P4" s="11" t="s">
        <v>49</v>
      </c>
      <c r="Q4" s="11" t="s">
        <v>50</v>
      </c>
      <c r="R4" s="11" t="s">
        <v>51</v>
      </c>
      <c r="S4" s="11" t="s">
        <v>52</v>
      </c>
      <c r="T4" s="11" t="s">
        <v>53</v>
      </c>
      <c r="U4" s="11" t="s">
        <v>54</v>
      </c>
      <c r="V4" s="11" t="s">
        <v>55</v>
      </c>
    </row>
    <row r="5" customFormat="false" ht="15" hidden="false" customHeight="false" outlineLevel="0" collapsed="false">
      <c r="A5" s="12" t="n">
        <v>1</v>
      </c>
      <c r="B5" s="13" t="s">
        <v>56</v>
      </c>
      <c r="C5" s="14" t="s">
        <v>57</v>
      </c>
      <c r="D5" s="14" t="s">
        <v>58</v>
      </c>
      <c r="E5" s="12" t="n">
        <v>456</v>
      </c>
      <c r="F5" s="12" t="n">
        <v>6</v>
      </c>
      <c r="G5" s="12" t="n">
        <v>6</v>
      </c>
      <c r="H5" s="12" t="s">
        <v>59</v>
      </c>
      <c r="I5" s="12" t="s">
        <v>60</v>
      </c>
      <c r="J5" s="14" t="s">
        <v>61</v>
      </c>
      <c r="K5" s="15" t="n">
        <v>10</v>
      </c>
      <c r="L5" s="15" t="n">
        <v>8</v>
      </c>
      <c r="M5" s="15" t="n">
        <v>8</v>
      </c>
      <c r="N5" s="15" t="n">
        <v>10</v>
      </c>
      <c r="O5" s="15" t="n">
        <v>10</v>
      </c>
      <c r="P5" s="15" t="n">
        <v>10</v>
      </c>
      <c r="Q5" s="15" t="n">
        <v>9</v>
      </c>
      <c r="R5" s="16" t="n">
        <f aca="false">ROUND(K5*0.55+L5*0.25+M5*0.2,1)</f>
        <v>9.1</v>
      </c>
      <c r="S5" s="16" t="n">
        <f aca="false">ROUND(N5*0.35+O5*0.25+P5*0.25+Q5*0.15,1)</f>
        <v>9.9</v>
      </c>
      <c r="T5" s="17" t="n">
        <f aca="false">ROUND(R5*'Como ler'!$B$5+S5*'Como ler'!$B$6,1)</f>
        <v>9.5</v>
      </c>
      <c r="U5" s="18" t="s">
        <v>62</v>
      </c>
      <c r="V5" s="18" t="s">
        <v>63</v>
      </c>
    </row>
    <row r="6" customFormat="false" ht="15" hidden="false" customHeight="false" outlineLevel="0" collapsed="false">
      <c r="A6" s="12" t="n">
        <v>2</v>
      </c>
      <c r="B6" s="13" t="s">
        <v>64</v>
      </c>
      <c r="C6" s="14" t="s">
        <v>65</v>
      </c>
      <c r="D6" s="14" t="s">
        <v>58</v>
      </c>
      <c r="E6" s="12" t="n">
        <v>380</v>
      </c>
      <c r="F6" s="12" t="n">
        <v>12</v>
      </c>
      <c r="G6" s="12" t="n">
        <v>15</v>
      </c>
      <c r="H6" s="12" t="s">
        <v>66</v>
      </c>
      <c r="I6" s="12" t="s">
        <v>60</v>
      </c>
      <c r="J6" s="14" t="s">
        <v>67</v>
      </c>
      <c r="K6" s="15" t="n">
        <v>10</v>
      </c>
      <c r="L6" s="15" t="n">
        <v>10</v>
      </c>
      <c r="M6" s="15" t="n">
        <v>10</v>
      </c>
      <c r="N6" s="15" t="n">
        <v>10</v>
      </c>
      <c r="O6" s="15" t="n">
        <v>7</v>
      </c>
      <c r="P6" s="15" t="n">
        <v>10</v>
      </c>
      <c r="Q6" s="15" t="n">
        <v>6</v>
      </c>
      <c r="R6" s="16" t="n">
        <f aca="false">ROUND(K6*0.55+L6*0.25+M6*0.2,1)</f>
        <v>10</v>
      </c>
      <c r="S6" s="16" t="n">
        <f aca="false">ROUND(N6*0.35+O6*0.25+P6*0.25+Q6*0.15,1)</f>
        <v>8.7</v>
      </c>
      <c r="T6" s="17" t="n">
        <f aca="false">ROUND(R6*'Como ler'!$B$5+S6*'Como ler'!$B$6,1)</f>
        <v>9.4</v>
      </c>
      <c r="U6" s="18" t="s">
        <v>62</v>
      </c>
      <c r="V6" s="18" t="s">
        <v>63</v>
      </c>
    </row>
    <row r="7" customFormat="false" ht="15" hidden="false" customHeight="false" outlineLevel="0" collapsed="false">
      <c r="A7" s="12" t="n">
        <v>3</v>
      </c>
      <c r="B7" s="13" t="s">
        <v>68</v>
      </c>
      <c r="C7" s="14" t="s">
        <v>69</v>
      </c>
      <c r="D7" s="14" t="s">
        <v>58</v>
      </c>
      <c r="E7" s="12" t="n">
        <v>388</v>
      </c>
      <c r="F7" s="12" t="n">
        <v>4</v>
      </c>
      <c r="G7" s="12" t="n">
        <v>6</v>
      </c>
      <c r="H7" s="12" t="s">
        <v>59</v>
      </c>
      <c r="I7" s="12" t="s">
        <v>60</v>
      </c>
      <c r="J7" s="14" t="s">
        <v>70</v>
      </c>
      <c r="K7" s="15" t="n">
        <v>10</v>
      </c>
      <c r="L7" s="15" t="n">
        <v>6</v>
      </c>
      <c r="M7" s="15" t="n">
        <v>8</v>
      </c>
      <c r="N7" s="15" t="n">
        <v>10</v>
      </c>
      <c r="O7" s="15" t="n">
        <v>7</v>
      </c>
      <c r="P7" s="15" t="n">
        <v>10</v>
      </c>
      <c r="Q7" s="15" t="n">
        <v>9</v>
      </c>
      <c r="R7" s="16" t="n">
        <f aca="false">ROUND(K7*0.55+L7*0.25+M7*0.2,1)</f>
        <v>8.6</v>
      </c>
      <c r="S7" s="16" t="n">
        <f aca="false">ROUND(N7*0.35+O7*0.25+P7*0.25+Q7*0.15,1)</f>
        <v>9.1</v>
      </c>
      <c r="T7" s="17" t="n">
        <f aca="false">ROUND(R7*'Como ler'!$B$5+S7*'Como ler'!$B$6,1)</f>
        <v>8.8</v>
      </c>
      <c r="U7" s="18" t="s">
        <v>62</v>
      </c>
      <c r="V7" s="18" t="s">
        <v>63</v>
      </c>
    </row>
    <row r="8" customFormat="false" ht="15" hidden="false" customHeight="false" outlineLevel="0" collapsed="false">
      <c r="A8" s="12" t="n">
        <v>4</v>
      </c>
      <c r="B8" s="13" t="s">
        <v>71</v>
      </c>
      <c r="C8" s="14" t="s">
        <v>69</v>
      </c>
      <c r="D8" s="14" t="s">
        <v>58</v>
      </c>
      <c r="E8" s="12" t="n">
        <v>464</v>
      </c>
      <c r="F8" s="12" t="n">
        <v>3</v>
      </c>
      <c r="G8" s="12" t="n">
        <v>6</v>
      </c>
      <c r="H8" s="12" t="s">
        <v>66</v>
      </c>
      <c r="I8" s="12" t="s">
        <v>60</v>
      </c>
      <c r="J8" s="14" t="s">
        <v>72</v>
      </c>
      <c r="K8" s="15" t="n">
        <v>10</v>
      </c>
      <c r="L8" s="15" t="n">
        <v>6</v>
      </c>
      <c r="M8" s="15" t="n">
        <v>8</v>
      </c>
      <c r="N8" s="15" t="n">
        <v>10</v>
      </c>
      <c r="O8" s="15" t="n">
        <v>7</v>
      </c>
      <c r="P8" s="15" t="n">
        <v>10</v>
      </c>
      <c r="Q8" s="15" t="n">
        <v>6</v>
      </c>
      <c r="R8" s="16" t="n">
        <f aca="false">ROUND(K8*0.55+L8*0.25+M8*0.2,1)</f>
        <v>8.6</v>
      </c>
      <c r="S8" s="16" t="n">
        <f aca="false">ROUND(N8*0.35+O8*0.25+P8*0.25+Q8*0.15,1)</f>
        <v>8.7</v>
      </c>
      <c r="T8" s="17" t="n">
        <f aca="false">ROUND(R8*'Como ler'!$B$5+S8*'Como ler'!$B$6,1)</f>
        <v>8.6</v>
      </c>
      <c r="U8" s="18" t="s">
        <v>62</v>
      </c>
      <c r="V8" s="18" t="s">
        <v>63</v>
      </c>
    </row>
    <row r="9" customFormat="false" ht="15" hidden="false" customHeight="false" outlineLevel="0" collapsed="false">
      <c r="A9" s="12" t="n">
        <v>5</v>
      </c>
      <c r="B9" s="13" t="s">
        <v>73</v>
      </c>
      <c r="C9" s="14" t="s">
        <v>74</v>
      </c>
      <c r="D9" s="14" t="s">
        <v>58</v>
      </c>
      <c r="E9" s="12" t="n">
        <v>401</v>
      </c>
      <c r="F9" s="12" t="n">
        <v>3</v>
      </c>
      <c r="G9" s="12" t="n">
        <v>3</v>
      </c>
      <c r="H9" s="12" t="s">
        <v>59</v>
      </c>
      <c r="I9" s="12" t="s">
        <v>60</v>
      </c>
      <c r="J9" s="14" t="s">
        <v>75</v>
      </c>
      <c r="K9" s="15" t="n">
        <v>10</v>
      </c>
      <c r="L9" s="15" t="n">
        <v>6</v>
      </c>
      <c r="M9" s="15" t="n">
        <v>4</v>
      </c>
      <c r="N9" s="15" t="n">
        <v>10</v>
      </c>
      <c r="O9" s="15" t="n">
        <v>7</v>
      </c>
      <c r="P9" s="15" t="n">
        <v>10</v>
      </c>
      <c r="Q9" s="15" t="n">
        <v>9</v>
      </c>
      <c r="R9" s="16" t="n">
        <f aca="false">ROUND(K9*0.55+L9*0.25+M9*0.2,1)</f>
        <v>7.8</v>
      </c>
      <c r="S9" s="16" t="n">
        <f aca="false">ROUND(N9*0.35+O9*0.25+P9*0.25+Q9*0.15,1)</f>
        <v>9.1</v>
      </c>
      <c r="T9" s="17" t="n">
        <f aca="false">ROUND(R9*'Como ler'!$B$5+S9*'Como ler'!$B$6,1)</f>
        <v>8.4</v>
      </c>
      <c r="U9" s="18" t="s">
        <v>62</v>
      </c>
      <c r="V9" s="18" t="s">
        <v>63</v>
      </c>
    </row>
    <row r="10" customFormat="false" ht="15" hidden="false" customHeight="false" outlineLevel="0" collapsed="false">
      <c r="A10" s="12" t="n">
        <v>6</v>
      </c>
      <c r="B10" s="13" t="s">
        <v>76</v>
      </c>
      <c r="C10" s="14" t="s">
        <v>65</v>
      </c>
      <c r="D10" s="14" t="s">
        <v>58</v>
      </c>
      <c r="E10" s="12" t="n">
        <v>266</v>
      </c>
      <c r="F10" s="12" t="n">
        <v>3</v>
      </c>
      <c r="G10" s="12" t="n">
        <v>5</v>
      </c>
      <c r="H10" s="12" t="s">
        <v>66</v>
      </c>
      <c r="I10" s="12" t="s">
        <v>60</v>
      </c>
      <c r="J10" s="14" t="s">
        <v>77</v>
      </c>
      <c r="K10" s="15" t="n">
        <v>9</v>
      </c>
      <c r="L10" s="15" t="n">
        <v>6</v>
      </c>
      <c r="M10" s="15" t="n">
        <v>6</v>
      </c>
      <c r="N10" s="15" t="n">
        <v>10</v>
      </c>
      <c r="O10" s="15" t="n">
        <v>7</v>
      </c>
      <c r="P10" s="15" t="n">
        <v>10</v>
      </c>
      <c r="Q10" s="15" t="n">
        <v>6</v>
      </c>
      <c r="R10" s="16" t="n">
        <f aca="false">ROUND(K10*0.55+L10*0.25+M10*0.2,1)</f>
        <v>7.7</v>
      </c>
      <c r="S10" s="16" t="n">
        <f aca="false">ROUND(N10*0.35+O10*0.25+P10*0.25+Q10*0.15,1)</f>
        <v>8.7</v>
      </c>
      <c r="T10" s="17" t="n">
        <f aca="false">ROUND(R10*'Como ler'!$B$5+S10*'Como ler'!$B$6,1)</f>
        <v>8.2</v>
      </c>
      <c r="U10" s="18" t="s">
        <v>62</v>
      </c>
      <c r="V10" s="18" t="s">
        <v>63</v>
      </c>
    </row>
    <row r="11" customFormat="false" ht="15" hidden="false" customHeight="false" outlineLevel="0" collapsed="false">
      <c r="A11" s="12" t="n">
        <v>7</v>
      </c>
      <c r="B11" s="13" t="s">
        <v>78</v>
      </c>
      <c r="C11" s="14" t="s">
        <v>65</v>
      </c>
      <c r="D11" s="14" t="s">
        <v>58</v>
      </c>
      <c r="E11" s="12" t="n">
        <v>471</v>
      </c>
      <c r="F11" s="12" t="n">
        <v>2</v>
      </c>
      <c r="G11" s="12" t="n">
        <v>2</v>
      </c>
      <c r="H11" s="12" t="s">
        <v>66</v>
      </c>
      <c r="I11" s="12" t="s">
        <v>60</v>
      </c>
      <c r="J11" s="14" t="s">
        <v>79</v>
      </c>
      <c r="K11" s="15" t="n">
        <v>10</v>
      </c>
      <c r="L11" s="15" t="n">
        <v>4</v>
      </c>
      <c r="M11" s="15" t="n">
        <v>4</v>
      </c>
      <c r="N11" s="15" t="n">
        <v>10</v>
      </c>
      <c r="O11" s="15" t="n">
        <v>7</v>
      </c>
      <c r="P11" s="15" t="n">
        <v>10</v>
      </c>
      <c r="Q11" s="15" t="n">
        <v>6</v>
      </c>
      <c r="R11" s="16" t="n">
        <f aca="false">ROUND(K11*0.55+L11*0.25+M11*0.2,1)</f>
        <v>7.3</v>
      </c>
      <c r="S11" s="16" t="n">
        <f aca="false">ROUND(N11*0.35+O11*0.25+P11*0.25+Q11*0.15,1)</f>
        <v>8.7</v>
      </c>
      <c r="T11" s="17" t="n">
        <f aca="false">ROUND(R11*'Como ler'!$B$5+S11*'Como ler'!$B$6,1)</f>
        <v>7.9</v>
      </c>
      <c r="U11" s="18" t="s">
        <v>62</v>
      </c>
      <c r="V11" s="18" t="s">
        <v>63</v>
      </c>
    </row>
    <row r="12" customFormat="false" ht="15" hidden="false" customHeight="false" outlineLevel="0" collapsed="false">
      <c r="A12" s="12" t="n">
        <v>8</v>
      </c>
      <c r="B12" s="13" t="s">
        <v>80</v>
      </c>
      <c r="C12" s="14" t="s">
        <v>74</v>
      </c>
      <c r="D12" s="14" t="s">
        <v>58</v>
      </c>
      <c r="E12" s="12" t="n">
        <v>367</v>
      </c>
      <c r="F12" s="12" t="n">
        <v>1</v>
      </c>
      <c r="G12" s="12" t="n">
        <v>2</v>
      </c>
      <c r="H12" s="12" t="s">
        <v>59</v>
      </c>
      <c r="I12" s="12" t="s">
        <v>60</v>
      </c>
      <c r="J12" s="14" t="s">
        <v>81</v>
      </c>
      <c r="K12" s="15" t="n">
        <v>10</v>
      </c>
      <c r="L12" s="15" t="n">
        <v>2</v>
      </c>
      <c r="M12" s="15" t="n">
        <v>4</v>
      </c>
      <c r="N12" s="15" t="n">
        <v>10</v>
      </c>
      <c r="O12" s="15" t="n">
        <v>7</v>
      </c>
      <c r="P12" s="15" t="n">
        <v>10</v>
      </c>
      <c r="Q12" s="15" t="n">
        <v>9</v>
      </c>
      <c r="R12" s="16" t="n">
        <f aca="false">ROUND(K12*0.55+L12*0.25+M12*0.2,1)</f>
        <v>6.8</v>
      </c>
      <c r="S12" s="16" t="n">
        <f aca="false">ROUND(N12*0.35+O12*0.25+P12*0.25+Q12*0.15,1)</f>
        <v>9.1</v>
      </c>
      <c r="T12" s="17" t="n">
        <f aca="false">ROUND(R12*'Como ler'!$B$5+S12*'Como ler'!$B$6,1)</f>
        <v>7.8</v>
      </c>
      <c r="U12" s="18" t="s">
        <v>62</v>
      </c>
      <c r="V12" s="18" t="s">
        <v>63</v>
      </c>
    </row>
    <row r="13" customFormat="false" ht="15" hidden="false" customHeight="false" outlineLevel="0" collapsed="false">
      <c r="A13" s="12" t="n">
        <v>9</v>
      </c>
      <c r="B13" s="13" t="s">
        <v>82</v>
      </c>
      <c r="C13" s="14" t="s">
        <v>57</v>
      </c>
      <c r="D13" s="14" t="s">
        <v>58</v>
      </c>
      <c r="E13" s="12" t="n">
        <v>140</v>
      </c>
      <c r="F13" s="12" t="n">
        <v>3</v>
      </c>
      <c r="G13" s="12" t="n">
        <v>3</v>
      </c>
      <c r="H13" s="12" t="s">
        <v>66</v>
      </c>
      <c r="I13" s="12" t="s">
        <v>60</v>
      </c>
      <c r="J13" s="14" t="s">
        <v>83</v>
      </c>
      <c r="K13" s="15" t="n">
        <v>8</v>
      </c>
      <c r="L13" s="15" t="n">
        <v>6</v>
      </c>
      <c r="M13" s="15" t="n">
        <v>4</v>
      </c>
      <c r="N13" s="15" t="n">
        <v>10</v>
      </c>
      <c r="O13" s="15" t="n">
        <v>7</v>
      </c>
      <c r="P13" s="15" t="n">
        <v>10</v>
      </c>
      <c r="Q13" s="15" t="n">
        <v>6</v>
      </c>
      <c r="R13" s="16" t="n">
        <f aca="false">ROUND(K13*0.55+L13*0.25+M13*0.2,1)</f>
        <v>6.7</v>
      </c>
      <c r="S13" s="16" t="n">
        <f aca="false">ROUND(N13*0.35+O13*0.25+P13*0.25+Q13*0.15,1)</f>
        <v>8.7</v>
      </c>
      <c r="T13" s="17" t="n">
        <f aca="false">ROUND(R13*'Como ler'!$B$5+S13*'Como ler'!$B$6,1)</f>
        <v>7.6</v>
      </c>
      <c r="U13" s="18" t="s">
        <v>62</v>
      </c>
      <c r="V13" s="18" t="s">
        <v>63</v>
      </c>
    </row>
    <row r="14" customFormat="false" ht="15" hidden="false" customHeight="false" outlineLevel="0" collapsed="false">
      <c r="A14" s="12" t="n">
        <v>10</v>
      </c>
      <c r="B14" s="13" t="s">
        <v>84</v>
      </c>
      <c r="C14" s="14" t="s">
        <v>69</v>
      </c>
      <c r="D14" s="14" t="s">
        <v>58</v>
      </c>
      <c r="E14" s="12" t="n">
        <v>146</v>
      </c>
      <c r="F14" s="12" t="n">
        <v>2</v>
      </c>
      <c r="G14" s="12" t="n">
        <v>2</v>
      </c>
      <c r="H14" s="12" t="s">
        <v>66</v>
      </c>
      <c r="I14" s="12" t="s">
        <v>60</v>
      </c>
      <c r="J14" s="14" t="s">
        <v>85</v>
      </c>
      <c r="K14" s="15" t="n">
        <v>8</v>
      </c>
      <c r="L14" s="15" t="n">
        <v>4</v>
      </c>
      <c r="M14" s="15" t="n">
        <v>4</v>
      </c>
      <c r="N14" s="15" t="n">
        <v>10</v>
      </c>
      <c r="O14" s="15" t="n">
        <v>10</v>
      </c>
      <c r="P14" s="15" t="n">
        <v>10</v>
      </c>
      <c r="Q14" s="15" t="n">
        <v>6</v>
      </c>
      <c r="R14" s="16" t="n">
        <f aca="false">ROUND(K14*0.55+L14*0.25+M14*0.2,1)</f>
        <v>6.2</v>
      </c>
      <c r="S14" s="16" t="n">
        <f aca="false">ROUND(N14*0.35+O14*0.25+P14*0.25+Q14*0.15,1)</f>
        <v>9.4</v>
      </c>
      <c r="T14" s="17" t="n">
        <f aca="false">ROUND(R14*'Como ler'!$B$5+S14*'Como ler'!$B$6,1)</f>
        <v>7.6</v>
      </c>
      <c r="U14" s="18" t="s">
        <v>62</v>
      </c>
      <c r="V14" s="18" t="s">
        <v>63</v>
      </c>
    </row>
    <row r="15" customFormat="false" ht="15" hidden="false" customHeight="false" outlineLevel="0" collapsed="false">
      <c r="A15" s="12" t="n">
        <v>11</v>
      </c>
      <c r="B15" s="13" t="s">
        <v>86</v>
      </c>
      <c r="C15" s="14" t="s">
        <v>87</v>
      </c>
      <c r="D15" s="14" t="s">
        <v>58</v>
      </c>
      <c r="E15" s="12" t="n">
        <v>449</v>
      </c>
      <c r="F15" s="12" t="n">
        <v>1</v>
      </c>
      <c r="G15" s="12" t="n">
        <v>1</v>
      </c>
      <c r="H15" s="12" t="s">
        <v>66</v>
      </c>
      <c r="I15" s="12" t="s">
        <v>60</v>
      </c>
      <c r="J15" s="14" t="s">
        <v>88</v>
      </c>
      <c r="K15" s="15" t="n">
        <v>10</v>
      </c>
      <c r="L15" s="15" t="n">
        <v>2</v>
      </c>
      <c r="M15" s="15" t="n">
        <v>2</v>
      </c>
      <c r="N15" s="15" t="n">
        <v>10</v>
      </c>
      <c r="O15" s="15" t="n">
        <v>7</v>
      </c>
      <c r="P15" s="15" t="n">
        <v>10</v>
      </c>
      <c r="Q15" s="15" t="n">
        <v>6</v>
      </c>
      <c r="R15" s="16" t="n">
        <f aca="false">ROUND(K15*0.55+L15*0.25+M15*0.2,1)</f>
        <v>6.4</v>
      </c>
      <c r="S15" s="16" t="n">
        <f aca="false">ROUND(N15*0.35+O15*0.25+P15*0.25+Q15*0.15,1)</f>
        <v>8.7</v>
      </c>
      <c r="T15" s="17" t="n">
        <f aca="false">ROUND(R15*'Como ler'!$B$5+S15*'Como ler'!$B$6,1)</f>
        <v>7.4</v>
      </c>
      <c r="U15" s="18" t="s">
        <v>62</v>
      </c>
      <c r="V15" s="18" t="s">
        <v>63</v>
      </c>
    </row>
    <row r="16" customFormat="false" ht="15" hidden="false" customHeight="false" outlineLevel="0" collapsed="false">
      <c r="A16" s="12" t="n">
        <v>12</v>
      </c>
      <c r="B16" s="13" t="s">
        <v>89</v>
      </c>
      <c r="C16" s="14" t="s">
        <v>69</v>
      </c>
      <c r="D16" s="14" t="s">
        <v>58</v>
      </c>
      <c r="E16" s="12" t="n">
        <v>186</v>
      </c>
      <c r="F16" s="12" t="n">
        <v>1</v>
      </c>
      <c r="G16" s="12" t="n">
        <v>3</v>
      </c>
      <c r="H16" s="12" t="s">
        <v>66</v>
      </c>
      <c r="I16" s="12" t="s">
        <v>60</v>
      </c>
      <c r="J16" s="14" t="s">
        <v>90</v>
      </c>
      <c r="K16" s="15" t="n">
        <v>9</v>
      </c>
      <c r="L16" s="15" t="n">
        <v>2</v>
      </c>
      <c r="M16" s="15" t="n">
        <v>4</v>
      </c>
      <c r="N16" s="15" t="n">
        <v>10</v>
      </c>
      <c r="O16" s="15" t="n">
        <v>7</v>
      </c>
      <c r="P16" s="15" t="n">
        <v>10</v>
      </c>
      <c r="Q16" s="15" t="n">
        <v>6</v>
      </c>
      <c r="R16" s="16" t="n">
        <f aca="false">ROUND(K16*0.55+L16*0.25+M16*0.2,1)</f>
        <v>6.3</v>
      </c>
      <c r="S16" s="16" t="n">
        <f aca="false">ROUND(N16*0.35+O16*0.25+P16*0.25+Q16*0.15,1)</f>
        <v>8.7</v>
      </c>
      <c r="T16" s="17" t="n">
        <f aca="false">ROUND(R16*'Como ler'!$B$5+S16*'Como ler'!$B$6,1)</f>
        <v>7.4</v>
      </c>
      <c r="U16" s="18" t="s">
        <v>62</v>
      </c>
      <c r="V16" s="18" t="s">
        <v>63</v>
      </c>
    </row>
    <row r="17" customFormat="false" ht="15" hidden="false" customHeight="false" outlineLevel="0" collapsed="false">
      <c r="A17" s="12" t="n">
        <v>13</v>
      </c>
      <c r="B17" s="13" t="s">
        <v>91</v>
      </c>
      <c r="C17" s="14" t="s">
        <v>92</v>
      </c>
      <c r="D17" s="14" t="s">
        <v>58</v>
      </c>
      <c r="E17" s="12" t="n">
        <v>133</v>
      </c>
      <c r="F17" s="12" t="n">
        <v>1</v>
      </c>
      <c r="G17" s="12" t="n">
        <v>1</v>
      </c>
      <c r="H17" s="12" t="s">
        <v>59</v>
      </c>
      <c r="I17" s="12" t="s">
        <v>60</v>
      </c>
      <c r="J17" s="14" t="s">
        <v>93</v>
      </c>
      <c r="K17" s="15" t="n">
        <v>8</v>
      </c>
      <c r="L17" s="15" t="n">
        <v>2</v>
      </c>
      <c r="M17" s="15" t="n">
        <v>2</v>
      </c>
      <c r="N17" s="15" t="n">
        <v>10</v>
      </c>
      <c r="O17" s="15" t="n">
        <v>10</v>
      </c>
      <c r="P17" s="15" t="n">
        <v>10</v>
      </c>
      <c r="Q17" s="15" t="n">
        <v>9</v>
      </c>
      <c r="R17" s="16" t="n">
        <f aca="false">ROUND(K17*0.55+L17*0.25+M17*0.2,1)</f>
        <v>5.3</v>
      </c>
      <c r="S17" s="16" t="n">
        <f aca="false">ROUND(N17*0.35+O17*0.25+P17*0.25+Q17*0.15,1)</f>
        <v>9.9</v>
      </c>
      <c r="T17" s="17" t="n">
        <f aca="false">ROUND(R17*'Como ler'!$B$5+S17*'Como ler'!$B$6,1)</f>
        <v>7.4</v>
      </c>
      <c r="U17" s="18" t="s">
        <v>62</v>
      </c>
      <c r="V17" s="18" t="s">
        <v>63</v>
      </c>
    </row>
    <row r="18" customFormat="false" ht="15" hidden="false" customHeight="false" outlineLevel="0" collapsed="false">
      <c r="A18" s="12" t="n">
        <v>14</v>
      </c>
      <c r="B18" s="13" t="s">
        <v>94</v>
      </c>
      <c r="C18" s="14" t="s">
        <v>95</v>
      </c>
      <c r="D18" s="14" t="s">
        <v>58</v>
      </c>
      <c r="E18" s="12" t="n">
        <v>255</v>
      </c>
      <c r="F18" s="12" t="n">
        <v>1</v>
      </c>
      <c r="G18" s="12" t="n">
        <v>1</v>
      </c>
      <c r="H18" s="12" t="s">
        <v>59</v>
      </c>
      <c r="I18" s="12" t="s">
        <v>60</v>
      </c>
      <c r="J18" s="14" t="s">
        <v>96</v>
      </c>
      <c r="K18" s="15" t="n">
        <v>9</v>
      </c>
      <c r="L18" s="15" t="n">
        <v>2</v>
      </c>
      <c r="M18" s="15" t="n">
        <v>2</v>
      </c>
      <c r="N18" s="15" t="n">
        <v>10</v>
      </c>
      <c r="O18" s="15" t="n">
        <v>7</v>
      </c>
      <c r="P18" s="15" t="n">
        <v>10</v>
      </c>
      <c r="Q18" s="15" t="n">
        <v>9</v>
      </c>
      <c r="R18" s="16" t="n">
        <f aca="false">ROUND(K18*0.55+L18*0.25+M18*0.2,1)</f>
        <v>5.9</v>
      </c>
      <c r="S18" s="16" t="n">
        <f aca="false">ROUND(N18*0.35+O18*0.25+P18*0.25+Q18*0.15,1)</f>
        <v>9.1</v>
      </c>
      <c r="T18" s="17" t="n">
        <f aca="false">ROUND(R18*'Como ler'!$B$5+S18*'Como ler'!$B$6,1)</f>
        <v>7.3</v>
      </c>
      <c r="U18" s="18" t="s">
        <v>62</v>
      </c>
      <c r="V18" s="18" t="s">
        <v>63</v>
      </c>
    </row>
    <row r="19" customFormat="false" ht="15" hidden="false" customHeight="false" outlineLevel="0" collapsed="false">
      <c r="A19" s="12" t="n">
        <v>15</v>
      </c>
      <c r="B19" s="13" t="s">
        <v>97</v>
      </c>
      <c r="C19" s="14" t="s">
        <v>65</v>
      </c>
      <c r="D19" s="14" t="s">
        <v>58</v>
      </c>
      <c r="E19" s="12" t="n">
        <v>86</v>
      </c>
      <c r="F19" s="12" t="n">
        <v>3</v>
      </c>
      <c r="G19" s="12" t="n">
        <v>5</v>
      </c>
      <c r="H19" s="12" t="s">
        <v>66</v>
      </c>
      <c r="I19" s="12" t="s">
        <v>60</v>
      </c>
      <c r="J19" s="14" t="s">
        <v>98</v>
      </c>
      <c r="K19" s="15" t="n">
        <v>6</v>
      </c>
      <c r="L19" s="15" t="n">
        <v>6</v>
      </c>
      <c r="M19" s="15" t="n">
        <v>6</v>
      </c>
      <c r="N19" s="15" t="n">
        <v>10</v>
      </c>
      <c r="O19" s="15" t="n">
        <v>7</v>
      </c>
      <c r="P19" s="15" t="n">
        <v>10</v>
      </c>
      <c r="Q19" s="15" t="n">
        <v>6</v>
      </c>
      <c r="R19" s="16" t="n">
        <f aca="false">ROUND(K19*0.55+L19*0.25+M19*0.2,1)</f>
        <v>6</v>
      </c>
      <c r="S19" s="16" t="n">
        <f aca="false">ROUND(N19*0.35+O19*0.25+P19*0.25+Q19*0.15,1)</f>
        <v>8.7</v>
      </c>
      <c r="T19" s="17" t="n">
        <f aca="false">ROUND(R19*'Como ler'!$B$5+S19*'Como ler'!$B$6,1)</f>
        <v>7.2</v>
      </c>
      <c r="U19" s="18" t="s">
        <v>62</v>
      </c>
      <c r="V19" s="18" t="s">
        <v>63</v>
      </c>
    </row>
    <row r="20" customFormat="false" ht="15" hidden="false" customHeight="false" outlineLevel="0" collapsed="false">
      <c r="A20" s="12" t="n">
        <v>16</v>
      </c>
      <c r="B20" s="13" t="s">
        <v>99</v>
      </c>
      <c r="C20" s="14" t="s">
        <v>65</v>
      </c>
      <c r="D20" s="14" t="s">
        <v>58</v>
      </c>
      <c r="E20" s="12" t="n">
        <v>81</v>
      </c>
      <c r="F20" s="12" t="n">
        <v>3</v>
      </c>
      <c r="G20" s="12" t="n">
        <v>4</v>
      </c>
      <c r="H20" s="12" t="s">
        <v>66</v>
      </c>
      <c r="I20" s="12" t="s">
        <v>60</v>
      </c>
      <c r="J20" s="14" t="s">
        <v>100</v>
      </c>
      <c r="K20" s="15" t="n">
        <v>6</v>
      </c>
      <c r="L20" s="15" t="n">
        <v>6</v>
      </c>
      <c r="M20" s="15" t="n">
        <v>6</v>
      </c>
      <c r="N20" s="15" t="n">
        <v>10</v>
      </c>
      <c r="O20" s="15" t="n">
        <v>7</v>
      </c>
      <c r="P20" s="15" t="n">
        <v>10</v>
      </c>
      <c r="Q20" s="15" t="n">
        <v>6</v>
      </c>
      <c r="R20" s="16" t="n">
        <f aca="false">ROUND(K20*0.55+L20*0.25+M20*0.2,1)</f>
        <v>6</v>
      </c>
      <c r="S20" s="16" t="n">
        <f aca="false">ROUND(N20*0.35+O20*0.25+P20*0.25+Q20*0.15,1)</f>
        <v>8.7</v>
      </c>
      <c r="T20" s="17" t="n">
        <f aca="false">ROUND(R20*'Como ler'!$B$5+S20*'Como ler'!$B$6,1)</f>
        <v>7.2</v>
      </c>
      <c r="U20" s="18" t="s">
        <v>62</v>
      </c>
      <c r="V20" s="18" t="s">
        <v>63</v>
      </c>
    </row>
    <row r="21" customFormat="false" ht="15" hidden="false" customHeight="false" outlineLevel="0" collapsed="false">
      <c r="A21" s="12" t="n">
        <v>17</v>
      </c>
      <c r="B21" s="13" t="s">
        <v>101</v>
      </c>
      <c r="C21" s="14" t="s">
        <v>69</v>
      </c>
      <c r="D21" s="14" t="s">
        <v>58</v>
      </c>
      <c r="E21" s="12" t="n">
        <v>104</v>
      </c>
      <c r="F21" s="12" t="n">
        <v>2</v>
      </c>
      <c r="G21" s="12" t="n">
        <v>2</v>
      </c>
      <c r="H21" s="12" t="s">
        <v>59</v>
      </c>
      <c r="I21" s="12" t="s">
        <v>60</v>
      </c>
      <c r="J21" s="14" t="s">
        <v>102</v>
      </c>
      <c r="K21" s="15" t="n">
        <v>7</v>
      </c>
      <c r="L21" s="15" t="n">
        <v>4</v>
      </c>
      <c r="M21" s="15" t="n">
        <v>4</v>
      </c>
      <c r="N21" s="15" t="n">
        <v>10</v>
      </c>
      <c r="O21" s="15" t="n">
        <v>7</v>
      </c>
      <c r="P21" s="15" t="n">
        <v>10</v>
      </c>
      <c r="Q21" s="15" t="n">
        <v>9</v>
      </c>
      <c r="R21" s="16" t="n">
        <f aca="false">ROUND(K21*0.55+L21*0.25+M21*0.2,1)</f>
        <v>5.7</v>
      </c>
      <c r="S21" s="16" t="n">
        <f aca="false">ROUND(N21*0.35+O21*0.25+P21*0.25+Q21*0.15,1)</f>
        <v>9.1</v>
      </c>
      <c r="T21" s="17" t="n">
        <f aca="false">ROUND(R21*'Como ler'!$B$5+S21*'Como ler'!$B$6,1)</f>
        <v>7.2</v>
      </c>
      <c r="U21" s="18" t="s">
        <v>62</v>
      </c>
      <c r="V21" s="18" t="s">
        <v>63</v>
      </c>
    </row>
    <row r="22" customFormat="false" ht="15" hidden="false" customHeight="false" outlineLevel="0" collapsed="false">
      <c r="A22" s="12" t="n">
        <v>18</v>
      </c>
      <c r="B22" s="13" t="s">
        <v>103</v>
      </c>
      <c r="C22" s="14" t="s">
        <v>74</v>
      </c>
      <c r="D22" s="14" t="s">
        <v>58</v>
      </c>
      <c r="E22" s="12" t="n">
        <v>22</v>
      </c>
      <c r="F22" s="12" t="n">
        <v>5</v>
      </c>
      <c r="G22" s="12" t="n">
        <v>9</v>
      </c>
      <c r="H22" s="12" t="s">
        <v>59</v>
      </c>
      <c r="I22" s="12" t="s">
        <v>60</v>
      </c>
      <c r="J22" s="14" t="s">
        <v>104</v>
      </c>
      <c r="K22" s="15" t="n">
        <v>3</v>
      </c>
      <c r="L22" s="15" t="n">
        <v>8</v>
      </c>
      <c r="M22" s="15" t="n">
        <v>8</v>
      </c>
      <c r="N22" s="15" t="n">
        <v>10</v>
      </c>
      <c r="O22" s="15" t="n">
        <v>7</v>
      </c>
      <c r="P22" s="15" t="n">
        <v>10</v>
      </c>
      <c r="Q22" s="15" t="n">
        <v>9</v>
      </c>
      <c r="R22" s="16" t="n">
        <f aca="false">ROUND(K22*0.55+L22*0.25+M22*0.2,1)</f>
        <v>5.3</v>
      </c>
      <c r="S22" s="16" t="n">
        <f aca="false">ROUND(N22*0.35+O22*0.25+P22*0.25+Q22*0.15,1)</f>
        <v>9.1</v>
      </c>
      <c r="T22" s="17" t="n">
        <f aca="false">ROUND(R22*'Como ler'!$B$5+S22*'Como ler'!$B$6,1)</f>
        <v>7</v>
      </c>
      <c r="U22" s="18" t="s">
        <v>62</v>
      </c>
      <c r="V22" s="18" t="s">
        <v>63</v>
      </c>
    </row>
    <row r="23" customFormat="false" ht="15" hidden="false" customHeight="false" outlineLevel="0" collapsed="false">
      <c r="A23" s="12" t="n">
        <v>19</v>
      </c>
      <c r="B23" s="13" t="s">
        <v>105</v>
      </c>
      <c r="C23" s="14" t="s">
        <v>65</v>
      </c>
      <c r="D23" s="14" t="s">
        <v>58</v>
      </c>
      <c r="E23" s="12" t="n">
        <v>70</v>
      </c>
      <c r="F23" s="12" t="n">
        <v>2</v>
      </c>
      <c r="G23" s="12" t="n">
        <v>3</v>
      </c>
      <c r="H23" s="12" t="s">
        <v>66</v>
      </c>
      <c r="I23" s="12" t="s">
        <v>60</v>
      </c>
      <c r="J23" s="14" t="s">
        <v>106</v>
      </c>
      <c r="K23" s="15" t="n">
        <v>6</v>
      </c>
      <c r="L23" s="15" t="n">
        <v>4</v>
      </c>
      <c r="M23" s="15" t="n">
        <v>4</v>
      </c>
      <c r="N23" s="15" t="n">
        <v>10</v>
      </c>
      <c r="O23" s="15" t="n">
        <v>10</v>
      </c>
      <c r="P23" s="15" t="n">
        <v>10</v>
      </c>
      <c r="Q23" s="15" t="n">
        <v>6</v>
      </c>
      <c r="R23" s="16" t="n">
        <f aca="false">ROUND(K23*0.55+L23*0.25+M23*0.2,1)</f>
        <v>5.1</v>
      </c>
      <c r="S23" s="16" t="n">
        <f aca="false">ROUND(N23*0.35+O23*0.25+P23*0.25+Q23*0.15,1)</f>
        <v>9.4</v>
      </c>
      <c r="T23" s="17" t="n">
        <f aca="false">ROUND(R23*'Como ler'!$B$5+S23*'Como ler'!$B$6,1)</f>
        <v>7</v>
      </c>
      <c r="U23" s="18" t="s">
        <v>62</v>
      </c>
      <c r="V23" s="18" t="s">
        <v>63</v>
      </c>
    </row>
    <row r="24" customFormat="false" ht="15" hidden="false" customHeight="false" outlineLevel="0" collapsed="false">
      <c r="A24" s="12" t="n">
        <v>20</v>
      </c>
      <c r="B24" s="13" t="s">
        <v>107</v>
      </c>
      <c r="C24" s="14" t="s">
        <v>69</v>
      </c>
      <c r="D24" s="14" t="s">
        <v>58</v>
      </c>
      <c r="E24" s="12" t="n">
        <v>55</v>
      </c>
      <c r="F24" s="12" t="n">
        <v>2</v>
      </c>
      <c r="G24" s="12" t="n">
        <v>2</v>
      </c>
      <c r="H24" s="12" t="s">
        <v>59</v>
      </c>
      <c r="I24" s="12" t="s">
        <v>60</v>
      </c>
      <c r="J24" s="14" t="s">
        <v>108</v>
      </c>
      <c r="K24" s="15" t="n">
        <v>5</v>
      </c>
      <c r="L24" s="15" t="n">
        <v>4</v>
      </c>
      <c r="M24" s="15" t="n">
        <v>4</v>
      </c>
      <c r="N24" s="15" t="n">
        <v>10</v>
      </c>
      <c r="O24" s="15" t="n">
        <v>10</v>
      </c>
      <c r="P24" s="15" t="n">
        <v>10</v>
      </c>
      <c r="Q24" s="15" t="n">
        <v>9</v>
      </c>
      <c r="R24" s="16" t="n">
        <f aca="false">ROUND(K24*0.55+L24*0.25+M24*0.2,1)</f>
        <v>4.6</v>
      </c>
      <c r="S24" s="16" t="n">
        <f aca="false">ROUND(N24*0.35+O24*0.25+P24*0.25+Q24*0.15,1)</f>
        <v>9.9</v>
      </c>
      <c r="T24" s="17" t="n">
        <f aca="false">ROUND(R24*'Como ler'!$B$5+S24*'Como ler'!$B$6,1)</f>
        <v>7</v>
      </c>
      <c r="U24" s="18" t="s">
        <v>62</v>
      </c>
      <c r="V24" s="18" t="s">
        <v>63</v>
      </c>
    </row>
    <row r="25" customFormat="false" ht="15" hidden="false" customHeight="false" outlineLevel="0" collapsed="false">
      <c r="A25" s="19" t="n">
        <v>21</v>
      </c>
      <c r="B25" s="20" t="s">
        <v>109</v>
      </c>
      <c r="C25" s="21" t="s">
        <v>57</v>
      </c>
      <c r="D25" s="21" t="s">
        <v>58</v>
      </c>
      <c r="E25" s="19" t="n">
        <v>73</v>
      </c>
      <c r="F25" s="19" t="n">
        <v>2</v>
      </c>
      <c r="G25" s="19" t="n">
        <v>4</v>
      </c>
      <c r="H25" s="19" t="s">
        <v>66</v>
      </c>
      <c r="I25" s="19" t="s">
        <v>60</v>
      </c>
      <c r="J25" s="21" t="s">
        <v>110</v>
      </c>
      <c r="K25" s="15" t="n">
        <v>6</v>
      </c>
      <c r="L25" s="15" t="n">
        <v>4</v>
      </c>
      <c r="M25" s="15" t="n">
        <v>6</v>
      </c>
      <c r="N25" s="15" t="n">
        <v>10</v>
      </c>
      <c r="O25" s="15" t="n">
        <v>7</v>
      </c>
      <c r="P25" s="15" t="n">
        <v>10</v>
      </c>
      <c r="Q25" s="15" t="n">
        <v>6</v>
      </c>
      <c r="R25" s="16" t="n">
        <f aca="false">ROUND(K25*0.55+L25*0.25+M25*0.2,1)</f>
        <v>5.5</v>
      </c>
      <c r="S25" s="16" t="n">
        <f aca="false">ROUND(N25*0.35+O25*0.25+P25*0.25+Q25*0.15,1)</f>
        <v>8.7</v>
      </c>
      <c r="T25" s="17" t="n">
        <f aca="false">ROUND(R25*'Como ler'!$B$5+S25*'Como ler'!$B$6,1)</f>
        <v>6.9</v>
      </c>
      <c r="U25" s="18" t="s">
        <v>62</v>
      </c>
      <c r="V25" s="18" t="s">
        <v>63</v>
      </c>
    </row>
    <row r="26" customFormat="false" ht="15" hidden="false" customHeight="false" outlineLevel="0" collapsed="false">
      <c r="A26" s="19" t="n">
        <v>22</v>
      </c>
      <c r="B26" s="20" t="s">
        <v>111</v>
      </c>
      <c r="C26" s="21" t="s">
        <v>69</v>
      </c>
      <c r="D26" s="21" t="s">
        <v>58</v>
      </c>
      <c r="E26" s="19" t="n">
        <v>132</v>
      </c>
      <c r="F26" s="19" t="n">
        <v>1</v>
      </c>
      <c r="G26" s="19" t="n">
        <v>1</v>
      </c>
      <c r="H26" s="19" t="s">
        <v>66</v>
      </c>
      <c r="I26" s="19" t="s">
        <v>60</v>
      </c>
      <c r="J26" s="21" t="s">
        <v>112</v>
      </c>
      <c r="K26" s="15" t="n">
        <v>8</v>
      </c>
      <c r="L26" s="15" t="n">
        <v>2</v>
      </c>
      <c r="M26" s="15" t="n">
        <v>2</v>
      </c>
      <c r="N26" s="15" t="n">
        <v>10</v>
      </c>
      <c r="O26" s="15" t="n">
        <v>7</v>
      </c>
      <c r="P26" s="15" t="n">
        <v>10</v>
      </c>
      <c r="Q26" s="15" t="n">
        <v>6</v>
      </c>
      <c r="R26" s="16" t="n">
        <f aca="false">ROUND(K26*0.55+L26*0.25+M26*0.2,1)</f>
        <v>5.3</v>
      </c>
      <c r="S26" s="16" t="n">
        <f aca="false">ROUND(N26*0.35+O26*0.25+P26*0.25+Q26*0.15,1)</f>
        <v>8.7</v>
      </c>
      <c r="T26" s="17" t="n">
        <f aca="false">ROUND(R26*'Como ler'!$B$5+S26*'Como ler'!$B$6,1)</f>
        <v>6.8</v>
      </c>
      <c r="U26" s="18" t="s">
        <v>62</v>
      </c>
      <c r="V26" s="18" t="s">
        <v>63</v>
      </c>
    </row>
    <row r="27" customFormat="false" ht="15" hidden="false" customHeight="false" outlineLevel="0" collapsed="false">
      <c r="A27" s="19" t="n">
        <v>23</v>
      </c>
      <c r="B27" s="20" t="s">
        <v>113</v>
      </c>
      <c r="C27" s="21" t="s">
        <v>114</v>
      </c>
      <c r="D27" s="21" t="s">
        <v>58</v>
      </c>
      <c r="E27" s="19" t="n">
        <v>149</v>
      </c>
      <c r="F27" s="19" t="n">
        <v>1</v>
      </c>
      <c r="G27" s="19" t="n">
        <v>1</v>
      </c>
      <c r="H27" s="19" t="s">
        <v>115</v>
      </c>
      <c r="I27" s="19" t="s">
        <v>60</v>
      </c>
      <c r="J27" s="21" t="s">
        <v>116</v>
      </c>
      <c r="K27" s="15" t="n">
        <v>8</v>
      </c>
      <c r="L27" s="15" t="n">
        <v>2</v>
      </c>
      <c r="M27" s="15" t="n">
        <v>2</v>
      </c>
      <c r="N27" s="15" t="n">
        <v>10</v>
      </c>
      <c r="O27" s="15" t="n">
        <v>7</v>
      </c>
      <c r="P27" s="15" t="n">
        <v>10</v>
      </c>
      <c r="Q27" s="15" t="n">
        <v>6</v>
      </c>
      <c r="R27" s="16" t="n">
        <f aca="false">ROUND(K27*0.55+L27*0.25+M27*0.2,1)</f>
        <v>5.3</v>
      </c>
      <c r="S27" s="16" t="n">
        <f aca="false">ROUND(N27*0.35+O27*0.25+P27*0.25+Q27*0.15,1)</f>
        <v>8.7</v>
      </c>
      <c r="T27" s="17" t="n">
        <f aca="false">ROUND(R27*'Como ler'!$B$5+S27*'Como ler'!$B$6,1)</f>
        <v>6.8</v>
      </c>
      <c r="U27" s="18" t="s">
        <v>62</v>
      </c>
      <c r="V27" s="18" t="s">
        <v>63</v>
      </c>
    </row>
    <row r="28" customFormat="false" ht="15" hidden="false" customHeight="false" outlineLevel="0" collapsed="false">
      <c r="A28" s="19" t="n">
        <v>24</v>
      </c>
      <c r="B28" s="20" t="s">
        <v>117</v>
      </c>
      <c r="C28" s="21" t="s">
        <v>92</v>
      </c>
      <c r="D28" s="21" t="s">
        <v>58</v>
      </c>
      <c r="E28" s="19" t="n">
        <v>60</v>
      </c>
      <c r="F28" s="19" t="n">
        <v>1</v>
      </c>
      <c r="G28" s="19" t="n">
        <v>1</v>
      </c>
      <c r="H28" s="19" t="s">
        <v>59</v>
      </c>
      <c r="I28" s="19" t="s">
        <v>60</v>
      </c>
      <c r="J28" s="21" t="s">
        <v>118</v>
      </c>
      <c r="K28" s="15" t="n">
        <v>6</v>
      </c>
      <c r="L28" s="15" t="n">
        <v>2</v>
      </c>
      <c r="M28" s="15" t="n">
        <v>2</v>
      </c>
      <c r="N28" s="15" t="n">
        <v>10</v>
      </c>
      <c r="O28" s="15" t="n">
        <v>10</v>
      </c>
      <c r="P28" s="15" t="n">
        <v>10</v>
      </c>
      <c r="Q28" s="15" t="n">
        <v>9</v>
      </c>
      <c r="R28" s="16" t="n">
        <f aca="false">ROUND(K28*0.55+L28*0.25+M28*0.2,1)</f>
        <v>4.2</v>
      </c>
      <c r="S28" s="16" t="n">
        <f aca="false">ROUND(N28*0.35+O28*0.25+P28*0.25+Q28*0.15,1)</f>
        <v>9.9</v>
      </c>
      <c r="T28" s="17" t="n">
        <f aca="false">ROUND(R28*'Como ler'!$B$5+S28*'Como ler'!$B$6,1)</f>
        <v>6.8</v>
      </c>
      <c r="U28" s="18" t="s">
        <v>62</v>
      </c>
      <c r="V28" s="18" t="s">
        <v>63</v>
      </c>
    </row>
    <row r="29" customFormat="false" ht="15" hidden="false" customHeight="false" outlineLevel="0" collapsed="false">
      <c r="A29" s="19" t="n">
        <v>25</v>
      </c>
      <c r="B29" s="20" t="s">
        <v>119</v>
      </c>
      <c r="C29" s="21" t="s">
        <v>92</v>
      </c>
      <c r="D29" s="21" t="s">
        <v>58</v>
      </c>
      <c r="E29" s="19" t="n">
        <v>89</v>
      </c>
      <c r="F29" s="19" t="n">
        <v>2</v>
      </c>
      <c r="G29" s="19" t="n">
        <v>2</v>
      </c>
      <c r="H29" s="19" t="s">
        <v>66</v>
      </c>
      <c r="I29" s="19" t="s">
        <v>60</v>
      </c>
      <c r="J29" s="21" t="s">
        <v>120</v>
      </c>
      <c r="K29" s="15" t="n">
        <v>6</v>
      </c>
      <c r="L29" s="15" t="n">
        <v>4</v>
      </c>
      <c r="M29" s="15" t="n">
        <v>4</v>
      </c>
      <c r="N29" s="15" t="n">
        <v>10</v>
      </c>
      <c r="O29" s="15" t="n">
        <v>7</v>
      </c>
      <c r="P29" s="15" t="n">
        <v>10</v>
      </c>
      <c r="Q29" s="15" t="n">
        <v>6</v>
      </c>
      <c r="R29" s="16" t="n">
        <f aca="false">ROUND(K29*0.55+L29*0.25+M29*0.2,1)</f>
        <v>5.1</v>
      </c>
      <c r="S29" s="16" t="n">
        <f aca="false">ROUND(N29*0.35+O29*0.25+P29*0.25+Q29*0.15,1)</f>
        <v>8.7</v>
      </c>
      <c r="T29" s="17" t="n">
        <f aca="false">ROUND(R29*'Como ler'!$B$5+S29*'Como ler'!$B$6,1)</f>
        <v>6.7</v>
      </c>
      <c r="U29" s="18" t="s">
        <v>62</v>
      </c>
      <c r="V29" s="18" t="s">
        <v>63</v>
      </c>
    </row>
    <row r="30" customFormat="false" ht="15" hidden="false" customHeight="false" outlineLevel="0" collapsed="false">
      <c r="A30" s="19" t="n">
        <v>26</v>
      </c>
      <c r="B30" s="20" t="s">
        <v>121</v>
      </c>
      <c r="C30" s="21" t="s">
        <v>87</v>
      </c>
      <c r="D30" s="21" t="s">
        <v>58</v>
      </c>
      <c r="E30" s="19" t="n">
        <v>51</v>
      </c>
      <c r="F30" s="19" t="n">
        <v>3</v>
      </c>
      <c r="G30" s="19" t="n">
        <v>3</v>
      </c>
      <c r="H30" s="19" t="s">
        <v>66</v>
      </c>
      <c r="I30" s="19" t="s">
        <v>60</v>
      </c>
      <c r="J30" s="21" t="s">
        <v>122</v>
      </c>
      <c r="K30" s="15" t="n">
        <v>5</v>
      </c>
      <c r="L30" s="15" t="n">
        <v>6</v>
      </c>
      <c r="M30" s="15" t="n">
        <v>4</v>
      </c>
      <c r="N30" s="15" t="n">
        <v>10</v>
      </c>
      <c r="O30" s="15" t="n">
        <v>7</v>
      </c>
      <c r="P30" s="15" t="n">
        <v>10</v>
      </c>
      <c r="Q30" s="15" t="n">
        <v>6</v>
      </c>
      <c r="R30" s="16" t="n">
        <f aca="false">ROUND(K30*0.55+L30*0.25+M30*0.2,1)</f>
        <v>5.1</v>
      </c>
      <c r="S30" s="16" t="n">
        <f aca="false">ROUND(N30*0.35+O30*0.25+P30*0.25+Q30*0.15,1)</f>
        <v>8.7</v>
      </c>
      <c r="T30" s="17" t="n">
        <f aca="false">ROUND(R30*'Como ler'!$B$5+S30*'Como ler'!$B$6,1)</f>
        <v>6.7</v>
      </c>
      <c r="U30" s="18" t="s">
        <v>62</v>
      </c>
      <c r="V30" s="18" t="s">
        <v>63</v>
      </c>
    </row>
    <row r="31" customFormat="false" ht="15" hidden="false" customHeight="false" outlineLevel="0" collapsed="false">
      <c r="A31" s="19" t="n">
        <v>27</v>
      </c>
      <c r="B31" s="20" t="s">
        <v>123</v>
      </c>
      <c r="C31" s="21" t="s">
        <v>65</v>
      </c>
      <c r="D31" s="21" t="s">
        <v>58</v>
      </c>
      <c r="E31" s="19" t="n">
        <v>118</v>
      </c>
      <c r="F31" s="19" t="n">
        <v>1</v>
      </c>
      <c r="G31" s="19" t="n">
        <v>1</v>
      </c>
      <c r="H31" s="19" t="s">
        <v>59</v>
      </c>
      <c r="I31" s="19" t="s">
        <v>60</v>
      </c>
      <c r="J31" s="21" t="s">
        <v>124</v>
      </c>
      <c r="K31" s="15" t="n">
        <v>7</v>
      </c>
      <c r="L31" s="15" t="n">
        <v>2</v>
      </c>
      <c r="M31" s="15" t="n">
        <v>2</v>
      </c>
      <c r="N31" s="15" t="n">
        <v>10</v>
      </c>
      <c r="O31" s="15" t="n">
        <v>7</v>
      </c>
      <c r="P31" s="15" t="n">
        <v>10</v>
      </c>
      <c r="Q31" s="15" t="n">
        <v>9</v>
      </c>
      <c r="R31" s="16" t="n">
        <f aca="false">ROUND(K31*0.55+L31*0.25+M31*0.2,1)</f>
        <v>4.8</v>
      </c>
      <c r="S31" s="16" t="n">
        <f aca="false">ROUND(N31*0.35+O31*0.25+P31*0.25+Q31*0.15,1)</f>
        <v>9.1</v>
      </c>
      <c r="T31" s="17" t="n">
        <f aca="false">ROUND(R31*'Como ler'!$B$5+S31*'Como ler'!$B$6,1)</f>
        <v>6.7</v>
      </c>
      <c r="U31" s="18" t="s">
        <v>62</v>
      </c>
      <c r="V31" s="18" t="s">
        <v>63</v>
      </c>
    </row>
    <row r="32" customFormat="false" ht="15" hidden="false" customHeight="false" outlineLevel="0" collapsed="false">
      <c r="A32" s="19" t="n">
        <v>28</v>
      </c>
      <c r="B32" s="20" t="s">
        <v>125</v>
      </c>
      <c r="C32" s="21" t="s">
        <v>92</v>
      </c>
      <c r="D32" s="21" t="s">
        <v>58</v>
      </c>
      <c r="E32" s="19" t="n">
        <v>91</v>
      </c>
      <c r="F32" s="19" t="n">
        <v>1</v>
      </c>
      <c r="G32" s="19" t="n">
        <v>1</v>
      </c>
      <c r="H32" s="19" t="s">
        <v>66</v>
      </c>
      <c r="I32" s="19" t="s">
        <v>60</v>
      </c>
      <c r="J32" s="21" t="s">
        <v>126</v>
      </c>
      <c r="K32" s="15" t="n">
        <v>7</v>
      </c>
      <c r="L32" s="15" t="n">
        <v>2</v>
      </c>
      <c r="M32" s="15" t="n">
        <v>2</v>
      </c>
      <c r="N32" s="15" t="n">
        <v>10</v>
      </c>
      <c r="O32" s="15" t="n">
        <v>7</v>
      </c>
      <c r="P32" s="15" t="n">
        <v>10</v>
      </c>
      <c r="Q32" s="15" t="n">
        <v>6</v>
      </c>
      <c r="R32" s="16" t="n">
        <f aca="false">ROUND(K32*0.55+L32*0.25+M32*0.2,1)</f>
        <v>4.8</v>
      </c>
      <c r="S32" s="16" t="n">
        <f aca="false">ROUND(N32*0.35+O32*0.25+P32*0.25+Q32*0.15,1)</f>
        <v>8.7</v>
      </c>
      <c r="T32" s="17" t="n">
        <f aca="false">ROUND(R32*'Como ler'!$B$5+S32*'Como ler'!$B$6,1)</f>
        <v>6.6</v>
      </c>
      <c r="U32" s="18" t="s">
        <v>62</v>
      </c>
      <c r="V32" s="18" t="s">
        <v>63</v>
      </c>
    </row>
    <row r="33" customFormat="false" ht="15" hidden="false" customHeight="false" outlineLevel="0" collapsed="false">
      <c r="A33" s="19" t="n">
        <v>29</v>
      </c>
      <c r="B33" s="20" t="s">
        <v>127</v>
      </c>
      <c r="C33" s="21" t="s">
        <v>57</v>
      </c>
      <c r="D33" s="21" t="s">
        <v>58</v>
      </c>
      <c r="E33" s="19" t="n">
        <v>39</v>
      </c>
      <c r="F33" s="19" t="n">
        <v>2</v>
      </c>
      <c r="G33" s="19" t="n">
        <v>2</v>
      </c>
      <c r="H33" s="19" t="s">
        <v>66</v>
      </c>
      <c r="I33" s="19" t="s">
        <v>60</v>
      </c>
      <c r="J33" s="21" t="s">
        <v>128</v>
      </c>
      <c r="K33" s="15" t="n">
        <v>5</v>
      </c>
      <c r="L33" s="15" t="n">
        <v>4</v>
      </c>
      <c r="M33" s="15" t="n">
        <v>4</v>
      </c>
      <c r="N33" s="15" t="n">
        <v>10</v>
      </c>
      <c r="O33" s="15" t="n">
        <v>7</v>
      </c>
      <c r="P33" s="15" t="n">
        <v>10</v>
      </c>
      <c r="Q33" s="15" t="n">
        <v>6</v>
      </c>
      <c r="R33" s="16" t="n">
        <f aca="false">ROUND(K33*0.55+L33*0.25+M33*0.2,1)</f>
        <v>4.6</v>
      </c>
      <c r="S33" s="16" t="n">
        <f aca="false">ROUND(N33*0.35+O33*0.25+P33*0.25+Q33*0.15,1)</f>
        <v>8.7</v>
      </c>
      <c r="T33" s="17" t="n">
        <f aca="false">ROUND(R33*'Como ler'!$B$5+S33*'Como ler'!$B$6,1)</f>
        <v>6.4</v>
      </c>
      <c r="U33" s="18" t="s">
        <v>62</v>
      </c>
      <c r="V33" s="18" t="s">
        <v>63</v>
      </c>
    </row>
    <row r="34" customFormat="false" ht="15" hidden="false" customHeight="false" outlineLevel="0" collapsed="false">
      <c r="A34" s="19" t="n">
        <v>30</v>
      </c>
      <c r="B34" s="20" t="s">
        <v>129</v>
      </c>
      <c r="C34" s="21" t="s">
        <v>69</v>
      </c>
      <c r="D34" s="21" t="s">
        <v>58</v>
      </c>
      <c r="E34" s="19" t="n">
        <v>50</v>
      </c>
      <c r="F34" s="19" t="n">
        <v>2</v>
      </c>
      <c r="G34" s="19" t="n">
        <v>2</v>
      </c>
      <c r="H34" s="19" t="s">
        <v>66</v>
      </c>
      <c r="I34" s="19" t="s">
        <v>60</v>
      </c>
      <c r="J34" s="21" t="s">
        <v>130</v>
      </c>
      <c r="K34" s="15" t="n">
        <v>5</v>
      </c>
      <c r="L34" s="15" t="n">
        <v>4</v>
      </c>
      <c r="M34" s="15" t="n">
        <v>4</v>
      </c>
      <c r="N34" s="15" t="n">
        <v>10</v>
      </c>
      <c r="O34" s="15" t="n">
        <v>7</v>
      </c>
      <c r="P34" s="15" t="n">
        <v>10</v>
      </c>
      <c r="Q34" s="15" t="n">
        <v>6</v>
      </c>
      <c r="R34" s="16" t="n">
        <f aca="false">ROUND(K34*0.55+L34*0.25+M34*0.2,1)</f>
        <v>4.6</v>
      </c>
      <c r="S34" s="16" t="n">
        <f aca="false">ROUND(N34*0.35+O34*0.25+P34*0.25+Q34*0.15,1)</f>
        <v>8.7</v>
      </c>
      <c r="T34" s="17" t="n">
        <f aca="false">ROUND(R34*'Como ler'!$B$5+S34*'Como ler'!$B$6,1)</f>
        <v>6.4</v>
      </c>
      <c r="U34" s="18" t="s">
        <v>62</v>
      </c>
      <c r="V34" s="18" t="s">
        <v>63</v>
      </c>
    </row>
    <row r="35" customFormat="false" ht="15" hidden="false" customHeight="false" outlineLevel="0" collapsed="false">
      <c r="A35" s="19" t="n">
        <v>31</v>
      </c>
      <c r="B35" s="20" t="s">
        <v>131</v>
      </c>
      <c r="C35" s="21" t="s">
        <v>132</v>
      </c>
      <c r="D35" s="21" t="s">
        <v>58</v>
      </c>
      <c r="E35" s="19" t="n">
        <v>66</v>
      </c>
      <c r="F35" s="19" t="n">
        <v>1</v>
      </c>
      <c r="G35" s="19" t="n">
        <v>1</v>
      </c>
      <c r="H35" s="19" t="s">
        <v>59</v>
      </c>
      <c r="I35" s="19" t="s">
        <v>60</v>
      </c>
      <c r="J35" s="21" t="s">
        <v>133</v>
      </c>
      <c r="K35" s="15" t="n">
        <v>6</v>
      </c>
      <c r="L35" s="15" t="n">
        <v>2</v>
      </c>
      <c r="M35" s="15" t="n">
        <v>2</v>
      </c>
      <c r="N35" s="15" t="n">
        <v>10</v>
      </c>
      <c r="O35" s="15" t="n">
        <v>7</v>
      </c>
      <c r="P35" s="15" t="n">
        <v>10</v>
      </c>
      <c r="Q35" s="15" t="n">
        <v>9</v>
      </c>
      <c r="R35" s="16" t="n">
        <f aca="false">ROUND(K35*0.55+L35*0.25+M35*0.2,1)</f>
        <v>4.2</v>
      </c>
      <c r="S35" s="16" t="n">
        <f aca="false">ROUND(N35*0.35+O35*0.25+P35*0.25+Q35*0.15,1)</f>
        <v>9.1</v>
      </c>
      <c r="T35" s="17" t="n">
        <f aca="false">ROUND(R35*'Como ler'!$B$5+S35*'Como ler'!$B$6,1)</f>
        <v>6.4</v>
      </c>
      <c r="U35" s="18" t="s">
        <v>62</v>
      </c>
      <c r="V35" s="18" t="s">
        <v>63</v>
      </c>
    </row>
    <row r="36" customFormat="false" ht="15" hidden="false" customHeight="false" outlineLevel="0" collapsed="false">
      <c r="A36" s="19" t="n">
        <v>32</v>
      </c>
      <c r="B36" s="20" t="s">
        <v>134</v>
      </c>
      <c r="C36" s="21" t="s">
        <v>69</v>
      </c>
      <c r="D36" s="21" t="s">
        <v>58</v>
      </c>
      <c r="E36" s="19" t="n">
        <v>47</v>
      </c>
      <c r="F36" s="19" t="n">
        <v>1</v>
      </c>
      <c r="G36" s="19" t="n">
        <v>3</v>
      </c>
      <c r="H36" s="19" t="s">
        <v>59</v>
      </c>
      <c r="I36" s="19" t="s">
        <v>60</v>
      </c>
      <c r="J36" s="21" t="s">
        <v>135</v>
      </c>
      <c r="K36" s="15" t="n">
        <v>5</v>
      </c>
      <c r="L36" s="15" t="n">
        <v>2</v>
      </c>
      <c r="M36" s="15" t="n">
        <v>4</v>
      </c>
      <c r="N36" s="15" t="n">
        <v>10</v>
      </c>
      <c r="O36" s="15" t="n">
        <v>7</v>
      </c>
      <c r="P36" s="15" t="n">
        <v>10</v>
      </c>
      <c r="Q36" s="15" t="n">
        <v>9</v>
      </c>
      <c r="R36" s="16" t="n">
        <f aca="false">ROUND(K36*0.55+L36*0.25+M36*0.2,1)</f>
        <v>4.1</v>
      </c>
      <c r="S36" s="16" t="n">
        <f aca="false">ROUND(N36*0.35+O36*0.25+P36*0.25+Q36*0.15,1)</f>
        <v>9.1</v>
      </c>
      <c r="T36" s="17" t="n">
        <f aca="false">ROUND(R36*'Como ler'!$B$5+S36*'Como ler'!$B$6,1)</f>
        <v>6.4</v>
      </c>
      <c r="U36" s="18" t="s">
        <v>62</v>
      </c>
      <c r="V36" s="18" t="s">
        <v>63</v>
      </c>
    </row>
    <row r="37" customFormat="false" ht="15" hidden="false" customHeight="false" outlineLevel="0" collapsed="false">
      <c r="A37" s="19" t="n">
        <v>33</v>
      </c>
      <c r="B37" s="20" t="s">
        <v>136</v>
      </c>
      <c r="C37" s="21" t="s">
        <v>137</v>
      </c>
      <c r="D37" s="21" t="s">
        <v>58</v>
      </c>
      <c r="E37" s="19" t="n">
        <v>38</v>
      </c>
      <c r="F37" s="19" t="n">
        <v>1</v>
      </c>
      <c r="G37" s="19" t="n">
        <v>1</v>
      </c>
      <c r="H37" s="19" t="s">
        <v>115</v>
      </c>
      <c r="I37" s="19" t="s">
        <v>60</v>
      </c>
      <c r="J37" s="21" t="s">
        <v>138</v>
      </c>
      <c r="K37" s="15" t="n">
        <v>5</v>
      </c>
      <c r="L37" s="15" t="n">
        <v>2</v>
      </c>
      <c r="M37" s="15" t="n">
        <v>2</v>
      </c>
      <c r="N37" s="15" t="n">
        <v>10</v>
      </c>
      <c r="O37" s="15" t="n">
        <v>10</v>
      </c>
      <c r="P37" s="15" t="n">
        <v>10</v>
      </c>
      <c r="Q37" s="15" t="n">
        <v>6</v>
      </c>
      <c r="R37" s="16" t="n">
        <f aca="false">ROUND(K37*0.55+L37*0.25+M37*0.2,1)</f>
        <v>3.7</v>
      </c>
      <c r="S37" s="16" t="n">
        <f aca="false">ROUND(N37*0.35+O37*0.25+P37*0.25+Q37*0.15,1)</f>
        <v>9.4</v>
      </c>
      <c r="T37" s="17" t="n">
        <f aca="false">ROUND(R37*'Como ler'!$B$5+S37*'Como ler'!$B$6,1)</f>
        <v>6.3</v>
      </c>
      <c r="U37" s="18" t="s">
        <v>62</v>
      </c>
      <c r="V37" s="18" t="s">
        <v>63</v>
      </c>
    </row>
    <row r="38" customFormat="false" ht="15" hidden="false" customHeight="false" outlineLevel="0" collapsed="false">
      <c r="A38" s="19" t="n">
        <v>34</v>
      </c>
      <c r="B38" s="20" t="s">
        <v>139</v>
      </c>
      <c r="C38" s="21" t="s">
        <v>65</v>
      </c>
      <c r="D38" s="21" t="s">
        <v>58</v>
      </c>
      <c r="E38" s="19" t="n">
        <v>564</v>
      </c>
      <c r="F38" s="19" t="n">
        <v>1</v>
      </c>
      <c r="G38" s="19" t="n">
        <v>1</v>
      </c>
      <c r="H38" s="19" t="s">
        <v>59</v>
      </c>
      <c r="I38" s="19" t="s">
        <v>140</v>
      </c>
      <c r="J38" s="21" t="s">
        <v>141</v>
      </c>
      <c r="K38" s="15" t="n">
        <v>10</v>
      </c>
      <c r="L38" s="15" t="n">
        <v>2</v>
      </c>
      <c r="M38" s="15" t="n">
        <v>2</v>
      </c>
      <c r="N38" s="15" t="n">
        <v>3</v>
      </c>
      <c r="O38" s="15" t="n">
        <v>4</v>
      </c>
      <c r="P38" s="15" t="n">
        <v>10</v>
      </c>
      <c r="Q38" s="15" t="n">
        <v>9</v>
      </c>
      <c r="R38" s="16" t="n">
        <f aca="false">ROUND(K38*0.55+L38*0.25+M38*0.2,1)</f>
        <v>6.4</v>
      </c>
      <c r="S38" s="16" t="n">
        <f aca="false">ROUND(N38*0.35+O38*0.25+P38*0.25+Q38*0.15,1)</f>
        <v>5.9</v>
      </c>
      <c r="T38" s="17" t="n">
        <f aca="false">ROUND(R38*'Como ler'!$B$5+S38*'Como ler'!$B$6,1)</f>
        <v>6.2</v>
      </c>
      <c r="U38" s="18" t="s">
        <v>62</v>
      </c>
      <c r="V38" s="18" t="s">
        <v>63</v>
      </c>
    </row>
    <row r="39" customFormat="false" ht="15" hidden="false" customHeight="false" outlineLevel="0" collapsed="false">
      <c r="A39" s="19" t="n">
        <v>35</v>
      </c>
      <c r="B39" s="20" t="s">
        <v>142</v>
      </c>
      <c r="C39" s="21" t="s">
        <v>92</v>
      </c>
      <c r="D39" s="21" t="s">
        <v>58</v>
      </c>
      <c r="E39" s="19" t="n">
        <v>371</v>
      </c>
      <c r="F39" s="19" t="n">
        <v>1</v>
      </c>
      <c r="G39" s="19" t="n">
        <v>1</v>
      </c>
      <c r="H39" s="19" t="s">
        <v>59</v>
      </c>
      <c r="I39" s="19" t="s">
        <v>140</v>
      </c>
      <c r="J39" s="21" t="s">
        <v>143</v>
      </c>
      <c r="K39" s="15" t="n">
        <v>10</v>
      </c>
      <c r="L39" s="15" t="n">
        <v>2</v>
      </c>
      <c r="M39" s="15" t="n">
        <v>2</v>
      </c>
      <c r="N39" s="15" t="n">
        <v>3</v>
      </c>
      <c r="O39" s="15" t="n">
        <v>4</v>
      </c>
      <c r="P39" s="15" t="n">
        <v>10</v>
      </c>
      <c r="Q39" s="15" t="n">
        <v>9</v>
      </c>
      <c r="R39" s="16" t="n">
        <f aca="false">ROUND(K39*0.55+L39*0.25+M39*0.2,1)</f>
        <v>6.4</v>
      </c>
      <c r="S39" s="16" t="n">
        <f aca="false">ROUND(N39*0.35+O39*0.25+P39*0.25+Q39*0.15,1)</f>
        <v>5.9</v>
      </c>
      <c r="T39" s="17" t="n">
        <f aca="false">ROUND(R39*'Como ler'!$B$5+S39*'Como ler'!$B$6,1)</f>
        <v>6.2</v>
      </c>
      <c r="U39" s="18" t="s">
        <v>62</v>
      </c>
      <c r="V39" s="18" t="s">
        <v>63</v>
      </c>
    </row>
    <row r="40" customFormat="false" ht="15" hidden="false" customHeight="false" outlineLevel="0" collapsed="false">
      <c r="A40" s="19" t="n">
        <v>36</v>
      </c>
      <c r="B40" s="20" t="s">
        <v>144</v>
      </c>
      <c r="C40" s="21" t="s">
        <v>69</v>
      </c>
      <c r="D40" s="21" t="s">
        <v>58</v>
      </c>
      <c r="E40" s="19" t="n">
        <v>67</v>
      </c>
      <c r="F40" s="19" t="n">
        <v>1</v>
      </c>
      <c r="G40" s="19" t="n">
        <v>1</v>
      </c>
      <c r="H40" s="19" t="s">
        <v>115</v>
      </c>
      <c r="I40" s="19" t="s">
        <v>60</v>
      </c>
      <c r="J40" s="21" t="s">
        <v>145</v>
      </c>
      <c r="K40" s="15" t="n">
        <v>6</v>
      </c>
      <c r="L40" s="15" t="n">
        <v>2</v>
      </c>
      <c r="M40" s="15" t="n">
        <v>2</v>
      </c>
      <c r="N40" s="15" t="n">
        <v>10</v>
      </c>
      <c r="O40" s="15" t="n">
        <v>7</v>
      </c>
      <c r="P40" s="15" t="n">
        <v>10</v>
      </c>
      <c r="Q40" s="15" t="n">
        <v>6</v>
      </c>
      <c r="R40" s="16" t="n">
        <f aca="false">ROUND(K40*0.55+L40*0.25+M40*0.2,1)</f>
        <v>4.2</v>
      </c>
      <c r="S40" s="16" t="n">
        <f aca="false">ROUND(N40*0.35+O40*0.25+P40*0.25+Q40*0.15,1)</f>
        <v>8.7</v>
      </c>
      <c r="T40" s="17" t="n">
        <f aca="false">ROUND(R40*'Como ler'!$B$5+S40*'Como ler'!$B$6,1)</f>
        <v>6.2</v>
      </c>
      <c r="U40" s="18" t="s">
        <v>62</v>
      </c>
      <c r="V40" s="18" t="s">
        <v>63</v>
      </c>
    </row>
    <row r="41" customFormat="false" ht="15" hidden="false" customHeight="false" outlineLevel="0" collapsed="false">
      <c r="A41" s="19" t="n">
        <v>37</v>
      </c>
      <c r="B41" s="20" t="s">
        <v>146</v>
      </c>
      <c r="C41" s="21" t="s">
        <v>69</v>
      </c>
      <c r="D41" s="21" t="s">
        <v>58</v>
      </c>
      <c r="E41" s="19" t="n">
        <v>56</v>
      </c>
      <c r="F41" s="19" t="n">
        <v>1</v>
      </c>
      <c r="G41" s="19" t="n">
        <v>2</v>
      </c>
      <c r="H41" s="19" t="s">
        <v>115</v>
      </c>
      <c r="I41" s="19" t="s">
        <v>60</v>
      </c>
      <c r="J41" s="21" t="s">
        <v>147</v>
      </c>
      <c r="K41" s="15" t="n">
        <v>5</v>
      </c>
      <c r="L41" s="15" t="n">
        <v>2</v>
      </c>
      <c r="M41" s="15" t="n">
        <v>4</v>
      </c>
      <c r="N41" s="15" t="n">
        <v>10</v>
      </c>
      <c r="O41" s="15" t="n">
        <v>7</v>
      </c>
      <c r="P41" s="15" t="n">
        <v>10</v>
      </c>
      <c r="Q41" s="15" t="n">
        <v>6</v>
      </c>
      <c r="R41" s="16" t="n">
        <f aca="false">ROUND(K41*0.55+L41*0.25+M41*0.2,1)</f>
        <v>4.1</v>
      </c>
      <c r="S41" s="16" t="n">
        <f aca="false">ROUND(N41*0.35+O41*0.25+P41*0.25+Q41*0.15,1)</f>
        <v>8.7</v>
      </c>
      <c r="T41" s="17" t="n">
        <f aca="false">ROUND(R41*'Como ler'!$B$5+S41*'Como ler'!$B$6,1)</f>
        <v>6.2</v>
      </c>
      <c r="U41" s="18" t="s">
        <v>62</v>
      </c>
      <c r="V41" s="18" t="s">
        <v>63</v>
      </c>
    </row>
    <row r="42" customFormat="false" ht="15" hidden="false" customHeight="false" outlineLevel="0" collapsed="false">
      <c r="A42" s="19" t="n">
        <v>38</v>
      </c>
      <c r="B42" s="20" t="s">
        <v>148</v>
      </c>
      <c r="C42" s="21" t="s">
        <v>92</v>
      </c>
      <c r="D42" s="21" t="s">
        <v>58</v>
      </c>
      <c r="E42" s="19" t="n">
        <v>107</v>
      </c>
      <c r="F42" s="19" t="n">
        <v>3</v>
      </c>
      <c r="G42" s="19" t="n">
        <v>5</v>
      </c>
      <c r="H42" s="19" t="s">
        <v>115</v>
      </c>
      <c r="I42" s="19" t="s">
        <v>149</v>
      </c>
      <c r="J42" s="21" t="s">
        <v>150</v>
      </c>
      <c r="K42" s="15" t="n">
        <v>7</v>
      </c>
      <c r="L42" s="15" t="n">
        <v>6</v>
      </c>
      <c r="M42" s="15" t="n">
        <v>6</v>
      </c>
      <c r="N42" s="15" t="n">
        <v>3</v>
      </c>
      <c r="O42" s="15" t="n">
        <v>4</v>
      </c>
      <c r="P42" s="15" t="n">
        <v>10</v>
      </c>
      <c r="Q42" s="15" t="n">
        <v>6</v>
      </c>
      <c r="R42" s="16" t="n">
        <f aca="false">ROUND(K42*0.55+L42*0.25+M42*0.2,1)</f>
        <v>6.6</v>
      </c>
      <c r="S42" s="16" t="n">
        <f aca="false">ROUND(N42*0.35+O42*0.25+P42*0.25+Q42*0.15,1)</f>
        <v>5.5</v>
      </c>
      <c r="T42" s="17" t="n">
        <f aca="false">ROUND(R42*'Como ler'!$B$5+S42*'Como ler'!$B$6,1)</f>
        <v>6.1</v>
      </c>
      <c r="U42" s="18" t="s">
        <v>62</v>
      </c>
      <c r="V42" s="18" t="s">
        <v>63</v>
      </c>
    </row>
    <row r="43" customFormat="false" ht="15" hidden="false" customHeight="false" outlineLevel="0" collapsed="false">
      <c r="A43" s="19" t="n">
        <v>39</v>
      </c>
      <c r="B43" s="20" t="s">
        <v>151</v>
      </c>
      <c r="C43" s="21" t="s">
        <v>69</v>
      </c>
      <c r="D43" s="21" t="s">
        <v>58</v>
      </c>
      <c r="E43" s="19" t="n">
        <v>50</v>
      </c>
      <c r="F43" s="19" t="n">
        <v>1</v>
      </c>
      <c r="G43" s="19" t="n">
        <v>1</v>
      </c>
      <c r="H43" s="19" t="s">
        <v>59</v>
      </c>
      <c r="I43" s="19" t="s">
        <v>60</v>
      </c>
      <c r="J43" s="21" t="s">
        <v>152</v>
      </c>
      <c r="K43" s="15" t="n">
        <v>5</v>
      </c>
      <c r="L43" s="15" t="n">
        <v>2</v>
      </c>
      <c r="M43" s="15" t="n">
        <v>2</v>
      </c>
      <c r="N43" s="15" t="n">
        <v>10</v>
      </c>
      <c r="O43" s="15" t="n">
        <v>7</v>
      </c>
      <c r="P43" s="15" t="n">
        <v>10</v>
      </c>
      <c r="Q43" s="15" t="n">
        <v>9</v>
      </c>
      <c r="R43" s="16" t="n">
        <f aca="false">ROUND(K43*0.55+L43*0.25+M43*0.2,1)</f>
        <v>3.7</v>
      </c>
      <c r="S43" s="16" t="n">
        <f aca="false">ROUND(N43*0.35+O43*0.25+P43*0.25+Q43*0.15,1)</f>
        <v>9.1</v>
      </c>
      <c r="T43" s="17" t="n">
        <f aca="false">ROUND(R43*'Como ler'!$B$5+S43*'Como ler'!$B$6,1)</f>
        <v>6.1</v>
      </c>
      <c r="U43" s="18" t="s">
        <v>62</v>
      </c>
      <c r="V43" s="18" t="s">
        <v>63</v>
      </c>
    </row>
    <row r="44" customFormat="false" ht="15" hidden="false" customHeight="false" outlineLevel="0" collapsed="false">
      <c r="A44" s="19" t="n">
        <v>40</v>
      </c>
      <c r="B44" s="20" t="s">
        <v>153</v>
      </c>
      <c r="C44" s="21" t="s">
        <v>69</v>
      </c>
      <c r="D44" s="21" t="s">
        <v>58</v>
      </c>
      <c r="E44" s="19" t="n">
        <v>53</v>
      </c>
      <c r="F44" s="19" t="n">
        <v>1</v>
      </c>
      <c r="G44" s="19" t="n">
        <v>1</v>
      </c>
      <c r="H44" s="19" t="s">
        <v>59</v>
      </c>
      <c r="I44" s="19" t="s">
        <v>60</v>
      </c>
      <c r="J44" s="21" t="s">
        <v>154</v>
      </c>
      <c r="K44" s="15" t="n">
        <v>5</v>
      </c>
      <c r="L44" s="15" t="n">
        <v>2</v>
      </c>
      <c r="M44" s="15" t="n">
        <v>2</v>
      </c>
      <c r="N44" s="15" t="n">
        <v>10</v>
      </c>
      <c r="O44" s="15" t="n">
        <v>7</v>
      </c>
      <c r="P44" s="15" t="n">
        <v>10</v>
      </c>
      <c r="Q44" s="15" t="n">
        <v>9</v>
      </c>
      <c r="R44" s="16" t="n">
        <f aca="false">ROUND(K44*0.55+L44*0.25+M44*0.2,1)</f>
        <v>3.7</v>
      </c>
      <c r="S44" s="16" t="n">
        <f aca="false">ROUND(N44*0.35+O44*0.25+P44*0.25+Q44*0.15,1)</f>
        <v>9.1</v>
      </c>
      <c r="T44" s="17" t="n">
        <f aca="false">ROUND(R44*'Como ler'!$B$5+S44*'Como ler'!$B$6,1)</f>
        <v>6.1</v>
      </c>
      <c r="U44" s="18" t="s">
        <v>62</v>
      </c>
      <c r="V44" s="18" t="s">
        <v>63</v>
      </c>
    </row>
    <row r="45" customFormat="false" ht="15" hidden="false" customHeight="false" outlineLevel="0" collapsed="false">
      <c r="A45" s="19" t="n">
        <v>41</v>
      </c>
      <c r="B45" s="20" t="s">
        <v>155</v>
      </c>
      <c r="C45" s="21" t="s">
        <v>87</v>
      </c>
      <c r="D45" s="21" t="s">
        <v>58</v>
      </c>
      <c r="E45" s="19" t="n">
        <v>18</v>
      </c>
      <c r="F45" s="19" t="n">
        <v>2</v>
      </c>
      <c r="G45" s="19" t="n">
        <v>2</v>
      </c>
      <c r="H45" s="19" t="s">
        <v>59</v>
      </c>
      <c r="I45" s="19" t="s">
        <v>60</v>
      </c>
      <c r="J45" s="21" t="s">
        <v>156</v>
      </c>
      <c r="K45" s="15" t="n">
        <v>3</v>
      </c>
      <c r="L45" s="15" t="n">
        <v>4</v>
      </c>
      <c r="M45" s="15" t="n">
        <v>4</v>
      </c>
      <c r="N45" s="15" t="n">
        <v>10</v>
      </c>
      <c r="O45" s="15" t="n">
        <v>7</v>
      </c>
      <c r="P45" s="15" t="n">
        <v>10</v>
      </c>
      <c r="Q45" s="15" t="n">
        <v>9</v>
      </c>
      <c r="R45" s="16" t="n">
        <f aca="false">ROUND(K45*0.55+L45*0.25+M45*0.2,1)</f>
        <v>3.5</v>
      </c>
      <c r="S45" s="16" t="n">
        <f aca="false">ROUND(N45*0.35+O45*0.25+P45*0.25+Q45*0.15,1)</f>
        <v>9.1</v>
      </c>
      <c r="T45" s="17" t="n">
        <f aca="false">ROUND(R45*'Como ler'!$B$5+S45*'Como ler'!$B$6,1)</f>
        <v>6</v>
      </c>
      <c r="U45" s="18" t="s">
        <v>62</v>
      </c>
      <c r="V45" s="18" t="s">
        <v>63</v>
      </c>
    </row>
    <row r="46" customFormat="false" ht="15" hidden="false" customHeight="false" outlineLevel="0" collapsed="false">
      <c r="A46" s="19" t="n">
        <v>42</v>
      </c>
      <c r="B46" s="20" t="s">
        <v>157</v>
      </c>
      <c r="C46" s="21" t="s">
        <v>69</v>
      </c>
      <c r="D46" s="21" t="s">
        <v>58</v>
      </c>
      <c r="E46" s="19" t="n">
        <v>46</v>
      </c>
      <c r="F46" s="19" t="n">
        <v>1</v>
      </c>
      <c r="G46" s="19" t="n">
        <v>1</v>
      </c>
      <c r="H46" s="19" t="s">
        <v>115</v>
      </c>
      <c r="I46" s="19" t="s">
        <v>60</v>
      </c>
      <c r="J46" s="21" t="s">
        <v>158</v>
      </c>
      <c r="K46" s="15" t="n">
        <v>5</v>
      </c>
      <c r="L46" s="15" t="n">
        <v>2</v>
      </c>
      <c r="M46" s="15" t="n">
        <v>2</v>
      </c>
      <c r="N46" s="15" t="n">
        <v>10</v>
      </c>
      <c r="O46" s="15" t="n">
        <v>7</v>
      </c>
      <c r="P46" s="15" t="n">
        <v>10</v>
      </c>
      <c r="Q46" s="15" t="n">
        <v>6</v>
      </c>
      <c r="R46" s="16" t="n">
        <f aca="false">ROUND(K46*0.55+L46*0.25+M46*0.2,1)</f>
        <v>3.7</v>
      </c>
      <c r="S46" s="16" t="n">
        <f aca="false">ROUND(N46*0.35+O46*0.25+P46*0.25+Q46*0.15,1)</f>
        <v>8.7</v>
      </c>
      <c r="T46" s="17" t="n">
        <f aca="false">ROUND(R46*'Como ler'!$B$5+S46*'Como ler'!$B$6,1)</f>
        <v>6</v>
      </c>
      <c r="U46" s="18" t="s">
        <v>62</v>
      </c>
      <c r="V46" s="18" t="s">
        <v>63</v>
      </c>
    </row>
    <row r="47" customFormat="false" ht="15" hidden="false" customHeight="false" outlineLevel="0" collapsed="false">
      <c r="A47" s="19" t="n">
        <v>43</v>
      </c>
      <c r="B47" s="20" t="s">
        <v>159</v>
      </c>
      <c r="C47" s="21" t="s">
        <v>69</v>
      </c>
      <c r="D47" s="21" t="s">
        <v>58</v>
      </c>
      <c r="E47" s="19" t="n">
        <v>31</v>
      </c>
      <c r="F47" s="19" t="n">
        <v>1</v>
      </c>
      <c r="G47" s="19" t="n">
        <v>1</v>
      </c>
      <c r="H47" s="19" t="s">
        <v>66</v>
      </c>
      <c r="I47" s="19" t="s">
        <v>60</v>
      </c>
      <c r="J47" s="21" t="s">
        <v>160</v>
      </c>
      <c r="K47" s="15" t="n">
        <v>5</v>
      </c>
      <c r="L47" s="15" t="n">
        <v>2</v>
      </c>
      <c r="M47" s="15" t="n">
        <v>2</v>
      </c>
      <c r="N47" s="15" t="n">
        <v>10</v>
      </c>
      <c r="O47" s="15" t="n">
        <v>7</v>
      </c>
      <c r="P47" s="15" t="n">
        <v>10</v>
      </c>
      <c r="Q47" s="15" t="n">
        <v>6</v>
      </c>
      <c r="R47" s="16" t="n">
        <f aca="false">ROUND(K47*0.55+L47*0.25+M47*0.2,1)</f>
        <v>3.7</v>
      </c>
      <c r="S47" s="16" t="n">
        <f aca="false">ROUND(N47*0.35+O47*0.25+P47*0.25+Q47*0.15,1)</f>
        <v>8.7</v>
      </c>
      <c r="T47" s="17" t="n">
        <f aca="false">ROUND(R47*'Como ler'!$B$5+S47*'Como ler'!$B$6,1)</f>
        <v>6</v>
      </c>
      <c r="U47" s="18" t="s">
        <v>62</v>
      </c>
      <c r="V47" s="18" t="s">
        <v>63</v>
      </c>
    </row>
    <row r="48" customFormat="false" ht="15" hidden="false" customHeight="false" outlineLevel="0" collapsed="false">
      <c r="A48" s="19" t="n">
        <v>44</v>
      </c>
      <c r="B48" s="20" t="s">
        <v>161</v>
      </c>
      <c r="C48" s="21" t="s">
        <v>92</v>
      </c>
      <c r="D48" s="21" t="s">
        <v>58</v>
      </c>
      <c r="E48" s="19" t="n">
        <v>58</v>
      </c>
      <c r="F48" s="19" t="n">
        <v>1</v>
      </c>
      <c r="G48" s="19" t="n">
        <v>1</v>
      </c>
      <c r="H48" s="19" t="s">
        <v>66</v>
      </c>
      <c r="I48" s="19" t="s">
        <v>60</v>
      </c>
      <c r="J48" s="21" t="s">
        <v>162</v>
      </c>
      <c r="K48" s="15" t="n">
        <v>5</v>
      </c>
      <c r="L48" s="15" t="n">
        <v>2</v>
      </c>
      <c r="M48" s="15" t="n">
        <v>2</v>
      </c>
      <c r="N48" s="15" t="n">
        <v>10</v>
      </c>
      <c r="O48" s="15" t="n">
        <v>7</v>
      </c>
      <c r="P48" s="15" t="n">
        <v>10</v>
      </c>
      <c r="Q48" s="15" t="n">
        <v>6</v>
      </c>
      <c r="R48" s="16" t="n">
        <f aca="false">ROUND(K48*0.55+L48*0.25+M48*0.2,1)</f>
        <v>3.7</v>
      </c>
      <c r="S48" s="16" t="n">
        <f aca="false">ROUND(N48*0.35+O48*0.25+P48*0.25+Q48*0.15,1)</f>
        <v>8.7</v>
      </c>
      <c r="T48" s="17" t="n">
        <f aca="false">ROUND(R48*'Como ler'!$B$5+S48*'Como ler'!$B$6,1)</f>
        <v>6</v>
      </c>
      <c r="U48" s="18" t="s">
        <v>62</v>
      </c>
      <c r="V48" s="18" t="s">
        <v>63</v>
      </c>
    </row>
    <row r="49" customFormat="false" ht="15" hidden="false" customHeight="false" outlineLevel="0" collapsed="false">
      <c r="A49" s="19" t="n">
        <v>45</v>
      </c>
      <c r="B49" s="20" t="s">
        <v>163</v>
      </c>
      <c r="C49" s="21" t="s">
        <v>164</v>
      </c>
      <c r="D49" s="21" t="s">
        <v>58</v>
      </c>
      <c r="E49" s="19" t="n">
        <v>25</v>
      </c>
      <c r="F49" s="19" t="n">
        <v>1</v>
      </c>
      <c r="G49" s="19" t="n">
        <v>1</v>
      </c>
      <c r="H49" s="19" t="s">
        <v>59</v>
      </c>
      <c r="I49" s="19" t="s">
        <v>60</v>
      </c>
      <c r="J49" s="21" t="s">
        <v>165</v>
      </c>
      <c r="K49" s="15" t="n">
        <v>3</v>
      </c>
      <c r="L49" s="15" t="n">
        <v>2</v>
      </c>
      <c r="M49" s="15" t="n">
        <v>2</v>
      </c>
      <c r="N49" s="15" t="n">
        <v>10</v>
      </c>
      <c r="O49" s="15" t="n">
        <v>10</v>
      </c>
      <c r="P49" s="15" t="n">
        <v>10</v>
      </c>
      <c r="Q49" s="15" t="n">
        <v>9</v>
      </c>
      <c r="R49" s="16" t="n">
        <f aca="false">ROUND(K49*0.55+L49*0.25+M49*0.2,1)</f>
        <v>2.6</v>
      </c>
      <c r="S49" s="16" t="n">
        <f aca="false">ROUND(N49*0.35+O49*0.25+P49*0.25+Q49*0.15,1)</f>
        <v>9.9</v>
      </c>
      <c r="T49" s="17" t="n">
        <f aca="false">ROUND(R49*'Como ler'!$B$5+S49*'Como ler'!$B$6,1)</f>
        <v>5.9</v>
      </c>
      <c r="U49" s="18" t="s">
        <v>62</v>
      </c>
      <c r="V49" s="18" t="s">
        <v>63</v>
      </c>
    </row>
    <row r="50" customFormat="false" ht="15" hidden="false" customHeight="false" outlineLevel="0" collapsed="false">
      <c r="A50" s="19" t="n">
        <v>46</v>
      </c>
      <c r="B50" s="20" t="s">
        <v>166</v>
      </c>
      <c r="C50" s="21" t="s">
        <v>65</v>
      </c>
      <c r="D50" s="21" t="s">
        <v>58</v>
      </c>
      <c r="E50" s="19" t="n">
        <v>52</v>
      </c>
      <c r="F50" s="19" t="n">
        <v>4</v>
      </c>
      <c r="G50" s="19" t="n">
        <v>4</v>
      </c>
      <c r="H50" s="19" t="s">
        <v>59</v>
      </c>
      <c r="I50" s="19" t="s">
        <v>167</v>
      </c>
      <c r="J50" s="21" t="s">
        <v>168</v>
      </c>
      <c r="K50" s="15" t="n">
        <v>5</v>
      </c>
      <c r="L50" s="15" t="n">
        <v>6</v>
      </c>
      <c r="M50" s="15" t="n">
        <v>6</v>
      </c>
      <c r="N50" s="15" t="n">
        <v>3</v>
      </c>
      <c r="O50" s="15" t="n">
        <v>4</v>
      </c>
      <c r="P50" s="15" t="n">
        <v>10</v>
      </c>
      <c r="Q50" s="15" t="n">
        <v>9</v>
      </c>
      <c r="R50" s="16" t="n">
        <f aca="false">ROUND(K50*0.55+L50*0.25+M50*0.2,1)</f>
        <v>5.5</v>
      </c>
      <c r="S50" s="16" t="n">
        <f aca="false">ROUND(N50*0.35+O50*0.25+P50*0.25+Q50*0.15,1)</f>
        <v>5.9</v>
      </c>
      <c r="T50" s="17" t="n">
        <f aca="false">ROUND(R50*'Como ler'!$B$5+S50*'Como ler'!$B$6,1)</f>
        <v>5.7</v>
      </c>
      <c r="U50" s="18" t="s">
        <v>62</v>
      </c>
      <c r="V50" s="18" t="s">
        <v>63</v>
      </c>
    </row>
    <row r="51" customFormat="false" ht="15" hidden="false" customHeight="false" outlineLevel="0" collapsed="false">
      <c r="A51" s="19" t="n">
        <v>47</v>
      </c>
      <c r="B51" s="20" t="s">
        <v>169</v>
      </c>
      <c r="C51" s="21" t="s">
        <v>92</v>
      </c>
      <c r="D51" s="21" t="s">
        <v>58</v>
      </c>
      <c r="E51" s="19" t="n">
        <v>11</v>
      </c>
      <c r="F51" s="19" t="n">
        <v>2</v>
      </c>
      <c r="G51" s="19" t="n">
        <v>7</v>
      </c>
      <c r="H51" s="19" t="s">
        <v>66</v>
      </c>
      <c r="I51" s="19" t="s">
        <v>60</v>
      </c>
      <c r="J51" s="21" t="s">
        <v>170</v>
      </c>
      <c r="K51" s="15" t="n">
        <v>1</v>
      </c>
      <c r="L51" s="15" t="n">
        <v>4</v>
      </c>
      <c r="M51" s="15" t="n">
        <v>8</v>
      </c>
      <c r="N51" s="15" t="n">
        <v>10</v>
      </c>
      <c r="O51" s="15" t="n">
        <v>7</v>
      </c>
      <c r="P51" s="15" t="n">
        <v>10</v>
      </c>
      <c r="Q51" s="15" t="n">
        <v>6</v>
      </c>
      <c r="R51" s="16" t="n">
        <f aca="false">ROUND(K51*0.55+L51*0.25+M51*0.2,1)</f>
        <v>3.2</v>
      </c>
      <c r="S51" s="16" t="n">
        <f aca="false">ROUND(N51*0.35+O51*0.25+P51*0.25+Q51*0.15,1)</f>
        <v>8.7</v>
      </c>
      <c r="T51" s="17" t="n">
        <f aca="false">ROUND(R51*'Como ler'!$B$5+S51*'Como ler'!$B$6,1)</f>
        <v>5.7</v>
      </c>
      <c r="U51" s="18" t="s">
        <v>62</v>
      </c>
      <c r="V51" s="18" t="s">
        <v>63</v>
      </c>
    </row>
    <row r="52" customFormat="false" ht="15" hidden="false" customHeight="false" outlineLevel="0" collapsed="false">
      <c r="A52" s="19" t="n">
        <v>48</v>
      </c>
      <c r="B52" s="20" t="s">
        <v>171</v>
      </c>
      <c r="C52" s="21" t="s">
        <v>69</v>
      </c>
      <c r="D52" s="21" t="s">
        <v>58</v>
      </c>
      <c r="E52" s="19" t="n">
        <v>21</v>
      </c>
      <c r="F52" s="19" t="n">
        <v>1</v>
      </c>
      <c r="G52" s="19" t="n">
        <v>3</v>
      </c>
      <c r="H52" s="19" t="s">
        <v>59</v>
      </c>
      <c r="I52" s="19" t="s">
        <v>60</v>
      </c>
      <c r="J52" s="21" t="s">
        <v>172</v>
      </c>
      <c r="K52" s="15" t="n">
        <v>3</v>
      </c>
      <c r="L52" s="15" t="n">
        <v>2</v>
      </c>
      <c r="M52" s="15" t="n">
        <v>4</v>
      </c>
      <c r="N52" s="15" t="n">
        <v>10</v>
      </c>
      <c r="O52" s="15" t="n">
        <v>7</v>
      </c>
      <c r="P52" s="15" t="n">
        <v>10</v>
      </c>
      <c r="Q52" s="15" t="n">
        <v>9</v>
      </c>
      <c r="R52" s="16" t="n">
        <f aca="false">ROUND(K52*0.55+L52*0.25+M52*0.2,1)</f>
        <v>3</v>
      </c>
      <c r="S52" s="16" t="n">
        <f aca="false">ROUND(N52*0.35+O52*0.25+P52*0.25+Q52*0.15,1)</f>
        <v>9.1</v>
      </c>
      <c r="T52" s="17" t="n">
        <f aca="false">ROUND(R52*'Como ler'!$B$5+S52*'Como ler'!$B$6,1)</f>
        <v>5.7</v>
      </c>
      <c r="U52" s="18" t="s">
        <v>62</v>
      </c>
      <c r="V52" s="18" t="s">
        <v>63</v>
      </c>
    </row>
    <row r="53" customFormat="false" ht="15" hidden="false" customHeight="false" outlineLevel="0" collapsed="false">
      <c r="A53" s="19" t="n">
        <v>49</v>
      </c>
      <c r="B53" s="20" t="s">
        <v>173</v>
      </c>
      <c r="C53" s="21" t="s">
        <v>92</v>
      </c>
      <c r="D53" s="21" t="s">
        <v>58</v>
      </c>
      <c r="E53" s="19" t="n">
        <v>26</v>
      </c>
      <c r="F53" s="19" t="n">
        <v>1</v>
      </c>
      <c r="G53" s="19" t="n">
        <v>3</v>
      </c>
      <c r="H53" s="19" t="s">
        <v>66</v>
      </c>
      <c r="I53" s="19" t="s">
        <v>60</v>
      </c>
      <c r="J53" s="21" t="s">
        <v>174</v>
      </c>
      <c r="K53" s="15" t="n">
        <v>3</v>
      </c>
      <c r="L53" s="15" t="n">
        <v>2</v>
      </c>
      <c r="M53" s="15" t="n">
        <v>4</v>
      </c>
      <c r="N53" s="15" t="n">
        <v>10</v>
      </c>
      <c r="O53" s="15" t="n">
        <v>7</v>
      </c>
      <c r="P53" s="15" t="n">
        <v>10</v>
      </c>
      <c r="Q53" s="15" t="n">
        <v>6</v>
      </c>
      <c r="R53" s="16" t="n">
        <f aca="false">ROUND(K53*0.55+L53*0.25+M53*0.2,1)</f>
        <v>3</v>
      </c>
      <c r="S53" s="16" t="n">
        <f aca="false">ROUND(N53*0.35+O53*0.25+P53*0.25+Q53*0.15,1)</f>
        <v>8.7</v>
      </c>
      <c r="T53" s="17" t="n">
        <f aca="false">ROUND(R53*'Como ler'!$B$5+S53*'Como ler'!$B$6,1)</f>
        <v>5.6</v>
      </c>
      <c r="U53" s="18" t="s">
        <v>62</v>
      </c>
      <c r="V53" s="18" t="s">
        <v>63</v>
      </c>
    </row>
    <row r="54" customFormat="false" ht="15" hidden="false" customHeight="false" outlineLevel="0" collapsed="false">
      <c r="A54" s="19" t="n">
        <v>50</v>
      </c>
      <c r="B54" s="20" t="s">
        <v>175</v>
      </c>
      <c r="C54" s="21" t="s">
        <v>69</v>
      </c>
      <c r="D54" s="21" t="s">
        <v>58</v>
      </c>
      <c r="E54" s="19" t="n">
        <v>66</v>
      </c>
      <c r="F54" s="19" t="n">
        <v>3</v>
      </c>
      <c r="G54" s="19" t="n">
        <v>3</v>
      </c>
      <c r="H54" s="19" t="s">
        <v>66</v>
      </c>
      <c r="I54" s="19" t="s">
        <v>167</v>
      </c>
      <c r="J54" s="21" t="s">
        <v>168</v>
      </c>
      <c r="K54" s="15" t="n">
        <v>6</v>
      </c>
      <c r="L54" s="15" t="n">
        <v>6</v>
      </c>
      <c r="M54" s="15" t="n">
        <v>4</v>
      </c>
      <c r="N54" s="15" t="n">
        <v>3</v>
      </c>
      <c r="O54" s="15" t="n">
        <v>4</v>
      </c>
      <c r="P54" s="15" t="n">
        <v>10</v>
      </c>
      <c r="Q54" s="15" t="n">
        <v>6</v>
      </c>
      <c r="R54" s="16" t="n">
        <f aca="false">ROUND(K54*0.55+L54*0.25+M54*0.2,1)</f>
        <v>5.6</v>
      </c>
      <c r="S54" s="16" t="n">
        <f aca="false">ROUND(N54*0.35+O54*0.25+P54*0.25+Q54*0.15,1)</f>
        <v>5.5</v>
      </c>
      <c r="T54" s="17" t="n">
        <f aca="false">ROUND(R54*'Como ler'!$B$5+S54*'Como ler'!$B$6,1)</f>
        <v>5.6</v>
      </c>
      <c r="U54" s="18" t="s">
        <v>62</v>
      </c>
      <c r="V54" s="18" t="s">
        <v>63</v>
      </c>
    </row>
    <row r="55" customFormat="false" ht="15" hidden="false" customHeight="false" outlineLevel="0" collapsed="false">
      <c r="A55" s="19" t="n">
        <v>51</v>
      </c>
      <c r="B55" s="20" t="s">
        <v>176</v>
      </c>
      <c r="C55" s="21" t="s">
        <v>69</v>
      </c>
      <c r="D55" s="21" t="s">
        <v>58</v>
      </c>
      <c r="E55" s="19" t="n">
        <v>28</v>
      </c>
      <c r="F55" s="19" t="n">
        <v>1</v>
      </c>
      <c r="G55" s="19" t="n">
        <v>1</v>
      </c>
      <c r="H55" s="19" t="s">
        <v>59</v>
      </c>
      <c r="I55" s="19" t="s">
        <v>60</v>
      </c>
      <c r="J55" s="21" t="s">
        <v>177</v>
      </c>
      <c r="K55" s="15" t="n">
        <v>3</v>
      </c>
      <c r="L55" s="15" t="n">
        <v>2</v>
      </c>
      <c r="M55" s="15" t="n">
        <v>2</v>
      </c>
      <c r="N55" s="15" t="n">
        <v>10</v>
      </c>
      <c r="O55" s="15" t="n">
        <v>7</v>
      </c>
      <c r="P55" s="15" t="n">
        <v>10</v>
      </c>
      <c r="Q55" s="15" t="n">
        <v>9</v>
      </c>
      <c r="R55" s="16" t="n">
        <f aca="false">ROUND(K55*0.55+L55*0.25+M55*0.2,1)</f>
        <v>2.6</v>
      </c>
      <c r="S55" s="16" t="n">
        <f aca="false">ROUND(N55*0.35+O55*0.25+P55*0.25+Q55*0.15,1)</f>
        <v>9.1</v>
      </c>
      <c r="T55" s="17" t="n">
        <f aca="false">ROUND(R55*'Como ler'!$B$5+S55*'Como ler'!$B$6,1)</f>
        <v>5.5</v>
      </c>
      <c r="U55" s="18" t="s">
        <v>62</v>
      </c>
      <c r="V55" s="18" t="s">
        <v>63</v>
      </c>
    </row>
    <row r="56" customFormat="false" ht="15" hidden="false" customHeight="false" outlineLevel="0" collapsed="false">
      <c r="A56" s="19" t="n">
        <v>52</v>
      </c>
      <c r="B56" s="20" t="s">
        <v>178</v>
      </c>
      <c r="C56" s="21" t="s">
        <v>69</v>
      </c>
      <c r="D56" s="21" t="s">
        <v>58</v>
      </c>
      <c r="E56" s="19" t="n">
        <v>27</v>
      </c>
      <c r="F56" s="19" t="n">
        <v>1</v>
      </c>
      <c r="G56" s="19" t="n">
        <v>1</v>
      </c>
      <c r="H56" s="19" t="s">
        <v>66</v>
      </c>
      <c r="I56" s="19" t="s">
        <v>60</v>
      </c>
      <c r="J56" s="21" t="s">
        <v>179</v>
      </c>
      <c r="K56" s="15" t="n">
        <v>3</v>
      </c>
      <c r="L56" s="15" t="n">
        <v>2</v>
      </c>
      <c r="M56" s="15" t="n">
        <v>2</v>
      </c>
      <c r="N56" s="15" t="n">
        <v>10</v>
      </c>
      <c r="O56" s="15" t="n">
        <v>7</v>
      </c>
      <c r="P56" s="15" t="n">
        <v>10</v>
      </c>
      <c r="Q56" s="15" t="n">
        <v>6</v>
      </c>
      <c r="R56" s="16" t="n">
        <f aca="false">ROUND(K56*0.55+L56*0.25+M56*0.2,1)</f>
        <v>2.6</v>
      </c>
      <c r="S56" s="16" t="n">
        <f aca="false">ROUND(N56*0.35+O56*0.25+P56*0.25+Q56*0.15,1)</f>
        <v>8.7</v>
      </c>
      <c r="T56" s="17" t="n">
        <f aca="false">ROUND(R56*'Como ler'!$B$5+S56*'Como ler'!$B$6,1)</f>
        <v>5.3</v>
      </c>
      <c r="U56" s="18" t="s">
        <v>62</v>
      </c>
      <c r="V56" s="18" t="s">
        <v>63</v>
      </c>
    </row>
    <row r="57" customFormat="false" ht="15" hidden="false" customHeight="false" outlineLevel="0" collapsed="false">
      <c r="A57" s="19" t="n">
        <v>53</v>
      </c>
      <c r="B57" s="20" t="s">
        <v>180</v>
      </c>
      <c r="C57" s="21" t="s">
        <v>65</v>
      </c>
      <c r="D57" s="21" t="s">
        <v>58</v>
      </c>
      <c r="E57" s="19" t="n">
        <v>29</v>
      </c>
      <c r="F57" s="19" t="n">
        <v>1</v>
      </c>
      <c r="G57" s="19" t="n">
        <v>1</v>
      </c>
      <c r="H57" s="19" t="s">
        <v>66</v>
      </c>
      <c r="I57" s="19" t="s">
        <v>60</v>
      </c>
      <c r="J57" s="21" t="s">
        <v>181</v>
      </c>
      <c r="K57" s="15" t="n">
        <v>3</v>
      </c>
      <c r="L57" s="15" t="n">
        <v>2</v>
      </c>
      <c r="M57" s="15" t="n">
        <v>2</v>
      </c>
      <c r="N57" s="15" t="n">
        <v>10</v>
      </c>
      <c r="O57" s="15" t="n">
        <v>7</v>
      </c>
      <c r="P57" s="15" t="n">
        <v>10</v>
      </c>
      <c r="Q57" s="15" t="n">
        <v>6</v>
      </c>
      <c r="R57" s="16" t="n">
        <f aca="false">ROUND(K57*0.55+L57*0.25+M57*0.2,1)</f>
        <v>2.6</v>
      </c>
      <c r="S57" s="16" t="n">
        <f aca="false">ROUND(N57*0.35+O57*0.25+P57*0.25+Q57*0.15,1)</f>
        <v>8.7</v>
      </c>
      <c r="T57" s="17" t="n">
        <f aca="false">ROUND(R57*'Como ler'!$B$5+S57*'Como ler'!$B$6,1)</f>
        <v>5.3</v>
      </c>
      <c r="U57" s="18" t="s">
        <v>62</v>
      </c>
      <c r="V57" s="18" t="s">
        <v>63</v>
      </c>
    </row>
    <row r="58" customFormat="false" ht="15" hidden="false" customHeight="false" outlineLevel="0" collapsed="false">
      <c r="A58" s="19" t="n">
        <v>54</v>
      </c>
      <c r="B58" s="20" t="s">
        <v>182</v>
      </c>
      <c r="C58" s="21" t="s">
        <v>92</v>
      </c>
      <c r="D58" s="21" t="s">
        <v>58</v>
      </c>
      <c r="E58" s="19" t="n">
        <v>10</v>
      </c>
      <c r="F58" s="19" t="n">
        <v>1</v>
      </c>
      <c r="G58" s="19" t="n">
        <v>1</v>
      </c>
      <c r="H58" s="19" t="s">
        <v>59</v>
      </c>
      <c r="I58" s="19" t="s">
        <v>60</v>
      </c>
      <c r="J58" s="21" t="s">
        <v>183</v>
      </c>
      <c r="K58" s="15" t="n">
        <v>1</v>
      </c>
      <c r="L58" s="15" t="n">
        <v>2</v>
      </c>
      <c r="M58" s="15" t="n">
        <v>2</v>
      </c>
      <c r="N58" s="15" t="n">
        <v>10</v>
      </c>
      <c r="O58" s="15" t="n">
        <v>10</v>
      </c>
      <c r="P58" s="15" t="n">
        <v>10</v>
      </c>
      <c r="Q58" s="15" t="n">
        <v>9</v>
      </c>
      <c r="R58" s="16" t="n">
        <f aca="false">ROUND(K58*0.55+L58*0.25+M58*0.2,1)</f>
        <v>1.5</v>
      </c>
      <c r="S58" s="16" t="n">
        <f aca="false">ROUND(N58*0.35+O58*0.25+P58*0.25+Q58*0.15,1)</f>
        <v>9.9</v>
      </c>
      <c r="T58" s="17" t="n">
        <f aca="false">ROUND(R58*'Como ler'!$B$5+S58*'Como ler'!$B$6,1)</f>
        <v>5.3</v>
      </c>
      <c r="U58" s="18" t="s">
        <v>62</v>
      </c>
      <c r="V58" s="18" t="s">
        <v>63</v>
      </c>
    </row>
    <row r="59" customFormat="false" ht="15" hidden="false" customHeight="false" outlineLevel="0" collapsed="false">
      <c r="A59" s="19" t="n">
        <v>55</v>
      </c>
      <c r="B59" s="20" t="s">
        <v>184</v>
      </c>
      <c r="C59" s="21" t="s">
        <v>69</v>
      </c>
      <c r="D59" s="21" t="s">
        <v>58</v>
      </c>
      <c r="E59" s="19" t="n">
        <v>102</v>
      </c>
      <c r="F59" s="19" t="n">
        <v>1</v>
      </c>
      <c r="G59" s="19" t="n">
        <v>1</v>
      </c>
      <c r="H59" s="19" t="s">
        <v>66</v>
      </c>
      <c r="I59" s="19" t="s">
        <v>140</v>
      </c>
      <c r="J59" s="21" t="s">
        <v>141</v>
      </c>
      <c r="K59" s="15" t="n">
        <v>7</v>
      </c>
      <c r="L59" s="15" t="n">
        <v>2</v>
      </c>
      <c r="M59" s="15" t="n">
        <v>2</v>
      </c>
      <c r="N59" s="15" t="n">
        <v>3</v>
      </c>
      <c r="O59" s="15" t="n">
        <v>4</v>
      </c>
      <c r="P59" s="15" t="n">
        <v>10</v>
      </c>
      <c r="Q59" s="15" t="n">
        <v>6</v>
      </c>
      <c r="R59" s="16" t="n">
        <f aca="false">ROUND(K59*0.55+L59*0.25+M59*0.2,1)</f>
        <v>4.8</v>
      </c>
      <c r="S59" s="16" t="n">
        <f aca="false">ROUND(N59*0.35+O59*0.25+P59*0.25+Q59*0.15,1)</f>
        <v>5.5</v>
      </c>
      <c r="T59" s="17" t="n">
        <f aca="false">ROUND(R59*'Como ler'!$B$5+S59*'Como ler'!$B$6,1)</f>
        <v>5.1</v>
      </c>
      <c r="U59" s="18" t="s">
        <v>62</v>
      </c>
      <c r="V59" s="18" t="s">
        <v>63</v>
      </c>
    </row>
    <row r="60" customFormat="false" ht="15" hidden="false" customHeight="false" outlineLevel="0" collapsed="false">
      <c r="A60" s="19" t="n">
        <v>56</v>
      </c>
      <c r="B60" s="20" t="s">
        <v>185</v>
      </c>
      <c r="C60" s="21" t="s">
        <v>74</v>
      </c>
      <c r="D60" s="21" t="s">
        <v>58</v>
      </c>
      <c r="E60" s="19" t="n">
        <v>7</v>
      </c>
      <c r="F60" s="19" t="n">
        <v>1</v>
      </c>
      <c r="G60" s="19" t="n">
        <v>2</v>
      </c>
      <c r="H60" s="19" t="s">
        <v>59</v>
      </c>
      <c r="I60" s="19" t="s">
        <v>60</v>
      </c>
      <c r="J60" s="21" t="s">
        <v>186</v>
      </c>
      <c r="K60" s="15" t="n">
        <v>1</v>
      </c>
      <c r="L60" s="15" t="n">
        <v>2</v>
      </c>
      <c r="M60" s="15" t="n">
        <v>4</v>
      </c>
      <c r="N60" s="15" t="n">
        <v>10</v>
      </c>
      <c r="O60" s="15" t="n">
        <v>7</v>
      </c>
      <c r="P60" s="15" t="n">
        <v>10</v>
      </c>
      <c r="Q60" s="15" t="n">
        <v>9</v>
      </c>
      <c r="R60" s="16" t="n">
        <f aca="false">ROUND(K60*0.55+L60*0.25+M60*0.2,1)</f>
        <v>1.9</v>
      </c>
      <c r="S60" s="16" t="n">
        <f aca="false">ROUND(N60*0.35+O60*0.25+P60*0.25+Q60*0.15,1)</f>
        <v>9.1</v>
      </c>
      <c r="T60" s="17" t="n">
        <f aca="false">ROUND(R60*'Como ler'!$B$5+S60*'Como ler'!$B$6,1)</f>
        <v>5.1</v>
      </c>
      <c r="U60" s="18" t="s">
        <v>62</v>
      </c>
      <c r="V60" s="18" t="s">
        <v>63</v>
      </c>
    </row>
    <row r="61" customFormat="false" ht="15" hidden="false" customHeight="false" outlineLevel="0" collapsed="false">
      <c r="A61" s="19" t="n">
        <v>57</v>
      </c>
      <c r="B61" s="20" t="s">
        <v>187</v>
      </c>
      <c r="C61" s="21" t="s">
        <v>87</v>
      </c>
      <c r="D61" s="21" t="s">
        <v>58</v>
      </c>
      <c r="E61" s="19" t="n">
        <v>10</v>
      </c>
      <c r="F61" s="19" t="n">
        <v>1</v>
      </c>
      <c r="G61" s="19" t="n">
        <v>1</v>
      </c>
      <c r="H61" s="19" t="s">
        <v>59</v>
      </c>
      <c r="I61" s="19" t="s">
        <v>60</v>
      </c>
      <c r="J61" s="21" t="s">
        <v>188</v>
      </c>
      <c r="K61" s="15" t="n">
        <v>1</v>
      </c>
      <c r="L61" s="15" t="n">
        <v>2</v>
      </c>
      <c r="M61" s="15" t="n">
        <v>2</v>
      </c>
      <c r="N61" s="15" t="n">
        <v>10</v>
      </c>
      <c r="O61" s="15" t="n">
        <v>7</v>
      </c>
      <c r="P61" s="15" t="n">
        <v>10</v>
      </c>
      <c r="Q61" s="15" t="n">
        <v>9</v>
      </c>
      <c r="R61" s="16" t="n">
        <f aca="false">ROUND(K61*0.55+L61*0.25+M61*0.2,1)</f>
        <v>1.5</v>
      </c>
      <c r="S61" s="16" t="n">
        <f aca="false">ROUND(N61*0.35+O61*0.25+P61*0.25+Q61*0.15,1)</f>
        <v>9.1</v>
      </c>
      <c r="T61" s="17" t="n">
        <f aca="false">ROUND(R61*'Como ler'!$B$5+S61*'Como ler'!$B$6,1)</f>
        <v>4.9</v>
      </c>
      <c r="U61" s="18" t="s">
        <v>62</v>
      </c>
      <c r="V61" s="18" t="s">
        <v>63</v>
      </c>
    </row>
    <row r="62" customFormat="false" ht="15" hidden="false" customHeight="false" outlineLevel="0" collapsed="false">
      <c r="A62" s="19" t="n">
        <v>58</v>
      </c>
      <c r="B62" s="20" t="s">
        <v>189</v>
      </c>
      <c r="C62" s="21" t="s">
        <v>69</v>
      </c>
      <c r="D62" s="21" t="s">
        <v>58</v>
      </c>
      <c r="E62" s="19" t="n">
        <v>67</v>
      </c>
      <c r="F62" s="19" t="n">
        <v>1</v>
      </c>
      <c r="G62" s="19" t="n">
        <v>1</v>
      </c>
      <c r="H62" s="19" t="s">
        <v>66</v>
      </c>
      <c r="I62" s="19" t="s">
        <v>140</v>
      </c>
      <c r="J62" s="21" t="s">
        <v>141</v>
      </c>
      <c r="K62" s="15" t="n">
        <v>6</v>
      </c>
      <c r="L62" s="15" t="n">
        <v>2</v>
      </c>
      <c r="M62" s="15" t="n">
        <v>2</v>
      </c>
      <c r="N62" s="15" t="n">
        <v>3</v>
      </c>
      <c r="O62" s="15" t="n">
        <v>4</v>
      </c>
      <c r="P62" s="15" t="n">
        <v>10</v>
      </c>
      <c r="Q62" s="15" t="n">
        <v>6</v>
      </c>
      <c r="R62" s="16" t="n">
        <f aca="false">ROUND(K62*0.55+L62*0.25+M62*0.2,1)</f>
        <v>4.2</v>
      </c>
      <c r="S62" s="16" t="n">
        <f aca="false">ROUND(N62*0.35+O62*0.25+P62*0.25+Q62*0.15,1)</f>
        <v>5.5</v>
      </c>
      <c r="T62" s="17" t="n">
        <f aca="false">ROUND(R62*'Como ler'!$B$5+S62*'Como ler'!$B$6,1)</f>
        <v>4.8</v>
      </c>
      <c r="U62" s="18" t="s">
        <v>62</v>
      </c>
      <c r="V62" s="18" t="s">
        <v>63</v>
      </c>
    </row>
    <row r="63" customFormat="false" ht="15" hidden="false" customHeight="false" outlineLevel="0" collapsed="false">
      <c r="A63" s="19" t="n">
        <v>59</v>
      </c>
      <c r="B63" s="20" t="s">
        <v>190</v>
      </c>
      <c r="C63" s="21" t="s">
        <v>69</v>
      </c>
      <c r="D63" s="21" t="s">
        <v>58</v>
      </c>
      <c r="E63" s="19" t="n">
        <v>16</v>
      </c>
      <c r="F63" s="19" t="n">
        <v>1</v>
      </c>
      <c r="G63" s="19" t="n">
        <v>13</v>
      </c>
      <c r="H63" s="19" t="s">
        <v>66</v>
      </c>
      <c r="I63" s="19" t="s">
        <v>167</v>
      </c>
      <c r="J63" s="21" t="s">
        <v>168</v>
      </c>
      <c r="K63" s="15" t="n">
        <v>3</v>
      </c>
      <c r="L63" s="15" t="n">
        <v>2</v>
      </c>
      <c r="M63" s="15" t="n">
        <v>10</v>
      </c>
      <c r="N63" s="15" t="n">
        <v>3</v>
      </c>
      <c r="O63" s="15" t="n">
        <v>4</v>
      </c>
      <c r="P63" s="15" t="n">
        <v>10</v>
      </c>
      <c r="Q63" s="15" t="n">
        <v>6</v>
      </c>
      <c r="R63" s="16" t="n">
        <f aca="false">ROUND(K63*0.55+L63*0.25+M63*0.2,1)</f>
        <v>4.2</v>
      </c>
      <c r="S63" s="16" t="n">
        <f aca="false">ROUND(N63*0.35+O63*0.25+P63*0.25+Q63*0.15,1)</f>
        <v>5.5</v>
      </c>
      <c r="T63" s="17" t="n">
        <f aca="false">ROUND(R63*'Como ler'!$B$5+S63*'Como ler'!$B$6,1)</f>
        <v>4.8</v>
      </c>
      <c r="U63" s="18" t="s">
        <v>62</v>
      </c>
      <c r="V63" s="18" t="s">
        <v>63</v>
      </c>
    </row>
    <row r="64" customFormat="false" ht="15" hidden="false" customHeight="false" outlineLevel="0" collapsed="false">
      <c r="A64" s="19" t="n">
        <v>60</v>
      </c>
      <c r="B64" s="20" t="s">
        <v>191</v>
      </c>
      <c r="C64" s="21" t="s">
        <v>57</v>
      </c>
      <c r="D64" s="21" t="s">
        <v>58</v>
      </c>
      <c r="E64" s="19" t="n">
        <v>43</v>
      </c>
      <c r="F64" s="19" t="n">
        <v>1</v>
      </c>
      <c r="G64" s="19" t="n">
        <v>2</v>
      </c>
      <c r="H64" s="19" t="s">
        <v>66</v>
      </c>
      <c r="I64" s="19" t="s">
        <v>167</v>
      </c>
      <c r="J64" s="21" t="s">
        <v>168</v>
      </c>
      <c r="K64" s="15" t="n">
        <v>5</v>
      </c>
      <c r="L64" s="15" t="n">
        <v>2</v>
      </c>
      <c r="M64" s="15" t="n">
        <v>4</v>
      </c>
      <c r="N64" s="15" t="n">
        <v>3</v>
      </c>
      <c r="O64" s="15" t="n">
        <v>4</v>
      </c>
      <c r="P64" s="15" t="n">
        <v>10</v>
      </c>
      <c r="Q64" s="15" t="n">
        <v>6</v>
      </c>
      <c r="R64" s="16" t="n">
        <f aca="false">ROUND(K64*0.55+L64*0.25+M64*0.2,1)</f>
        <v>4.1</v>
      </c>
      <c r="S64" s="16" t="n">
        <f aca="false">ROUND(N64*0.35+O64*0.25+P64*0.25+Q64*0.15,1)</f>
        <v>5.5</v>
      </c>
      <c r="T64" s="17" t="n">
        <f aca="false">ROUND(R64*'Como ler'!$B$5+S64*'Como ler'!$B$6,1)</f>
        <v>4.7</v>
      </c>
      <c r="U64" s="18" t="s">
        <v>62</v>
      </c>
      <c r="V64" s="18" t="s">
        <v>63</v>
      </c>
    </row>
    <row r="65" customFormat="false" ht="15" hidden="false" customHeight="false" outlineLevel="0" collapsed="false">
      <c r="A65" s="19" t="n">
        <v>61</v>
      </c>
      <c r="B65" s="20" t="s">
        <v>192</v>
      </c>
      <c r="C65" s="21" t="s">
        <v>65</v>
      </c>
      <c r="D65" s="21" t="s">
        <v>58</v>
      </c>
      <c r="E65" s="19" t="n">
        <v>40</v>
      </c>
      <c r="F65" s="19" t="n">
        <v>1</v>
      </c>
      <c r="G65" s="19" t="n">
        <v>1</v>
      </c>
      <c r="H65" s="19" t="s">
        <v>59</v>
      </c>
      <c r="I65" s="19" t="s">
        <v>140</v>
      </c>
      <c r="J65" s="21" t="s">
        <v>141</v>
      </c>
      <c r="K65" s="15" t="n">
        <v>5</v>
      </c>
      <c r="L65" s="15" t="n">
        <v>2</v>
      </c>
      <c r="M65" s="15" t="n">
        <v>2</v>
      </c>
      <c r="N65" s="15" t="n">
        <v>3</v>
      </c>
      <c r="O65" s="15" t="n">
        <v>4</v>
      </c>
      <c r="P65" s="15" t="n">
        <v>10</v>
      </c>
      <c r="Q65" s="15" t="n">
        <v>9</v>
      </c>
      <c r="R65" s="16" t="n">
        <f aca="false">ROUND(K65*0.55+L65*0.25+M65*0.2,1)</f>
        <v>3.7</v>
      </c>
      <c r="S65" s="16" t="n">
        <f aca="false">ROUND(N65*0.35+O65*0.25+P65*0.25+Q65*0.15,1)</f>
        <v>5.9</v>
      </c>
      <c r="T65" s="17" t="n">
        <f aca="false">ROUND(R65*'Como ler'!$B$5+S65*'Como ler'!$B$6,1)</f>
        <v>4.7</v>
      </c>
      <c r="U65" s="18" t="s">
        <v>62</v>
      </c>
      <c r="V65" s="18" t="s">
        <v>63</v>
      </c>
    </row>
    <row r="66" customFormat="false" ht="15" hidden="false" customHeight="false" outlineLevel="0" collapsed="false">
      <c r="A66" s="19" t="n">
        <v>62</v>
      </c>
      <c r="B66" s="20" t="s">
        <v>193</v>
      </c>
      <c r="C66" s="21" t="s">
        <v>69</v>
      </c>
      <c r="D66" s="21" t="s">
        <v>58</v>
      </c>
      <c r="E66" s="19" t="n">
        <v>14</v>
      </c>
      <c r="F66" s="19" t="n">
        <v>1</v>
      </c>
      <c r="G66" s="19" t="n">
        <v>6</v>
      </c>
      <c r="H66" s="19" t="s">
        <v>66</v>
      </c>
      <c r="I66" s="19" t="s">
        <v>167</v>
      </c>
      <c r="J66" s="21" t="s">
        <v>168</v>
      </c>
      <c r="K66" s="15" t="n">
        <v>3</v>
      </c>
      <c r="L66" s="15" t="n">
        <v>2</v>
      </c>
      <c r="M66" s="15" t="n">
        <v>8</v>
      </c>
      <c r="N66" s="15" t="n">
        <v>3</v>
      </c>
      <c r="O66" s="15" t="n">
        <v>4</v>
      </c>
      <c r="P66" s="15" t="n">
        <v>10</v>
      </c>
      <c r="Q66" s="15" t="n">
        <v>6</v>
      </c>
      <c r="R66" s="16" t="n">
        <f aca="false">ROUND(K66*0.55+L66*0.25+M66*0.2,1)</f>
        <v>3.8</v>
      </c>
      <c r="S66" s="16" t="n">
        <f aca="false">ROUND(N66*0.35+O66*0.25+P66*0.25+Q66*0.15,1)</f>
        <v>5.5</v>
      </c>
      <c r="T66" s="17" t="n">
        <f aca="false">ROUND(R66*'Como ler'!$B$5+S66*'Como ler'!$B$6,1)</f>
        <v>4.6</v>
      </c>
      <c r="U66" s="18" t="s">
        <v>62</v>
      </c>
      <c r="V66" s="18" t="s">
        <v>63</v>
      </c>
    </row>
    <row r="67" customFormat="false" ht="15" hidden="false" customHeight="false" outlineLevel="0" collapsed="false">
      <c r="A67" s="19" t="n">
        <v>63</v>
      </c>
      <c r="B67" s="20" t="s">
        <v>194</v>
      </c>
      <c r="C67" s="21" t="s">
        <v>69</v>
      </c>
      <c r="D67" s="21" t="s">
        <v>58</v>
      </c>
      <c r="E67" s="19" t="n">
        <v>44</v>
      </c>
      <c r="F67" s="19" t="n">
        <v>1</v>
      </c>
      <c r="G67" s="19" t="n">
        <v>1</v>
      </c>
      <c r="H67" s="19" t="s">
        <v>66</v>
      </c>
      <c r="I67" s="19" t="s">
        <v>167</v>
      </c>
      <c r="J67" s="21" t="s">
        <v>168</v>
      </c>
      <c r="K67" s="15" t="n">
        <v>5</v>
      </c>
      <c r="L67" s="15" t="n">
        <v>2</v>
      </c>
      <c r="M67" s="15" t="n">
        <v>2</v>
      </c>
      <c r="N67" s="15" t="n">
        <v>3</v>
      </c>
      <c r="O67" s="15" t="n">
        <v>4</v>
      </c>
      <c r="P67" s="15" t="n">
        <v>10</v>
      </c>
      <c r="Q67" s="15" t="n">
        <v>6</v>
      </c>
      <c r="R67" s="16" t="n">
        <f aca="false">ROUND(K67*0.55+L67*0.25+M67*0.2,1)</f>
        <v>3.7</v>
      </c>
      <c r="S67" s="16" t="n">
        <f aca="false">ROUND(N67*0.35+O67*0.25+P67*0.25+Q67*0.15,1)</f>
        <v>5.5</v>
      </c>
      <c r="T67" s="17" t="n">
        <f aca="false">ROUND(R67*'Como ler'!$B$5+S67*'Como ler'!$B$6,1)</f>
        <v>4.5</v>
      </c>
      <c r="U67" s="18" t="s">
        <v>62</v>
      </c>
      <c r="V67" s="18" t="s">
        <v>63</v>
      </c>
    </row>
    <row r="68" customFormat="false" ht="15" hidden="false" customHeight="false" outlineLevel="0" collapsed="false">
      <c r="A68" s="19" t="n">
        <v>64</v>
      </c>
      <c r="B68" s="20" t="s">
        <v>195</v>
      </c>
      <c r="C68" s="21" t="s">
        <v>69</v>
      </c>
      <c r="D68" s="21" t="s">
        <v>58</v>
      </c>
      <c r="E68" s="19" t="n">
        <v>59</v>
      </c>
      <c r="F68" s="19" t="n">
        <v>1</v>
      </c>
      <c r="G68" s="19" t="n">
        <v>1</v>
      </c>
      <c r="H68" s="19" t="s">
        <v>115</v>
      </c>
      <c r="I68" s="19" t="s">
        <v>167</v>
      </c>
      <c r="J68" s="21" t="s">
        <v>168</v>
      </c>
      <c r="K68" s="15" t="n">
        <v>5</v>
      </c>
      <c r="L68" s="15" t="n">
        <v>2</v>
      </c>
      <c r="M68" s="15" t="n">
        <v>2</v>
      </c>
      <c r="N68" s="15" t="n">
        <v>3</v>
      </c>
      <c r="O68" s="15" t="n">
        <v>4</v>
      </c>
      <c r="P68" s="15" t="n">
        <v>10</v>
      </c>
      <c r="Q68" s="15" t="n">
        <v>6</v>
      </c>
      <c r="R68" s="16" t="n">
        <f aca="false">ROUND(K68*0.55+L68*0.25+M68*0.2,1)</f>
        <v>3.7</v>
      </c>
      <c r="S68" s="16" t="n">
        <f aca="false">ROUND(N68*0.35+O68*0.25+P68*0.25+Q68*0.15,1)</f>
        <v>5.5</v>
      </c>
      <c r="T68" s="17" t="n">
        <f aca="false">ROUND(R68*'Como ler'!$B$5+S68*'Como ler'!$B$6,1)</f>
        <v>4.5</v>
      </c>
      <c r="U68" s="18" t="s">
        <v>62</v>
      </c>
      <c r="V68" s="18" t="s">
        <v>63</v>
      </c>
    </row>
    <row r="69" customFormat="false" ht="15" hidden="false" customHeight="false" outlineLevel="0" collapsed="false">
      <c r="A69" s="19" t="n">
        <v>65</v>
      </c>
      <c r="B69" s="20" t="s">
        <v>196</v>
      </c>
      <c r="C69" s="21" t="s">
        <v>92</v>
      </c>
      <c r="D69" s="21" t="s">
        <v>58</v>
      </c>
      <c r="E69" s="19" t="n">
        <v>28</v>
      </c>
      <c r="F69" s="19" t="n">
        <v>1</v>
      </c>
      <c r="G69" s="19" t="n">
        <v>1</v>
      </c>
      <c r="H69" s="19" t="s">
        <v>66</v>
      </c>
      <c r="I69" s="19" t="s">
        <v>167</v>
      </c>
      <c r="J69" s="21" t="s">
        <v>168</v>
      </c>
      <c r="K69" s="15" t="n">
        <v>3</v>
      </c>
      <c r="L69" s="15" t="n">
        <v>2</v>
      </c>
      <c r="M69" s="15" t="n">
        <v>2</v>
      </c>
      <c r="N69" s="15" t="n">
        <v>3</v>
      </c>
      <c r="O69" s="15" t="n">
        <v>4</v>
      </c>
      <c r="P69" s="15" t="n">
        <v>10</v>
      </c>
      <c r="Q69" s="15" t="n">
        <v>6</v>
      </c>
      <c r="R69" s="16" t="n">
        <f aca="false">ROUND(K69*0.55+L69*0.25+M69*0.2,1)</f>
        <v>2.6</v>
      </c>
      <c r="S69" s="16" t="n">
        <f aca="false">ROUND(N69*0.35+O69*0.25+P69*0.25+Q69*0.15,1)</f>
        <v>5.5</v>
      </c>
      <c r="T69" s="17" t="n">
        <f aca="false">ROUND(R69*'Como ler'!$B$5+S69*'Como ler'!$B$6,1)</f>
        <v>3.9</v>
      </c>
      <c r="U69" s="18" t="s">
        <v>62</v>
      </c>
      <c r="V69" s="18" t="s">
        <v>63</v>
      </c>
    </row>
    <row r="70" customFormat="false" ht="15" hidden="false" customHeight="false" outlineLevel="0" collapsed="false">
      <c r="A70" s="19" t="n">
        <v>66</v>
      </c>
      <c r="B70" s="20" t="s">
        <v>197</v>
      </c>
      <c r="C70" s="21" t="s">
        <v>69</v>
      </c>
      <c r="D70" s="21" t="s">
        <v>58</v>
      </c>
      <c r="E70" s="19" t="n">
        <v>18</v>
      </c>
      <c r="F70" s="19" t="n">
        <v>1</v>
      </c>
      <c r="G70" s="19" t="n">
        <v>1</v>
      </c>
      <c r="H70" s="19" t="s">
        <v>66</v>
      </c>
      <c r="I70" s="19" t="s">
        <v>140</v>
      </c>
      <c r="J70" s="21" t="s">
        <v>141</v>
      </c>
      <c r="K70" s="15" t="n">
        <v>3</v>
      </c>
      <c r="L70" s="15" t="n">
        <v>2</v>
      </c>
      <c r="M70" s="15" t="n">
        <v>2</v>
      </c>
      <c r="N70" s="15" t="n">
        <v>3</v>
      </c>
      <c r="O70" s="15" t="n">
        <v>4</v>
      </c>
      <c r="P70" s="15" t="n">
        <v>10</v>
      </c>
      <c r="Q70" s="15" t="n">
        <v>6</v>
      </c>
      <c r="R70" s="16" t="n">
        <f aca="false">ROUND(K70*0.55+L70*0.25+M70*0.2,1)</f>
        <v>2.6</v>
      </c>
      <c r="S70" s="16" t="n">
        <f aca="false">ROUND(N70*0.35+O70*0.25+P70*0.25+Q70*0.15,1)</f>
        <v>5.5</v>
      </c>
      <c r="T70" s="17" t="n">
        <f aca="false">ROUND(R70*'Como ler'!$B$5+S70*'Como ler'!$B$6,1)</f>
        <v>3.9</v>
      </c>
      <c r="U70" s="18" t="s">
        <v>62</v>
      </c>
      <c r="V70" s="18" t="s">
        <v>63</v>
      </c>
    </row>
    <row r="71" customFormat="false" ht="15" hidden="false" customHeight="false" outlineLevel="0" collapsed="false">
      <c r="A71" s="19" t="n">
        <v>67</v>
      </c>
      <c r="B71" s="20" t="s">
        <v>198</v>
      </c>
      <c r="C71" s="21" t="s">
        <v>69</v>
      </c>
      <c r="D71" s="21" t="s">
        <v>58</v>
      </c>
      <c r="E71" s="19" t="n">
        <v>28</v>
      </c>
      <c r="F71" s="19" t="n">
        <v>1</v>
      </c>
      <c r="G71" s="19" t="n">
        <v>1</v>
      </c>
      <c r="H71" s="19" t="s">
        <v>115</v>
      </c>
      <c r="I71" s="19" t="s">
        <v>140</v>
      </c>
      <c r="J71" s="21" t="s">
        <v>199</v>
      </c>
      <c r="K71" s="15" t="n">
        <v>3</v>
      </c>
      <c r="L71" s="15" t="n">
        <v>2</v>
      </c>
      <c r="M71" s="15" t="n">
        <v>2</v>
      </c>
      <c r="N71" s="15" t="n">
        <v>3</v>
      </c>
      <c r="O71" s="15" t="n">
        <v>4</v>
      </c>
      <c r="P71" s="15" t="n">
        <v>10</v>
      </c>
      <c r="Q71" s="15" t="n">
        <v>6</v>
      </c>
      <c r="R71" s="16" t="n">
        <f aca="false">ROUND(K71*0.55+L71*0.25+M71*0.2,1)</f>
        <v>2.6</v>
      </c>
      <c r="S71" s="16" t="n">
        <f aca="false">ROUND(N71*0.35+O71*0.25+P71*0.25+Q71*0.15,1)</f>
        <v>5.5</v>
      </c>
      <c r="T71" s="17" t="n">
        <f aca="false">ROUND(R71*'Como ler'!$B$5+S71*'Como ler'!$B$6,1)</f>
        <v>3.9</v>
      </c>
      <c r="U71" s="18" t="s">
        <v>62</v>
      </c>
      <c r="V71" s="18" t="s">
        <v>63</v>
      </c>
    </row>
    <row r="72" customFormat="false" ht="15" hidden="false" customHeight="false" outlineLevel="0" collapsed="false">
      <c r="A72" s="19" t="n">
        <v>68</v>
      </c>
      <c r="B72" s="20" t="s">
        <v>200</v>
      </c>
      <c r="C72" s="21" t="s">
        <v>92</v>
      </c>
      <c r="D72" s="21" t="s">
        <v>58</v>
      </c>
      <c r="E72" s="19" t="n">
        <v>20</v>
      </c>
      <c r="F72" s="19" t="n">
        <v>1</v>
      </c>
      <c r="G72" s="19" t="n">
        <v>1</v>
      </c>
      <c r="H72" s="19" t="s">
        <v>66</v>
      </c>
      <c r="I72" s="19" t="s">
        <v>167</v>
      </c>
      <c r="J72" s="21" t="s">
        <v>168</v>
      </c>
      <c r="K72" s="15" t="n">
        <v>3</v>
      </c>
      <c r="L72" s="15" t="n">
        <v>2</v>
      </c>
      <c r="M72" s="15" t="n">
        <v>2</v>
      </c>
      <c r="N72" s="15" t="n">
        <v>3</v>
      </c>
      <c r="O72" s="15" t="n">
        <v>4</v>
      </c>
      <c r="P72" s="15" t="n">
        <v>10</v>
      </c>
      <c r="Q72" s="15" t="n">
        <v>6</v>
      </c>
      <c r="R72" s="16" t="n">
        <f aca="false">ROUND(K72*0.55+L72*0.25+M72*0.2,1)</f>
        <v>2.6</v>
      </c>
      <c r="S72" s="16" t="n">
        <f aca="false">ROUND(N72*0.35+O72*0.25+P72*0.25+Q72*0.15,1)</f>
        <v>5.5</v>
      </c>
      <c r="T72" s="17" t="n">
        <f aca="false">ROUND(R72*'Como ler'!$B$5+S72*'Como ler'!$B$6,1)</f>
        <v>3.9</v>
      </c>
      <c r="U72" s="18" t="s">
        <v>62</v>
      </c>
      <c r="V72" s="18" t="s">
        <v>63</v>
      </c>
    </row>
    <row r="73" customFormat="false" ht="15" hidden="false" customHeight="false" outlineLevel="0" collapsed="false">
      <c r="A73" s="19" t="n">
        <v>69</v>
      </c>
      <c r="B73" s="20" t="s">
        <v>201</v>
      </c>
      <c r="C73" s="21" t="s">
        <v>69</v>
      </c>
      <c r="D73" s="21" t="s">
        <v>58</v>
      </c>
      <c r="E73" s="19" t="n">
        <v>7</v>
      </c>
      <c r="F73" s="19" t="n">
        <v>1</v>
      </c>
      <c r="G73" s="19" t="n">
        <v>1</v>
      </c>
      <c r="H73" s="19" t="s">
        <v>59</v>
      </c>
      <c r="I73" s="19" t="s">
        <v>140</v>
      </c>
      <c r="J73" s="21" t="s">
        <v>141</v>
      </c>
      <c r="K73" s="15" t="n">
        <v>1</v>
      </c>
      <c r="L73" s="15" t="n">
        <v>2</v>
      </c>
      <c r="M73" s="15" t="n">
        <v>2</v>
      </c>
      <c r="N73" s="15" t="n">
        <v>3</v>
      </c>
      <c r="O73" s="15" t="n">
        <v>4</v>
      </c>
      <c r="P73" s="15" t="n">
        <v>10</v>
      </c>
      <c r="Q73" s="15" t="n">
        <v>9</v>
      </c>
      <c r="R73" s="16" t="n">
        <f aca="false">ROUND(K73*0.55+L73*0.25+M73*0.2,1)</f>
        <v>1.5</v>
      </c>
      <c r="S73" s="16" t="n">
        <f aca="false">ROUND(N73*0.35+O73*0.25+P73*0.25+Q73*0.15,1)</f>
        <v>5.9</v>
      </c>
      <c r="T73" s="17" t="n">
        <f aca="false">ROUND(R73*'Como ler'!$B$5+S73*'Como ler'!$B$6,1)</f>
        <v>3.5</v>
      </c>
      <c r="U73" s="18" t="s">
        <v>62</v>
      </c>
      <c r="V73" s="18" t="s">
        <v>63</v>
      </c>
    </row>
  </sheetData>
  <autoFilter ref="A4:V73"/>
  <hyperlinks>
    <hyperlink ref="U5" r:id="rId1" display="ver anuncios"/>
    <hyperlink ref="V5" r:id="rId2" display="abrir"/>
    <hyperlink ref="U6" r:id="rId3" display="ver anuncios"/>
    <hyperlink ref="V6" r:id="rId4" display="abrir"/>
    <hyperlink ref="U7" r:id="rId5" display="ver anuncios"/>
    <hyperlink ref="V7" r:id="rId6" display="abrir"/>
    <hyperlink ref="U8" r:id="rId7" display="ver anuncios"/>
    <hyperlink ref="V8" r:id="rId8" display="abrir"/>
    <hyperlink ref="U9" r:id="rId9" display="ver anuncios"/>
    <hyperlink ref="V9" r:id="rId10" display="abrir"/>
    <hyperlink ref="U10" r:id="rId11" display="ver anuncios"/>
    <hyperlink ref="V10" r:id="rId12" display="abrir"/>
    <hyperlink ref="U11" r:id="rId13" display="ver anuncios"/>
    <hyperlink ref="V11" r:id="rId14" display="abrir"/>
    <hyperlink ref="U12" r:id="rId15" display="ver anuncios"/>
    <hyperlink ref="V12" r:id="rId16" display="abrir"/>
    <hyperlink ref="U13" r:id="rId17" display="ver anuncios"/>
    <hyperlink ref="V13" r:id="rId18" display="abrir"/>
    <hyperlink ref="U14" r:id="rId19" display="ver anuncios"/>
    <hyperlink ref="V14" r:id="rId20" display="abrir"/>
    <hyperlink ref="U15" r:id="rId21" display="ver anuncios"/>
    <hyperlink ref="V15" r:id="rId22" display="abrir"/>
    <hyperlink ref="U16" r:id="rId23" display="ver anuncios"/>
    <hyperlink ref="V16" r:id="rId24" display="abrir"/>
    <hyperlink ref="U17" r:id="rId25" display="ver anuncios"/>
    <hyperlink ref="V17" r:id="rId26" display="abrir"/>
    <hyperlink ref="U18" r:id="rId27" display="ver anuncios"/>
    <hyperlink ref="V18" r:id="rId28" display="abrir"/>
    <hyperlink ref="U19" r:id="rId29" display="ver anuncios"/>
    <hyperlink ref="V19" r:id="rId30" display="abrir"/>
    <hyperlink ref="U20" r:id="rId31" display="ver anuncios"/>
    <hyperlink ref="V20" r:id="rId32" display="abrir"/>
    <hyperlink ref="U21" r:id="rId33" display="ver anuncios"/>
    <hyperlink ref="V21" r:id="rId34" display="abrir"/>
    <hyperlink ref="U22" r:id="rId35" display="ver anuncios"/>
    <hyperlink ref="V22" r:id="rId36" display="abrir"/>
    <hyperlink ref="U23" r:id="rId37" display="ver anuncios"/>
    <hyperlink ref="V23" r:id="rId38" display="abrir"/>
    <hyperlink ref="U24" r:id="rId39" display="ver anuncios"/>
    <hyperlink ref="V24" r:id="rId40" display="abrir"/>
    <hyperlink ref="U25" r:id="rId41" display="ver anuncios"/>
    <hyperlink ref="V25" r:id="rId42" display="abrir"/>
    <hyperlink ref="U26" r:id="rId43" display="ver anuncios"/>
    <hyperlink ref="V26" r:id="rId44" display="abrir"/>
    <hyperlink ref="U27" r:id="rId45" display="ver anuncios"/>
    <hyperlink ref="V27" r:id="rId46" display="abrir"/>
    <hyperlink ref="U28" r:id="rId47" display="ver anuncios"/>
    <hyperlink ref="V28" r:id="rId48" display="abrir"/>
    <hyperlink ref="U29" r:id="rId49" display="ver anuncios"/>
    <hyperlink ref="V29" r:id="rId50" display="abrir"/>
    <hyperlink ref="U30" r:id="rId51" display="ver anuncios"/>
    <hyperlink ref="V30" r:id="rId52" display="abrir"/>
    <hyperlink ref="U31" r:id="rId53" display="ver anuncios"/>
    <hyperlink ref="V31" r:id="rId54" display="abrir"/>
    <hyperlink ref="U32" r:id="rId55" display="ver anuncios"/>
    <hyperlink ref="V32" r:id="rId56" display="abrir"/>
    <hyperlink ref="U33" r:id="rId57" display="ver anuncios"/>
    <hyperlink ref="V33" r:id="rId58" display="abrir"/>
    <hyperlink ref="U34" r:id="rId59" display="ver anuncios"/>
    <hyperlink ref="V34" r:id="rId60" display="abrir"/>
    <hyperlink ref="U35" r:id="rId61" display="ver anuncios"/>
    <hyperlink ref="V35" r:id="rId62" display="abrir"/>
    <hyperlink ref="U36" r:id="rId63" display="ver anuncios"/>
    <hyperlink ref="V36" r:id="rId64" display="abrir"/>
    <hyperlink ref="U37" r:id="rId65" display="ver anuncios"/>
    <hyperlink ref="V37" r:id="rId66" display="abrir"/>
    <hyperlink ref="U38" r:id="rId67" display="ver anuncios"/>
    <hyperlink ref="V38" r:id="rId68" display="abrir"/>
    <hyperlink ref="U39" r:id="rId69" display="ver anuncios"/>
    <hyperlink ref="V39" r:id="rId70" display="abrir"/>
    <hyperlink ref="U40" r:id="rId71" display="ver anuncios"/>
    <hyperlink ref="V40" r:id="rId72" display="abrir"/>
    <hyperlink ref="U41" r:id="rId73" display="ver anuncios"/>
    <hyperlink ref="V41" r:id="rId74" display="abrir"/>
    <hyperlink ref="U42" r:id="rId75" display="ver anuncios"/>
    <hyperlink ref="V42" r:id="rId76" display="abrir"/>
    <hyperlink ref="U43" r:id="rId77" display="ver anuncios"/>
    <hyperlink ref="V43" r:id="rId78" display="abrir"/>
    <hyperlink ref="U44" r:id="rId79" display="ver anuncios"/>
    <hyperlink ref="V44" r:id="rId80" display="abrir"/>
    <hyperlink ref="U45" r:id="rId81" display="ver anuncios"/>
    <hyperlink ref="V45" r:id="rId82" display="abrir"/>
    <hyperlink ref="U46" r:id="rId83" display="ver anuncios"/>
    <hyperlink ref="V46" r:id="rId84" display="abrir"/>
    <hyperlink ref="U47" r:id="rId85" display="ver anuncios"/>
    <hyperlink ref="V47" r:id="rId86" display="abrir"/>
    <hyperlink ref="U48" r:id="rId87" display="ver anuncios"/>
    <hyperlink ref="V48" r:id="rId88" display="abrir"/>
    <hyperlink ref="U49" r:id="rId89" display="ver anuncios"/>
    <hyperlink ref="V49" r:id="rId90" display="abrir"/>
    <hyperlink ref="U50" r:id="rId91" display="ver anuncios"/>
    <hyperlink ref="V50" r:id="rId92" display="abrir"/>
    <hyperlink ref="U51" r:id="rId93" display="ver anuncios"/>
    <hyperlink ref="V51" r:id="rId94" display="abrir"/>
    <hyperlink ref="U52" r:id="rId95" display="ver anuncios"/>
    <hyperlink ref="V52" r:id="rId96" display="abrir"/>
    <hyperlink ref="U53" r:id="rId97" display="ver anuncios"/>
    <hyperlink ref="V53" r:id="rId98" display="abrir"/>
    <hyperlink ref="U54" r:id="rId99" display="ver anuncios"/>
    <hyperlink ref="V54" r:id="rId100" display="abrir"/>
    <hyperlink ref="U55" r:id="rId101" display="ver anuncios"/>
    <hyperlink ref="V55" r:id="rId102" display="abrir"/>
    <hyperlink ref="U56" r:id="rId103" display="ver anuncios"/>
    <hyperlink ref="V56" r:id="rId104" display="abrir"/>
    <hyperlink ref="U57" r:id="rId105" display="ver anuncios"/>
    <hyperlink ref="V57" r:id="rId106" display="abrir"/>
    <hyperlink ref="U58" r:id="rId107" display="ver anuncios"/>
    <hyperlink ref="V58" r:id="rId108" display="abrir"/>
    <hyperlink ref="U59" r:id="rId109" display="ver anuncios"/>
    <hyperlink ref="V59" r:id="rId110" display="abrir"/>
    <hyperlink ref="U60" r:id="rId111" display="ver anuncios"/>
    <hyperlink ref="V60" r:id="rId112" display="abrir"/>
    <hyperlink ref="U61" r:id="rId113" display="ver anuncios"/>
    <hyperlink ref="V61" r:id="rId114" display="abrir"/>
    <hyperlink ref="U62" r:id="rId115" display="ver anuncios"/>
    <hyperlink ref="V62" r:id="rId116" display="abrir"/>
    <hyperlink ref="U63" r:id="rId117" display="ver anuncios"/>
    <hyperlink ref="V63" r:id="rId118" display="abrir"/>
    <hyperlink ref="U64" r:id="rId119" display="ver anuncios"/>
    <hyperlink ref="V64" r:id="rId120" display="abrir"/>
    <hyperlink ref="U65" r:id="rId121" display="ver anuncios"/>
    <hyperlink ref="V65" r:id="rId122" display="abrir"/>
    <hyperlink ref="U66" r:id="rId123" display="ver anuncios"/>
    <hyperlink ref="V66" r:id="rId124" display="abrir"/>
    <hyperlink ref="U67" r:id="rId125" display="ver anuncios"/>
    <hyperlink ref="V67" r:id="rId126" display="abrir"/>
    <hyperlink ref="U68" r:id="rId127" display="ver anuncios"/>
    <hyperlink ref="V68" r:id="rId128" display="abrir"/>
    <hyperlink ref="U69" r:id="rId129" display="ver anuncios"/>
    <hyperlink ref="V69" r:id="rId130" display="abrir"/>
    <hyperlink ref="U70" r:id="rId131" display="ver anuncios"/>
    <hyperlink ref="V70" r:id="rId132" display="abrir"/>
    <hyperlink ref="U71" r:id="rId133" display="ver anuncios"/>
    <hyperlink ref="V71" r:id="rId134" display="abrir"/>
    <hyperlink ref="U72" r:id="rId135" display="ver anuncios"/>
    <hyperlink ref="V72" r:id="rId136" display="abrir"/>
    <hyperlink ref="U73" r:id="rId137" display="ver anuncios"/>
    <hyperlink ref="V73" r:id="rId138" display="abri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3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11"/>
    <col collapsed="false" customWidth="true" hidden="false" outlineLevel="0" max="7" min="6" style="0" width="10"/>
    <col collapsed="false" customWidth="true" hidden="false" outlineLevel="0" max="8" min="8" style="0" width="9"/>
    <col collapsed="false" customWidth="true" hidden="false" outlineLevel="0" max="9" min="9" style="0" width="17"/>
    <col collapsed="false" customWidth="true" hidden="false" outlineLevel="0" max="10" min="10" style="0" width="34"/>
    <col collapsed="false" customWidth="true" hidden="false" outlineLevel="0" max="12" min="11" style="0" width="7"/>
    <col collapsed="false" customWidth="true" hidden="false" outlineLevel="0" max="17" min="13" style="0" width="8"/>
    <col collapsed="false" customWidth="true" hidden="false" outlineLevel="0" max="19" min="18" style="0" width="10"/>
    <col collapsed="false" customWidth="true" hidden="false" outlineLevel="0" max="20" min="20" style="0" width="11"/>
    <col collapsed="false" customWidth="true" hidden="false" outlineLevel="0" max="21" min="21" style="0" width="12"/>
    <col collapsed="false" customWidth="true" hidden="false" outlineLevel="0" max="22" min="22" style="0" width="10"/>
  </cols>
  <sheetData>
    <row r="1" customFormat="false" ht="16.15" hidden="false" customHeight="false" outlineLevel="0" collapsed="false">
      <c r="A1" s="9" t="s">
        <v>202</v>
      </c>
    </row>
    <row r="2" customFormat="false" ht="15" hidden="false" customHeight="false" outlineLevel="0" collapsed="false">
      <c r="A2" s="10" t="s">
        <v>203</v>
      </c>
    </row>
    <row r="4" customFormat="false" ht="33.75" hidden="false" customHeight="true" outlineLevel="0" collapsed="false">
      <c r="A4" s="11" t="s">
        <v>34</v>
      </c>
      <c r="B4" s="11" t="s">
        <v>35</v>
      </c>
      <c r="C4" s="11" t="s">
        <v>36</v>
      </c>
      <c r="D4" s="11" t="s">
        <v>37</v>
      </c>
      <c r="E4" s="11" t="s">
        <v>38</v>
      </c>
      <c r="F4" s="11" t="s">
        <v>39</v>
      </c>
      <c r="G4" s="11" t="s">
        <v>40</v>
      </c>
      <c r="H4" s="11" t="s">
        <v>41</v>
      </c>
      <c r="I4" s="11" t="s">
        <v>42</v>
      </c>
      <c r="J4" s="11" t="s">
        <v>43</v>
      </c>
      <c r="K4" s="11" t="s">
        <v>44</v>
      </c>
      <c r="L4" s="11" t="s">
        <v>45</v>
      </c>
      <c r="M4" s="11" t="s">
        <v>46</v>
      </c>
      <c r="N4" s="11" t="s">
        <v>47</v>
      </c>
      <c r="O4" s="11" t="s">
        <v>48</v>
      </c>
      <c r="P4" s="11" t="s">
        <v>49</v>
      </c>
      <c r="Q4" s="11" t="s">
        <v>50</v>
      </c>
      <c r="R4" s="11" t="s">
        <v>51</v>
      </c>
      <c r="S4" s="11" t="s">
        <v>52</v>
      </c>
      <c r="T4" s="11" t="s">
        <v>53</v>
      </c>
      <c r="U4" s="11" t="s">
        <v>54</v>
      </c>
      <c r="V4" s="11" t="s">
        <v>55</v>
      </c>
    </row>
    <row r="5" customFormat="false" ht="15" hidden="false" customHeight="false" outlineLevel="0" collapsed="false">
      <c r="A5" s="19" t="n">
        <v>1</v>
      </c>
      <c r="B5" s="20" t="s">
        <v>204</v>
      </c>
      <c r="C5" s="21" t="s">
        <v>92</v>
      </c>
      <c r="D5" s="21" t="s">
        <v>205</v>
      </c>
      <c r="E5" s="19" t="n">
        <v>1148</v>
      </c>
      <c r="F5" s="19" t="n">
        <v>1</v>
      </c>
      <c r="G5" s="19" t="n">
        <v>1</v>
      </c>
      <c r="H5" s="19" t="s">
        <v>59</v>
      </c>
      <c r="I5" s="19" t="s">
        <v>140</v>
      </c>
      <c r="J5" s="21" t="s">
        <v>206</v>
      </c>
      <c r="K5" s="15" t="n">
        <v>10</v>
      </c>
      <c r="L5" s="15" t="n">
        <v>2</v>
      </c>
      <c r="M5" s="15" t="n">
        <v>2</v>
      </c>
      <c r="N5" s="15" t="n">
        <v>3</v>
      </c>
      <c r="O5" s="15" t="n">
        <v>4</v>
      </c>
      <c r="P5" s="15" t="n">
        <v>1</v>
      </c>
      <c r="Q5" s="15" t="n">
        <v>9</v>
      </c>
      <c r="R5" s="16" t="n">
        <f aca="false">ROUND(K5*0.55+L5*0.25+M5*0.2,1)</f>
        <v>6.4</v>
      </c>
      <c r="S5" s="16" t="n">
        <f aca="false">ROUND(N5*0.35+O5*0.25+P5*0.25+Q5*0.15,1)</f>
        <v>3.7</v>
      </c>
      <c r="T5" s="17" t="n">
        <f aca="false">ROUND(R5*'Como ler'!$B$5+S5*'Como ler'!$B$6,1)</f>
        <v>5.2</v>
      </c>
      <c r="U5" s="18" t="s">
        <v>62</v>
      </c>
      <c r="V5" s="18" t="s">
        <v>63</v>
      </c>
    </row>
    <row r="6" customFormat="false" ht="15" hidden="false" customHeight="false" outlineLevel="0" collapsed="false">
      <c r="A6" s="19" t="n">
        <v>2</v>
      </c>
      <c r="B6" s="20" t="s">
        <v>207</v>
      </c>
      <c r="C6" s="21" t="s">
        <v>92</v>
      </c>
      <c r="D6" s="21" t="s">
        <v>208</v>
      </c>
      <c r="E6" s="19" t="n">
        <v>1028</v>
      </c>
      <c r="F6" s="19" t="n">
        <v>1</v>
      </c>
      <c r="G6" s="19" t="n">
        <v>1</v>
      </c>
      <c r="H6" s="19" t="s">
        <v>66</v>
      </c>
      <c r="I6" s="19" t="s">
        <v>140</v>
      </c>
      <c r="J6" s="21" t="s">
        <v>141</v>
      </c>
      <c r="K6" s="15" t="n">
        <v>10</v>
      </c>
      <c r="L6" s="15" t="n">
        <v>2</v>
      </c>
      <c r="M6" s="15" t="n">
        <v>2</v>
      </c>
      <c r="N6" s="15" t="n">
        <v>3</v>
      </c>
      <c r="O6" s="15" t="n">
        <v>4</v>
      </c>
      <c r="P6" s="15" t="n">
        <v>1</v>
      </c>
      <c r="Q6" s="15" t="n">
        <v>6</v>
      </c>
      <c r="R6" s="16" t="n">
        <f aca="false">ROUND(K6*0.55+L6*0.25+M6*0.2,1)</f>
        <v>6.4</v>
      </c>
      <c r="S6" s="16" t="n">
        <f aca="false">ROUND(N6*0.35+O6*0.25+P6*0.25+Q6*0.15,1)</f>
        <v>3.2</v>
      </c>
      <c r="T6" s="17" t="n">
        <f aca="false">ROUND(R6*'Como ler'!$B$5+S6*'Como ler'!$B$6,1)</f>
        <v>5</v>
      </c>
      <c r="U6" s="18" t="s">
        <v>62</v>
      </c>
      <c r="V6" s="18" t="s">
        <v>63</v>
      </c>
    </row>
    <row r="7" customFormat="false" ht="15" hidden="false" customHeight="false" outlineLevel="0" collapsed="false">
      <c r="A7" s="19" t="n">
        <v>3</v>
      </c>
      <c r="B7" s="20" t="s">
        <v>209</v>
      </c>
      <c r="C7" s="21" t="s">
        <v>92</v>
      </c>
      <c r="D7" s="21" t="s">
        <v>205</v>
      </c>
      <c r="E7" s="19" t="n">
        <v>896</v>
      </c>
      <c r="F7" s="19" t="n">
        <v>2</v>
      </c>
      <c r="G7" s="19" t="n">
        <v>2</v>
      </c>
      <c r="H7" s="19" t="s">
        <v>59</v>
      </c>
      <c r="I7" s="19" t="s">
        <v>210</v>
      </c>
      <c r="J7" s="21" t="s">
        <v>211</v>
      </c>
      <c r="K7" s="15" t="n">
        <v>10</v>
      </c>
      <c r="L7" s="15" t="n">
        <v>4</v>
      </c>
      <c r="M7" s="15" t="n">
        <v>4</v>
      </c>
      <c r="N7" s="15" t="n">
        <v>3</v>
      </c>
      <c r="O7" s="15" t="n">
        <v>4</v>
      </c>
      <c r="P7" s="15" t="n">
        <v>1</v>
      </c>
      <c r="Q7" s="15" t="n">
        <v>9</v>
      </c>
      <c r="R7" s="16" t="n">
        <f aca="false">ROUND(K7*0.55+L7*0.25+M7*0.2,1)</f>
        <v>7.3</v>
      </c>
      <c r="S7" s="16" t="n">
        <f aca="false">ROUND(N7*0.35+O7*0.25+P7*0.25+Q7*0.15,1)</f>
        <v>3.7</v>
      </c>
      <c r="T7" s="17" t="n">
        <f aca="false">ROUND(R7*'Como ler'!$B$5+S7*'Como ler'!$B$6,1)</f>
        <v>5.7</v>
      </c>
      <c r="U7" s="18" t="s">
        <v>62</v>
      </c>
      <c r="V7" s="22" t="s">
        <v>211</v>
      </c>
    </row>
    <row r="8" customFormat="false" ht="15" hidden="false" customHeight="false" outlineLevel="0" collapsed="false">
      <c r="A8" s="19" t="n">
        <v>4</v>
      </c>
      <c r="B8" s="20" t="s">
        <v>212</v>
      </c>
      <c r="C8" s="21" t="s">
        <v>92</v>
      </c>
      <c r="D8" s="21" t="s">
        <v>205</v>
      </c>
      <c r="E8" s="19" t="n">
        <v>878</v>
      </c>
      <c r="F8" s="19" t="n">
        <v>1</v>
      </c>
      <c r="G8" s="19" t="n">
        <v>1</v>
      </c>
      <c r="H8" s="19" t="s">
        <v>66</v>
      </c>
      <c r="I8" s="19" t="s">
        <v>167</v>
      </c>
      <c r="J8" s="21" t="s">
        <v>168</v>
      </c>
      <c r="K8" s="15" t="n">
        <v>10</v>
      </c>
      <c r="L8" s="15" t="n">
        <v>2</v>
      </c>
      <c r="M8" s="15" t="n">
        <v>2</v>
      </c>
      <c r="N8" s="15" t="n">
        <v>3</v>
      </c>
      <c r="O8" s="15" t="n">
        <v>4</v>
      </c>
      <c r="P8" s="15" t="n">
        <v>1</v>
      </c>
      <c r="Q8" s="15" t="n">
        <v>6</v>
      </c>
      <c r="R8" s="16" t="n">
        <f aca="false">ROUND(K8*0.55+L8*0.25+M8*0.2,1)</f>
        <v>6.4</v>
      </c>
      <c r="S8" s="16" t="n">
        <f aca="false">ROUND(N8*0.35+O8*0.25+P8*0.25+Q8*0.15,1)</f>
        <v>3.2</v>
      </c>
      <c r="T8" s="17" t="n">
        <f aca="false">ROUND(R8*'Como ler'!$B$5+S8*'Como ler'!$B$6,1)</f>
        <v>5</v>
      </c>
      <c r="U8" s="18" t="s">
        <v>62</v>
      </c>
      <c r="V8" s="18" t="s">
        <v>63</v>
      </c>
    </row>
    <row r="9" customFormat="false" ht="15" hidden="false" customHeight="false" outlineLevel="0" collapsed="false">
      <c r="A9" s="19" t="n">
        <v>5</v>
      </c>
      <c r="B9" s="20" t="s">
        <v>213</v>
      </c>
      <c r="C9" s="21" t="s">
        <v>92</v>
      </c>
      <c r="D9" s="21" t="s">
        <v>205</v>
      </c>
      <c r="E9" s="19" t="n">
        <v>854</v>
      </c>
      <c r="F9" s="19" t="n">
        <v>1</v>
      </c>
      <c r="G9" s="19" t="n">
        <v>1</v>
      </c>
      <c r="H9" s="19" t="s">
        <v>66</v>
      </c>
      <c r="I9" s="19" t="s">
        <v>167</v>
      </c>
      <c r="J9" s="21" t="s">
        <v>168</v>
      </c>
      <c r="K9" s="15" t="n">
        <v>10</v>
      </c>
      <c r="L9" s="15" t="n">
        <v>2</v>
      </c>
      <c r="M9" s="15" t="n">
        <v>2</v>
      </c>
      <c r="N9" s="15" t="n">
        <v>3</v>
      </c>
      <c r="O9" s="15" t="n">
        <v>4</v>
      </c>
      <c r="P9" s="15" t="n">
        <v>1</v>
      </c>
      <c r="Q9" s="15" t="n">
        <v>6</v>
      </c>
      <c r="R9" s="16" t="n">
        <f aca="false">ROUND(K9*0.55+L9*0.25+M9*0.2,1)</f>
        <v>6.4</v>
      </c>
      <c r="S9" s="16" t="n">
        <f aca="false">ROUND(N9*0.35+O9*0.25+P9*0.25+Q9*0.15,1)</f>
        <v>3.2</v>
      </c>
      <c r="T9" s="17" t="n">
        <f aca="false">ROUND(R9*'Como ler'!$B$5+S9*'Como ler'!$B$6,1)</f>
        <v>5</v>
      </c>
      <c r="U9" s="18" t="s">
        <v>62</v>
      </c>
      <c r="V9" s="18" t="s">
        <v>63</v>
      </c>
    </row>
    <row r="10" customFormat="false" ht="15" hidden="false" customHeight="false" outlineLevel="0" collapsed="false">
      <c r="A10" s="19" t="n">
        <v>6</v>
      </c>
      <c r="B10" s="20" t="s">
        <v>214</v>
      </c>
      <c r="C10" s="21" t="s">
        <v>92</v>
      </c>
      <c r="D10" s="21" t="s">
        <v>205</v>
      </c>
      <c r="E10" s="19" t="n">
        <v>848</v>
      </c>
      <c r="F10" s="19" t="n">
        <v>1</v>
      </c>
      <c r="G10" s="19" t="n">
        <v>1</v>
      </c>
      <c r="H10" s="19" t="s">
        <v>66</v>
      </c>
      <c r="I10" s="19" t="s">
        <v>140</v>
      </c>
      <c r="J10" s="21" t="s">
        <v>141</v>
      </c>
      <c r="K10" s="15" t="n">
        <v>10</v>
      </c>
      <c r="L10" s="15" t="n">
        <v>2</v>
      </c>
      <c r="M10" s="15" t="n">
        <v>2</v>
      </c>
      <c r="N10" s="15" t="n">
        <v>3</v>
      </c>
      <c r="O10" s="15" t="n">
        <v>4</v>
      </c>
      <c r="P10" s="15" t="n">
        <v>1</v>
      </c>
      <c r="Q10" s="15" t="n">
        <v>6</v>
      </c>
      <c r="R10" s="16" t="n">
        <f aca="false">ROUND(K10*0.55+L10*0.25+M10*0.2,1)</f>
        <v>6.4</v>
      </c>
      <c r="S10" s="16" t="n">
        <f aca="false">ROUND(N10*0.35+O10*0.25+P10*0.25+Q10*0.15,1)</f>
        <v>3.2</v>
      </c>
      <c r="T10" s="17" t="n">
        <f aca="false">ROUND(R10*'Como ler'!$B$5+S10*'Como ler'!$B$6,1)</f>
        <v>5</v>
      </c>
      <c r="U10" s="18" t="s">
        <v>62</v>
      </c>
      <c r="V10" s="18" t="s">
        <v>63</v>
      </c>
    </row>
    <row r="11" customFormat="false" ht="15" hidden="false" customHeight="false" outlineLevel="0" collapsed="false">
      <c r="A11" s="19" t="n">
        <v>7</v>
      </c>
      <c r="B11" s="20" t="s">
        <v>215</v>
      </c>
      <c r="C11" s="21" t="s">
        <v>92</v>
      </c>
      <c r="D11" s="21" t="s">
        <v>205</v>
      </c>
      <c r="E11" s="19" t="n">
        <v>837</v>
      </c>
      <c r="F11" s="19" t="n">
        <v>2</v>
      </c>
      <c r="G11" s="19" t="n">
        <v>2</v>
      </c>
      <c r="H11" s="19" t="s">
        <v>66</v>
      </c>
      <c r="I11" s="19" t="s">
        <v>140</v>
      </c>
      <c r="J11" s="21" t="s">
        <v>141</v>
      </c>
      <c r="K11" s="15" t="n">
        <v>10</v>
      </c>
      <c r="L11" s="15" t="n">
        <v>4</v>
      </c>
      <c r="M11" s="15" t="n">
        <v>4</v>
      </c>
      <c r="N11" s="15" t="n">
        <v>3</v>
      </c>
      <c r="O11" s="15" t="n">
        <v>4</v>
      </c>
      <c r="P11" s="15" t="n">
        <v>1</v>
      </c>
      <c r="Q11" s="15" t="n">
        <v>6</v>
      </c>
      <c r="R11" s="16" t="n">
        <f aca="false">ROUND(K11*0.55+L11*0.25+M11*0.2,1)</f>
        <v>7.3</v>
      </c>
      <c r="S11" s="16" t="n">
        <f aca="false">ROUND(N11*0.35+O11*0.25+P11*0.25+Q11*0.15,1)</f>
        <v>3.2</v>
      </c>
      <c r="T11" s="17" t="n">
        <f aca="false">ROUND(R11*'Como ler'!$B$5+S11*'Como ler'!$B$6,1)</f>
        <v>5.5</v>
      </c>
      <c r="U11" s="18" t="s">
        <v>62</v>
      </c>
      <c r="V11" s="18" t="s">
        <v>63</v>
      </c>
    </row>
    <row r="12" customFormat="false" ht="15" hidden="false" customHeight="false" outlineLevel="0" collapsed="false">
      <c r="A12" s="19" t="n">
        <v>8</v>
      </c>
      <c r="B12" s="20" t="s">
        <v>216</v>
      </c>
      <c r="C12" s="21" t="s">
        <v>92</v>
      </c>
      <c r="D12" s="21" t="s">
        <v>205</v>
      </c>
      <c r="E12" s="19" t="n">
        <v>700</v>
      </c>
      <c r="F12" s="19" t="n">
        <v>1</v>
      </c>
      <c r="G12" s="19" t="n">
        <v>1</v>
      </c>
      <c r="H12" s="19" t="s">
        <v>59</v>
      </c>
      <c r="I12" s="19" t="s">
        <v>167</v>
      </c>
      <c r="J12" s="21" t="s">
        <v>168</v>
      </c>
      <c r="K12" s="15" t="n">
        <v>10</v>
      </c>
      <c r="L12" s="15" t="n">
        <v>2</v>
      </c>
      <c r="M12" s="15" t="n">
        <v>2</v>
      </c>
      <c r="N12" s="15" t="n">
        <v>3</v>
      </c>
      <c r="O12" s="15" t="n">
        <v>4</v>
      </c>
      <c r="P12" s="15" t="n">
        <v>1</v>
      </c>
      <c r="Q12" s="15" t="n">
        <v>9</v>
      </c>
      <c r="R12" s="16" t="n">
        <f aca="false">ROUND(K12*0.55+L12*0.25+M12*0.2,1)</f>
        <v>6.4</v>
      </c>
      <c r="S12" s="16" t="n">
        <f aca="false">ROUND(N12*0.35+O12*0.25+P12*0.25+Q12*0.15,1)</f>
        <v>3.7</v>
      </c>
      <c r="T12" s="17" t="n">
        <f aca="false">ROUND(R12*'Como ler'!$B$5+S12*'Como ler'!$B$6,1)</f>
        <v>5.2</v>
      </c>
      <c r="U12" s="18" t="s">
        <v>62</v>
      </c>
      <c r="V12" s="18" t="s">
        <v>63</v>
      </c>
    </row>
    <row r="13" customFormat="false" ht="15" hidden="false" customHeight="false" outlineLevel="0" collapsed="false">
      <c r="A13" s="19" t="n">
        <v>9</v>
      </c>
      <c r="B13" s="20" t="s">
        <v>217</v>
      </c>
      <c r="C13" s="21" t="s">
        <v>92</v>
      </c>
      <c r="D13" s="21" t="s">
        <v>205</v>
      </c>
      <c r="E13" s="19" t="n">
        <v>667</v>
      </c>
      <c r="F13" s="19" t="n">
        <v>1</v>
      </c>
      <c r="G13" s="19" t="n">
        <v>1</v>
      </c>
      <c r="H13" s="19" t="s">
        <v>66</v>
      </c>
      <c r="I13" s="19" t="s">
        <v>167</v>
      </c>
      <c r="J13" s="21" t="s">
        <v>168</v>
      </c>
      <c r="K13" s="15" t="n">
        <v>10</v>
      </c>
      <c r="L13" s="15" t="n">
        <v>2</v>
      </c>
      <c r="M13" s="15" t="n">
        <v>2</v>
      </c>
      <c r="N13" s="15" t="n">
        <v>3</v>
      </c>
      <c r="O13" s="15" t="n">
        <v>4</v>
      </c>
      <c r="P13" s="15" t="n">
        <v>1</v>
      </c>
      <c r="Q13" s="15" t="n">
        <v>6</v>
      </c>
      <c r="R13" s="16" t="n">
        <f aca="false">ROUND(K13*0.55+L13*0.25+M13*0.2,1)</f>
        <v>6.4</v>
      </c>
      <c r="S13" s="16" t="n">
        <f aca="false">ROUND(N13*0.35+O13*0.25+P13*0.25+Q13*0.15,1)</f>
        <v>3.2</v>
      </c>
      <c r="T13" s="17" t="n">
        <f aca="false">ROUND(R13*'Como ler'!$B$5+S13*'Como ler'!$B$6,1)</f>
        <v>5</v>
      </c>
      <c r="U13" s="18" t="s">
        <v>62</v>
      </c>
      <c r="V13" s="18" t="s">
        <v>63</v>
      </c>
    </row>
    <row r="14" customFormat="false" ht="15" hidden="false" customHeight="false" outlineLevel="0" collapsed="false">
      <c r="A14" s="19" t="n">
        <v>10</v>
      </c>
      <c r="B14" s="20" t="s">
        <v>218</v>
      </c>
      <c r="C14" s="21" t="s">
        <v>92</v>
      </c>
      <c r="D14" s="21" t="s">
        <v>205</v>
      </c>
      <c r="E14" s="19" t="n">
        <v>647</v>
      </c>
      <c r="F14" s="19" t="n">
        <v>2</v>
      </c>
      <c r="G14" s="19" t="n">
        <v>2</v>
      </c>
      <c r="H14" s="19" t="s">
        <v>66</v>
      </c>
      <c r="I14" s="19" t="s">
        <v>167</v>
      </c>
      <c r="J14" s="21" t="s">
        <v>168</v>
      </c>
      <c r="K14" s="15" t="n">
        <v>10</v>
      </c>
      <c r="L14" s="15" t="n">
        <v>4</v>
      </c>
      <c r="M14" s="15" t="n">
        <v>4</v>
      </c>
      <c r="N14" s="15" t="n">
        <v>3</v>
      </c>
      <c r="O14" s="15" t="n">
        <v>4</v>
      </c>
      <c r="P14" s="15" t="n">
        <v>1</v>
      </c>
      <c r="Q14" s="15" t="n">
        <v>6</v>
      </c>
      <c r="R14" s="16" t="n">
        <f aca="false">ROUND(K14*0.55+L14*0.25+M14*0.2,1)</f>
        <v>7.3</v>
      </c>
      <c r="S14" s="16" t="n">
        <f aca="false">ROUND(N14*0.35+O14*0.25+P14*0.25+Q14*0.15,1)</f>
        <v>3.2</v>
      </c>
      <c r="T14" s="17" t="n">
        <f aca="false">ROUND(R14*'Como ler'!$B$5+S14*'Como ler'!$B$6,1)</f>
        <v>5.5</v>
      </c>
      <c r="U14" s="18" t="s">
        <v>62</v>
      </c>
      <c r="V14" s="18" t="s">
        <v>63</v>
      </c>
    </row>
    <row r="15" customFormat="false" ht="15" hidden="false" customHeight="false" outlineLevel="0" collapsed="false">
      <c r="A15" s="19" t="n">
        <v>11</v>
      </c>
      <c r="B15" s="20" t="s">
        <v>219</v>
      </c>
      <c r="C15" s="21" t="s">
        <v>92</v>
      </c>
      <c r="D15" s="21" t="s">
        <v>205</v>
      </c>
      <c r="E15" s="19" t="n">
        <v>586</v>
      </c>
      <c r="F15" s="19" t="n">
        <v>2</v>
      </c>
      <c r="G15" s="19" t="n">
        <v>2</v>
      </c>
      <c r="H15" s="19" t="s">
        <v>59</v>
      </c>
      <c r="I15" s="19" t="s">
        <v>167</v>
      </c>
      <c r="J15" s="21" t="s">
        <v>220</v>
      </c>
      <c r="K15" s="15" t="n">
        <v>10</v>
      </c>
      <c r="L15" s="15" t="n">
        <v>4</v>
      </c>
      <c r="M15" s="15" t="n">
        <v>4</v>
      </c>
      <c r="N15" s="15" t="n">
        <v>3</v>
      </c>
      <c r="O15" s="15" t="n">
        <v>4</v>
      </c>
      <c r="P15" s="15" t="n">
        <v>1</v>
      </c>
      <c r="Q15" s="15" t="n">
        <v>9</v>
      </c>
      <c r="R15" s="16" t="n">
        <f aca="false">ROUND(K15*0.55+L15*0.25+M15*0.2,1)</f>
        <v>7.3</v>
      </c>
      <c r="S15" s="16" t="n">
        <f aca="false">ROUND(N15*0.35+O15*0.25+P15*0.25+Q15*0.15,1)</f>
        <v>3.7</v>
      </c>
      <c r="T15" s="17" t="n">
        <f aca="false">ROUND(R15*'Como ler'!$B$5+S15*'Como ler'!$B$6,1)</f>
        <v>5.7</v>
      </c>
      <c r="U15" s="18" t="s">
        <v>62</v>
      </c>
      <c r="V15" s="18" t="s">
        <v>63</v>
      </c>
    </row>
    <row r="16" customFormat="false" ht="15" hidden="false" customHeight="false" outlineLevel="0" collapsed="false">
      <c r="A16" s="19" t="n">
        <v>12</v>
      </c>
      <c r="B16" s="20" t="s">
        <v>139</v>
      </c>
      <c r="C16" s="21" t="s">
        <v>65</v>
      </c>
      <c r="D16" s="21" t="s">
        <v>58</v>
      </c>
      <c r="E16" s="19" t="n">
        <v>564</v>
      </c>
      <c r="F16" s="19" t="n">
        <v>1</v>
      </c>
      <c r="G16" s="19" t="n">
        <v>1</v>
      </c>
      <c r="H16" s="19" t="s">
        <v>59</v>
      </c>
      <c r="I16" s="19" t="s">
        <v>140</v>
      </c>
      <c r="J16" s="21" t="s">
        <v>141</v>
      </c>
      <c r="K16" s="15" t="n">
        <v>10</v>
      </c>
      <c r="L16" s="15" t="n">
        <v>2</v>
      </c>
      <c r="M16" s="15" t="n">
        <v>2</v>
      </c>
      <c r="N16" s="15" t="n">
        <v>3</v>
      </c>
      <c r="O16" s="15" t="n">
        <v>4</v>
      </c>
      <c r="P16" s="15" t="n">
        <v>10</v>
      </c>
      <c r="Q16" s="15" t="n">
        <v>9</v>
      </c>
      <c r="R16" s="16" t="n">
        <f aca="false">ROUND(K16*0.55+L16*0.25+M16*0.2,1)</f>
        <v>6.4</v>
      </c>
      <c r="S16" s="16" t="n">
        <f aca="false">ROUND(N16*0.35+O16*0.25+P16*0.25+Q16*0.15,1)</f>
        <v>5.9</v>
      </c>
      <c r="T16" s="17" t="n">
        <f aca="false">ROUND(R16*'Como ler'!$B$5+S16*'Como ler'!$B$6,1)</f>
        <v>6.2</v>
      </c>
      <c r="U16" s="18" t="s">
        <v>62</v>
      </c>
      <c r="V16" s="18" t="s">
        <v>63</v>
      </c>
    </row>
    <row r="17" customFormat="false" ht="15" hidden="false" customHeight="false" outlineLevel="0" collapsed="false">
      <c r="A17" s="19" t="n">
        <v>13</v>
      </c>
      <c r="B17" s="20" t="s">
        <v>221</v>
      </c>
      <c r="C17" s="21" t="s">
        <v>92</v>
      </c>
      <c r="D17" s="21" t="s">
        <v>208</v>
      </c>
      <c r="E17" s="19" t="n">
        <v>562</v>
      </c>
      <c r="F17" s="19" t="n">
        <v>1</v>
      </c>
      <c r="G17" s="19" t="n">
        <v>1</v>
      </c>
      <c r="H17" s="19" t="s">
        <v>59</v>
      </c>
      <c r="I17" s="19" t="s">
        <v>140</v>
      </c>
      <c r="J17" s="21" t="s">
        <v>141</v>
      </c>
      <c r="K17" s="15" t="n">
        <v>10</v>
      </c>
      <c r="L17" s="15" t="n">
        <v>2</v>
      </c>
      <c r="M17" s="15" t="n">
        <v>2</v>
      </c>
      <c r="N17" s="15" t="n">
        <v>3</v>
      </c>
      <c r="O17" s="15" t="n">
        <v>4</v>
      </c>
      <c r="P17" s="15" t="n">
        <v>1</v>
      </c>
      <c r="Q17" s="15" t="n">
        <v>9</v>
      </c>
      <c r="R17" s="16" t="n">
        <f aca="false">ROUND(K17*0.55+L17*0.25+M17*0.2,1)</f>
        <v>6.4</v>
      </c>
      <c r="S17" s="16" t="n">
        <f aca="false">ROUND(N17*0.35+O17*0.25+P17*0.25+Q17*0.15,1)</f>
        <v>3.7</v>
      </c>
      <c r="T17" s="17" t="n">
        <f aca="false">ROUND(R17*'Como ler'!$B$5+S17*'Como ler'!$B$6,1)</f>
        <v>5.2</v>
      </c>
      <c r="U17" s="18" t="s">
        <v>62</v>
      </c>
      <c r="V17" s="18" t="s">
        <v>63</v>
      </c>
    </row>
    <row r="18" customFormat="false" ht="15" hidden="false" customHeight="false" outlineLevel="0" collapsed="false">
      <c r="A18" s="19" t="n">
        <v>14</v>
      </c>
      <c r="B18" s="20" t="s">
        <v>222</v>
      </c>
      <c r="C18" s="21" t="s">
        <v>92</v>
      </c>
      <c r="D18" s="21" t="s">
        <v>208</v>
      </c>
      <c r="E18" s="19" t="n">
        <v>479</v>
      </c>
      <c r="F18" s="19" t="n">
        <v>2</v>
      </c>
      <c r="G18" s="19" t="n">
        <v>2</v>
      </c>
      <c r="H18" s="19" t="s">
        <v>59</v>
      </c>
      <c r="I18" s="19" t="s">
        <v>140</v>
      </c>
      <c r="J18" s="21" t="s">
        <v>141</v>
      </c>
      <c r="K18" s="15" t="n">
        <v>10</v>
      </c>
      <c r="L18" s="15" t="n">
        <v>4</v>
      </c>
      <c r="M18" s="15" t="n">
        <v>4</v>
      </c>
      <c r="N18" s="15" t="n">
        <v>3</v>
      </c>
      <c r="O18" s="15" t="n">
        <v>4</v>
      </c>
      <c r="P18" s="15" t="n">
        <v>1</v>
      </c>
      <c r="Q18" s="15" t="n">
        <v>9</v>
      </c>
      <c r="R18" s="16" t="n">
        <f aca="false">ROUND(K18*0.55+L18*0.25+M18*0.2,1)</f>
        <v>7.3</v>
      </c>
      <c r="S18" s="16" t="n">
        <f aca="false">ROUND(N18*0.35+O18*0.25+P18*0.25+Q18*0.15,1)</f>
        <v>3.7</v>
      </c>
      <c r="T18" s="17" t="n">
        <f aca="false">ROUND(R18*'Como ler'!$B$5+S18*'Como ler'!$B$6,1)</f>
        <v>5.7</v>
      </c>
      <c r="U18" s="18" t="s">
        <v>62</v>
      </c>
      <c r="V18" s="18" t="s">
        <v>63</v>
      </c>
    </row>
    <row r="19" customFormat="false" ht="15" hidden="false" customHeight="false" outlineLevel="0" collapsed="false">
      <c r="A19" s="19" t="n">
        <v>15</v>
      </c>
      <c r="B19" s="20" t="s">
        <v>78</v>
      </c>
      <c r="C19" s="21" t="s">
        <v>65</v>
      </c>
      <c r="D19" s="21" t="s">
        <v>58</v>
      </c>
      <c r="E19" s="19" t="n">
        <v>471</v>
      </c>
      <c r="F19" s="19" t="n">
        <v>2</v>
      </c>
      <c r="G19" s="19" t="n">
        <v>2</v>
      </c>
      <c r="H19" s="19" t="s">
        <v>66</v>
      </c>
      <c r="I19" s="19" t="s">
        <v>60</v>
      </c>
      <c r="J19" s="21" t="s">
        <v>79</v>
      </c>
      <c r="K19" s="15" t="n">
        <v>10</v>
      </c>
      <c r="L19" s="15" t="n">
        <v>4</v>
      </c>
      <c r="M19" s="15" t="n">
        <v>4</v>
      </c>
      <c r="N19" s="15" t="n">
        <v>10</v>
      </c>
      <c r="O19" s="15" t="n">
        <v>7</v>
      </c>
      <c r="P19" s="15" t="n">
        <v>10</v>
      </c>
      <c r="Q19" s="15" t="n">
        <v>6</v>
      </c>
      <c r="R19" s="16" t="n">
        <f aca="false">ROUND(K19*0.55+L19*0.25+M19*0.2,1)</f>
        <v>7.3</v>
      </c>
      <c r="S19" s="16" t="n">
        <f aca="false">ROUND(N19*0.35+O19*0.25+P19*0.25+Q19*0.15,1)</f>
        <v>8.7</v>
      </c>
      <c r="T19" s="17" t="n">
        <f aca="false">ROUND(R19*'Como ler'!$B$5+S19*'Como ler'!$B$6,1)</f>
        <v>7.9</v>
      </c>
      <c r="U19" s="18" t="s">
        <v>62</v>
      </c>
      <c r="V19" s="18" t="s">
        <v>63</v>
      </c>
    </row>
    <row r="20" customFormat="false" ht="15" hidden="false" customHeight="false" outlineLevel="0" collapsed="false">
      <c r="A20" s="19" t="n">
        <v>16</v>
      </c>
      <c r="B20" s="20" t="s">
        <v>71</v>
      </c>
      <c r="C20" s="21" t="s">
        <v>69</v>
      </c>
      <c r="D20" s="21" t="s">
        <v>58</v>
      </c>
      <c r="E20" s="19" t="n">
        <v>464</v>
      </c>
      <c r="F20" s="19" t="n">
        <v>3</v>
      </c>
      <c r="G20" s="19" t="n">
        <v>6</v>
      </c>
      <c r="H20" s="19" t="s">
        <v>66</v>
      </c>
      <c r="I20" s="19" t="s">
        <v>60</v>
      </c>
      <c r="J20" s="21" t="s">
        <v>72</v>
      </c>
      <c r="K20" s="15" t="n">
        <v>10</v>
      </c>
      <c r="L20" s="15" t="n">
        <v>6</v>
      </c>
      <c r="M20" s="15" t="n">
        <v>8</v>
      </c>
      <c r="N20" s="15" t="n">
        <v>10</v>
      </c>
      <c r="O20" s="15" t="n">
        <v>7</v>
      </c>
      <c r="P20" s="15" t="n">
        <v>10</v>
      </c>
      <c r="Q20" s="15" t="n">
        <v>6</v>
      </c>
      <c r="R20" s="16" t="n">
        <f aca="false">ROUND(K20*0.55+L20*0.25+M20*0.2,1)</f>
        <v>8.6</v>
      </c>
      <c r="S20" s="16" t="n">
        <f aca="false">ROUND(N20*0.35+O20*0.25+P20*0.25+Q20*0.15,1)</f>
        <v>8.7</v>
      </c>
      <c r="T20" s="17" t="n">
        <f aca="false">ROUND(R20*'Como ler'!$B$5+S20*'Como ler'!$B$6,1)</f>
        <v>8.6</v>
      </c>
      <c r="U20" s="18" t="s">
        <v>62</v>
      </c>
      <c r="V20" s="18" t="s">
        <v>63</v>
      </c>
    </row>
    <row r="21" customFormat="false" ht="15" hidden="false" customHeight="false" outlineLevel="0" collapsed="false">
      <c r="A21" s="19" t="n">
        <v>17</v>
      </c>
      <c r="B21" s="20" t="s">
        <v>56</v>
      </c>
      <c r="C21" s="21" t="s">
        <v>57</v>
      </c>
      <c r="D21" s="21" t="s">
        <v>58</v>
      </c>
      <c r="E21" s="19" t="n">
        <v>456</v>
      </c>
      <c r="F21" s="19" t="n">
        <v>6</v>
      </c>
      <c r="G21" s="19" t="n">
        <v>6</v>
      </c>
      <c r="H21" s="19" t="s">
        <v>59</v>
      </c>
      <c r="I21" s="19" t="s">
        <v>60</v>
      </c>
      <c r="J21" s="21" t="s">
        <v>61</v>
      </c>
      <c r="K21" s="15" t="n">
        <v>10</v>
      </c>
      <c r="L21" s="15" t="n">
        <v>8</v>
      </c>
      <c r="M21" s="15" t="n">
        <v>8</v>
      </c>
      <c r="N21" s="15" t="n">
        <v>10</v>
      </c>
      <c r="O21" s="15" t="n">
        <v>10</v>
      </c>
      <c r="P21" s="15" t="n">
        <v>10</v>
      </c>
      <c r="Q21" s="15" t="n">
        <v>9</v>
      </c>
      <c r="R21" s="16" t="n">
        <f aca="false">ROUND(K21*0.55+L21*0.25+M21*0.2,1)</f>
        <v>9.1</v>
      </c>
      <c r="S21" s="16" t="n">
        <f aca="false">ROUND(N21*0.35+O21*0.25+P21*0.25+Q21*0.15,1)</f>
        <v>9.9</v>
      </c>
      <c r="T21" s="17" t="n">
        <f aca="false">ROUND(R21*'Como ler'!$B$5+S21*'Como ler'!$B$6,1)</f>
        <v>9.5</v>
      </c>
      <c r="U21" s="18" t="s">
        <v>62</v>
      </c>
      <c r="V21" s="18" t="s">
        <v>63</v>
      </c>
    </row>
    <row r="22" customFormat="false" ht="15" hidden="false" customHeight="false" outlineLevel="0" collapsed="false">
      <c r="A22" s="19" t="n">
        <v>18</v>
      </c>
      <c r="B22" s="20" t="s">
        <v>86</v>
      </c>
      <c r="C22" s="21" t="s">
        <v>87</v>
      </c>
      <c r="D22" s="21" t="s">
        <v>58</v>
      </c>
      <c r="E22" s="19" t="n">
        <v>449</v>
      </c>
      <c r="F22" s="19" t="n">
        <v>1</v>
      </c>
      <c r="G22" s="19" t="n">
        <v>1</v>
      </c>
      <c r="H22" s="19" t="s">
        <v>66</v>
      </c>
      <c r="I22" s="19" t="s">
        <v>60</v>
      </c>
      <c r="J22" s="21" t="s">
        <v>88</v>
      </c>
      <c r="K22" s="15" t="n">
        <v>10</v>
      </c>
      <c r="L22" s="15" t="n">
        <v>2</v>
      </c>
      <c r="M22" s="15" t="n">
        <v>2</v>
      </c>
      <c r="N22" s="15" t="n">
        <v>10</v>
      </c>
      <c r="O22" s="15" t="n">
        <v>7</v>
      </c>
      <c r="P22" s="15" t="n">
        <v>10</v>
      </c>
      <c r="Q22" s="15" t="n">
        <v>6</v>
      </c>
      <c r="R22" s="16" t="n">
        <f aca="false">ROUND(K22*0.55+L22*0.25+M22*0.2,1)</f>
        <v>6.4</v>
      </c>
      <c r="S22" s="16" t="n">
        <f aca="false">ROUND(N22*0.35+O22*0.25+P22*0.25+Q22*0.15,1)</f>
        <v>8.7</v>
      </c>
      <c r="T22" s="17" t="n">
        <f aca="false">ROUND(R22*'Como ler'!$B$5+S22*'Como ler'!$B$6,1)</f>
        <v>7.4</v>
      </c>
      <c r="U22" s="18" t="s">
        <v>62</v>
      </c>
      <c r="V22" s="18" t="s">
        <v>63</v>
      </c>
    </row>
    <row r="23" customFormat="false" ht="15" hidden="false" customHeight="false" outlineLevel="0" collapsed="false">
      <c r="A23" s="19" t="n">
        <v>19</v>
      </c>
      <c r="B23" s="20" t="s">
        <v>223</v>
      </c>
      <c r="C23" s="21" t="s">
        <v>92</v>
      </c>
      <c r="D23" s="21" t="s">
        <v>205</v>
      </c>
      <c r="E23" s="19" t="n">
        <v>435</v>
      </c>
      <c r="F23" s="19" t="n">
        <v>1</v>
      </c>
      <c r="G23" s="19" t="n">
        <v>2</v>
      </c>
      <c r="H23" s="19" t="s">
        <v>59</v>
      </c>
      <c r="I23" s="19" t="s">
        <v>60</v>
      </c>
      <c r="J23" s="21" t="s">
        <v>224</v>
      </c>
      <c r="K23" s="15" t="n">
        <v>10</v>
      </c>
      <c r="L23" s="15" t="n">
        <v>2</v>
      </c>
      <c r="M23" s="15" t="n">
        <v>4</v>
      </c>
      <c r="N23" s="15" t="n">
        <v>10</v>
      </c>
      <c r="O23" s="15" t="n">
        <v>7</v>
      </c>
      <c r="P23" s="15" t="n">
        <v>1</v>
      </c>
      <c r="Q23" s="15" t="n">
        <v>9</v>
      </c>
      <c r="R23" s="16" t="n">
        <f aca="false">ROUND(K23*0.55+L23*0.25+M23*0.2,1)</f>
        <v>6.8</v>
      </c>
      <c r="S23" s="16" t="n">
        <f aca="false">ROUND(N23*0.35+O23*0.25+P23*0.25+Q23*0.15,1)</f>
        <v>6.9</v>
      </c>
      <c r="T23" s="17" t="n">
        <f aca="false">ROUND(R23*'Como ler'!$B$5+S23*'Como ler'!$B$6,1)</f>
        <v>6.8</v>
      </c>
      <c r="U23" s="18" t="s">
        <v>62</v>
      </c>
      <c r="V23" s="18" t="s">
        <v>63</v>
      </c>
    </row>
    <row r="24" customFormat="false" ht="15" hidden="false" customHeight="false" outlineLevel="0" collapsed="false">
      <c r="A24" s="19" t="n">
        <v>20</v>
      </c>
      <c r="B24" s="20" t="s">
        <v>225</v>
      </c>
      <c r="C24" s="21" t="s">
        <v>92</v>
      </c>
      <c r="D24" s="21" t="s">
        <v>205</v>
      </c>
      <c r="E24" s="19" t="n">
        <v>423</v>
      </c>
      <c r="F24" s="19" t="n">
        <v>2</v>
      </c>
      <c r="G24" s="19" t="n">
        <v>2</v>
      </c>
      <c r="H24" s="19" t="s">
        <v>59</v>
      </c>
      <c r="I24" s="19" t="s">
        <v>167</v>
      </c>
      <c r="J24" s="21" t="s">
        <v>168</v>
      </c>
      <c r="K24" s="15" t="n">
        <v>10</v>
      </c>
      <c r="L24" s="15" t="n">
        <v>4</v>
      </c>
      <c r="M24" s="15" t="n">
        <v>4</v>
      </c>
      <c r="N24" s="15" t="n">
        <v>3</v>
      </c>
      <c r="O24" s="15" t="n">
        <v>4</v>
      </c>
      <c r="P24" s="15" t="n">
        <v>1</v>
      </c>
      <c r="Q24" s="15" t="n">
        <v>9</v>
      </c>
      <c r="R24" s="16" t="n">
        <f aca="false">ROUND(K24*0.55+L24*0.25+M24*0.2,1)</f>
        <v>7.3</v>
      </c>
      <c r="S24" s="16" t="n">
        <f aca="false">ROUND(N24*0.35+O24*0.25+P24*0.25+Q24*0.15,1)</f>
        <v>3.7</v>
      </c>
      <c r="T24" s="17" t="n">
        <f aca="false">ROUND(R24*'Como ler'!$B$5+S24*'Como ler'!$B$6,1)</f>
        <v>5.7</v>
      </c>
      <c r="U24" s="18" t="s">
        <v>62</v>
      </c>
      <c r="V24" s="18" t="s">
        <v>63</v>
      </c>
    </row>
    <row r="25" customFormat="false" ht="15" hidden="false" customHeight="false" outlineLevel="0" collapsed="false">
      <c r="A25" s="19" t="n">
        <v>21</v>
      </c>
      <c r="B25" s="20" t="s">
        <v>226</v>
      </c>
      <c r="C25" s="21" t="s">
        <v>92</v>
      </c>
      <c r="D25" s="21" t="s">
        <v>205</v>
      </c>
      <c r="E25" s="19" t="n">
        <v>423</v>
      </c>
      <c r="F25" s="19" t="n">
        <v>2</v>
      </c>
      <c r="G25" s="19" t="n">
        <v>2</v>
      </c>
      <c r="H25" s="19" t="s">
        <v>59</v>
      </c>
      <c r="I25" s="19" t="s">
        <v>60</v>
      </c>
      <c r="J25" s="21" t="s">
        <v>227</v>
      </c>
      <c r="K25" s="15" t="n">
        <v>10</v>
      </c>
      <c r="L25" s="15" t="n">
        <v>4</v>
      </c>
      <c r="M25" s="15" t="n">
        <v>4</v>
      </c>
      <c r="N25" s="15" t="n">
        <v>10</v>
      </c>
      <c r="O25" s="15" t="n">
        <v>7</v>
      </c>
      <c r="P25" s="15" t="n">
        <v>1</v>
      </c>
      <c r="Q25" s="15" t="n">
        <v>9</v>
      </c>
      <c r="R25" s="16" t="n">
        <f aca="false">ROUND(K25*0.55+L25*0.25+M25*0.2,1)</f>
        <v>7.3</v>
      </c>
      <c r="S25" s="16" t="n">
        <f aca="false">ROUND(N25*0.35+O25*0.25+P25*0.25+Q25*0.15,1)</f>
        <v>6.9</v>
      </c>
      <c r="T25" s="17" t="n">
        <f aca="false">ROUND(R25*'Como ler'!$B$5+S25*'Como ler'!$B$6,1)</f>
        <v>7.1</v>
      </c>
      <c r="U25" s="18" t="s">
        <v>62</v>
      </c>
      <c r="V25" s="18" t="s">
        <v>63</v>
      </c>
    </row>
    <row r="26" customFormat="false" ht="15" hidden="false" customHeight="false" outlineLevel="0" collapsed="false">
      <c r="A26" s="19" t="n">
        <v>22</v>
      </c>
      <c r="B26" s="20" t="s">
        <v>228</v>
      </c>
      <c r="C26" s="21" t="s">
        <v>92</v>
      </c>
      <c r="D26" s="21" t="s">
        <v>229</v>
      </c>
      <c r="E26" s="19" t="n">
        <v>415</v>
      </c>
      <c r="F26" s="19" t="n">
        <v>1</v>
      </c>
      <c r="G26" s="19" t="n">
        <v>1</v>
      </c>
      <c r="H26" s="19" t="s">
        <v>66</v>
      </c>
      <c r="I26" s="19" t="s">
        <v>210</v>
      </c>
      <c r="J26" s="21" t="s">
        <v>211</v>
      </c>
      <c r="K26" s="15" t="n">
        <v>10</v>
      </c>
      <c r="L26" s="15" t="n">
        <v>2</v>
      </c>
      <c r="M26" s="15" t="n">
        <v>2</v>
      </c>
      <c r="N26" s="15" t="n">
        <v>3</v>
      </c>
      <c r="O26" s="15" t="n">
        <v>4</v>
      </c>
      <c r="P26" s="15" t="n">
        <v>1</v>
      </c>
      <c r="Q26" s="15" t="n">
        <v>6</v>
      </c>
      <c r="R26" s="16" t="n">
        <f aca="false">ROUND(K26*0.55+L26*0.25+M26*0.2,1)</f>
        <v>6.4</v>
      </c>
      <c r="S26" s="16" t="n">
        <f aca="false">ROUND(N26*0.35+O26*0.25+P26*0.25+Q26*0.15,1)</f>
        <v>3.2</v>
      </c>
      <c r="T26" s="17" t="n">
        <f aca="false">ROUND(R26*'Como ler'!$B$5+S26*'Como ler'!$B$6,1)</f>
        <v>5</v>
      </c>
      <c r="U26" s="18" t="s">
        <v>62</v>
      </c>
      <c r="V26" s="22" t="s">
        <v>211</v>
      </c>
    </row>
    <row r="27" customFormat="false" ht="15" hidden="false" customHeight="false" outlineLevel="0" collapsed="false">
      <c r="A27" s="19" t="n">
        <v>23</v>
      </c>
      <c r="B27" s="20" t="s">
        <v>230</v>
      </c>
      <c r="C27" s="21" t="s">
        <v>114</v>
      </c>
      <c r="D27" s="21" t="s">
        <v>205</v>
      </c>
      <c r="E27" s="19" t="n">
        <v>402</v>
      </c>
      <c r="F27" s="19" t="n">
        <v>2</v>
      </c>
      <c r="G27" s="19" t="n">
        <v>3</v>
      </c>
      <c r="H27" s="19" t="s">
        <v>66</v>
      </c>
      <c r="I27" s="19" t="s">
        <v>60</v>
      </c>
      <c r="J27" s="21" t="s">
        <v>231</v>
      </c>
      <c r="K27" s="15" t="n">
        <v>10</v>
      </c>
      <c r="L27" s="15" t="n">
        <v>4</v>
      </c>
      <c r="M27" s="15" t="n">
        <v>4</v>
      </c>
      <c r="N27" s="15" t="n">
        <v>10</v>
      </c>
      <c r="O27" s="15" t="n">
        <v>7</v>
      </c>
      <c r="P27" s="15" t="n">
        <v>1</v>
      </c>
      <c r="Q27" s="15" t="n">
        <v>6</v>
      </c>
      <c r="R27" s="16" t="n">
        <f aca="false">ROUND(K27*0.55+L27*0.25+M27*0.2,1)</f>
        <v>7.3</v>
      </c>
      <c r="S27" s="16" t="n">
        <f aca="false">ROUND(N27*0.35+O27*0.25+P27*0.25+Q27*0.15,1)</f>
        <v>6.4</v>
      </c>
      <c r="T27" s="17" t="n">
        <f aca="false">ROUND(R27*'Como ler'!$B$5+S27*'Como ler'!$B$6,1)</f>
        <v>6.9</v>
      </c>
      <c r="U27" s="18" t="s">
        <v>62</v>
      </c>
      <c r="V27" s="18" t="s">
        <v>63</v>
      </c>
    </row>
    <row r="28" customFormat="false" ht="15" hidden="false" customHeight="false" outlineLevel="0" collapsed="false">
      <c r="A28" s="19" t="n">
        <v>24</v>
      </c>
      <c r="B28" s="20" t="s">
        <v>73</v>
      </c>
      <c r="C28" s="21" t="s">
        <v>74</v>
      </c>
      <c r="D28" s="21" t="s">
        <v>58</v>
      </c>
      <c r="E28" s="19" t="n">
        <v>401</v>
      </c>
      <c r="F28" s="19" t="n">
        <v>3</v>
      </c>
      <c r="G28" s="19" t="n">
        <v>3</v>
      </c>
      <c r="H28" s="19" t="s">
        <v>59</v>
      </c>
      <c r="I28" s="19" t="s">
        <v>60</v>
      </c>
      <c r="J28" s="21" t="s">
        <v>75</v>
      </c>
      <c r="K28" s="15" t="n">
        <v>10</v>
      </c>
      <c r="L28" s="15" t="n">
        <v>6</v>
      </c>
      <c r="M28" s="15" t="n">
        <v>4</v>
      </c>
      <c r="N28" s="15" t="n">
        <v>10</v>
      </c>
      <c r="O28" s="15" t="n">
        <v>7</v>
      </c>
      <c r="P28" s="15" t="n">
        <v>10</v>
      </c>
      <c r="Q28" s="15" t="n">
        <v>9</v>
      </c>
      <c r="R28" s="16" t="n">
        <f aca="false">ROUND(K28*0.55+L28*0.25+M28*0.2,1)</f>
        <v>7.8</v>
      </c>
      <c r="S28" s="16" t="n">
        <f aca="false">ROUND(N28*0.35+O28*0.25+P28*0.25+Q28*0.15,1)</f>
        <v>9.1</v>
      </c>
      <c r="T28" s="17" t="n">
        <f aca="false">ROUND(R28*'Como ler'!$B$5+S28*'Como ler'!$B$6,1)</f>
        <v>8.4</v>
      </c>
      <c r="U28" s="18" t="s">
        <v>62</v>
      </c>
      <c r="V28" s="18" t="s">
        <v>63</v>
      </c>
    </row>
    <row r="29" customFormat="false" ht="15" hidden="false" customHeight="false" outlineLevel="0" collapsed="false">
      <c r="A29" s="19" t="n">
        <v>25</v>
      </c>
      <c r="B29" s="20" t="s">
        <v>68</v>
      </c>
      <c r="C29" s="21" t="s">
        <v>69</v>
      </c>
      <c r="D29" s="21" t="s">
        <v>58</v>
      </c>
      <c r="E29" s="19" t="n">
        <v>388</v>
      </c>
      <c r="F29" s="19" t="n">
        <v>4</v>
      </c>
      <c r="G29" s="19" t="n">
        <v>6</v>
      </c>
      <c r="H29" s="19" t="s">
        <v>59</v>
      </c>
      <c r="I29" s="19" t="s">
        <v>60</v>
      </c>
      <c r="J29" s="21" t="s">
        <v>70</v>
      </c>
      <c r="K29" s="15" t="n">
        <v>10</v>
      </c>
      <c r="L29" s="15" t="n">
        <v>6</v>
      </c>
      <c r="M29" s="15" t="n">
        <v>8</v>
      </c>
      <c r="N29" s="15" t="n">
        <v>10</v>
      </c>
      <c r="O29" s="15" t="n">
        <v>7</v>
      </c>
      <c r="P29" s="15" t="n">
        <v>10</v>
      </c>
      <c r="Q29" s="15" t="n">
        <v>9</v>
      </c>
      <c r="R29" s="16" t="n">
        <f aca="false">ROUND(K29*0.55+L29*0.25+M29*0.2,1)</f>
        <v>8.6</v>
      </c>
      <c r="S29" s="16" t="n">
        <f aca="false">ROUND(N29*0.35+O29*0.25+P29*0.25+Q29*0.15,1)</f>
        <v>9.1</v>
      </c>
      <c r="T29" s="17" t="n">
        <f aca="false">ROUND(R29*'Como ler'!$B$5+S29*'Como ler'!$B$6,1)</f>
        <v>8.8</v>
      </c>
      <c r="U29" s="18" t="s">
        <v>62</v>
      </c>
      <c r="V29" s="18" t="s">
        <v>63</v>
      </c>
    </row>
    <row r="30" customFormat="false" ht="15" hidden="false" customHeight="false" outlineLevel="0" collapsed="false">
      <c r="A30" s="19" t="n">
        <v>26</v>
      </c>
      <c r="B30" s="20" t="s">
        <v>64</v>
      </c>
      <c r="C30" s="21" t="s">
        <v>65</v>
      </c>
      <c r="D30" s="21" t="s">
        <v>58</v>
      </c>
      <c r="E30" s="19" t="n">
        <v>380</v>
      </c>
      <c r="F30" s="19" t="n">
        <v>12</v>
      </c>
      <c r="G30" s="19" t="n">
        <v>15</v>
      </c>
      <c r="H30" s="19" t="s">
        <v>66</v>
      </c>
      <c r="I30" s="19" t="s">
        <v>60</v>
      </c>
      <c r="J30" s="21" t="s">
        <v>67</v>
      </c>
      <c r="K30" s="15" t="n">
        <v>10</v>
      </c>
      <c r="L30" s="15" t="n">
        <v>10</v>
      </c>
      <c r="M30" s="15" t="n">
        <v>10</v>
      </c>
      <c r="N30" s="15" t="n">
        <v>10</v>
      </c>
      <c r="O30" s="15" t="n">
        <v>7</v>
      </c>
      <c r="P30" s="15" t="n">
        <v>10</v>
      </c>
      <c r="Q30" s="15" t="n">
        <v>6</v>
      </c>
      <c r="R30" s="16" t="n">
        <f aca="false">ROUND(K30*0.55+L30*0.25+M30*0.2,1)</f>
        <v>10</v>
      </c>
      <c r="S30" s="16" t="n">
        <f aca="false">ROUND(N30*0.35+O30*0.25+P30*0.25+Q30*0.15,1)</f>
        <v>8.7</v>
      </c>
      <c r="T30" s="17" t="n">
        <f aca="false">ROUND(R30*'Como ler'!$B$5+S30*'Como ler'!$B$6,1)</f>
        <v>9.4</v>
      </c>
      <c r="U30" s="18" t="s">
        <v>62</v>
      </c>
      <c r="V30" s="18" t="s">
        <v>63</v>
      </c>
    </row>
    <row r="31" customFormat="false" ht="15" hidden="false" customHeight="false" outlineLevel="0" collapsed="false">
      <c r="A31" s="19" t="n">
        <v>27</v>
      </c>
      <c r="B31" s="20" t="s">
        <v>232</v>
      </c>
      <c r="C31" s="21" t="s">
        <v>92</v>
      </c>
      <c r="D31" s="21" t="s">
        <v>233</v>
      </c>
      <c r="E31" s="19" t="n">
        <v>380</v>
      </c>
      <c r="F31" s="19" t="n">
        <v>1</v>
      </c>
      <c r="G31" s="19" t="n">
        <v>1</v>
      </c>
      <c r="H31" s="19" t="s">
        <v>115</v>
      </c>
      <c r="I31" s="19" t="s">
        <v>60</v>
      </c>
      <c r="J31" s="21" t="s">
        <v>234</v>
      </c>
      <c r="K31" s="15" t="n">
        <v>10</v>
      </c>
      <c r="L31" s="15" t="n">
        <v>2</v>
      </c>
      <c r="M31" s="15" t="n">
        <v>2</v>
      </c>
      <c r="N31" s="15" t="n">
        <v>10</v>
      </c>
      <c r="O31" s="15" t="n">
        <v>7</v>
      </c>
      <c r="P31" s="15" t="n">
        <v>3</v>
      </c>
      <c r="Q31" s="15" t="n">
        <v>6</v>
      </c>
      <c r="R31" s="16" t="n">
        <f aca="false">ROUND(K31*0.55+L31*0.25+M31*0.2,1)</f>
        <v>6.4</v>
      </c>
      <c r="S31" s="16" t="n">
        <f aca="false">ROUND(N31*0.35+O31*0.25+P31*0.25+Q31*0.15,1)</f>
        <v>6.9</v>
      </c>
      <c r="T31" s="17" t="n">
        <f aca="false">ROUND(R31*'Como ler'!$B$5+S31*'Como ler'!$B$6,1)</f>
        <v>6.6</v>
      </c>
      <c r="U31" s="18" t="s">
        <v>62</v>
      </c>
      <c r="V31" s="18" t="s">
        <v>63</v>
      </c>
    </row>
    <row r="32" customFormat="false" ht="15" hidden="false" customHeight="false" outlineLevel="0" collapsed="false">
      <c r="A32" s="19" t="n">
        <v>28</v>
      </c>
      <c r="B32" s="20" t="s">
        <v>142</v>
      </c>
      <c r="C32" s="21" t="s">
        <v>92</v>
      </c>
      <c r="D32" s="21" t="s">
        <v>58</v>
      </c>
      <c r="E32" s="19" t="n">
        <v>371</v>
      </c>
      <c r="F32" s="19" t="n">
        <v>1</v>
      </c>
      <c r="G32" s="19" t="n">
        <v>1</v>
      </c>
      <c r="H32" s="19" t="s">
        <v>59</v>
      </c>
      <c r="I32" s="19" t="s">
        <v>140</v>
      </c>
      <c r="J32" s="21" t="s">
        <v>143</v>
      </c>
      <c r="K32" s="15" t="n">
        <v>10</v>
      </c>
      <c r="L32" s="15" t="n">
        <v>2</v>
      </c>
      <c r="M32" s="15" t="n">
        <v>2</v>
      </c>
      <c r="N32" s="15" t="n">
        <v>3</v>
      </c>
      <c r="O32" s="15" t="n">
        <v>4</v>
      </c>
      <c r="P32" s="15" t="n">
        <v>10</v>
      </c>
      <c r="Q32" s="15" t="n">
        <v>9</v>
      </c>
      <c r="R32" s="16" t="n">
        <f aca="false">ROUND(K32*0.55+L32*0.25+M32*0.2,1)</f>
        <v>6.4</v>
      </c>
      <c r="S32" s="16" t="n">
        <f aca="false">ROUND(N32*0.35+O32*0.25+P32*0.25+Q32*0.15,1)</f>
        <v>5.9</v>
      </c>
      <c r="T32" s="17" t="n">
        <f aca="false">ROUND(R32*'Como ler'!$B$5+S32*'Como ler'!$B$6,1)</f>
        <v>6.2</v>
      </c>
      <c r="U32" s="18" t="s">
        <v>62</v>
      </c>
      <c r="V32" s="18" t="s">
        <v>63</v>
      </c>
    </row>
    <row r="33" customFormat="false" ht="15" hidden="false" customHeight="false" outlineLevel="0" collapsed="false">
      <c r="A33" s="19" t="n">
        <v>29</v>
      </c>
      <c r="B33" s="20" t="s">
        <v>235</v>
      </c>
      <c r="C33" s="21" t="s">
        <v>92</v>
      </c>
      <c r="D33" s="21" t="s">
        <v>205</v>
      </c>
      <c r="E33" s="19" t="n">
        <v>367</v>
      </c>
      <c r="F33" s="19" t="n">
        <v>1</v>
      </c>
      <c r="G33" s="19" t="n">
        <v>1</v>
      </c>
      <c r="H33" s="19" t="s">
        <v>115</v>
      </c>
      <c r="I33" s="19" t="s">
        <v>140</v>
      </c>
      <c r="J33" s="21" t="s">
        <v>141</v>
      </c>
      <c r="K33" s="15" t="n">
        <v>10</v>
      </c>
      <c r="L33" s="15" t="n">
        <v>2</v>
      </c>
      <c r="M33" s="15" t="n">
        <v>2</v>
      </c>
      <c r="N33" s="15" t="n">
        <v>3</v>
      </c>
      <c r="O33" s="15" t="n">
        <v>4</v>
      </c>
      <c r="P33" s="15" t="n">
        <v>1</v>
      </c>
      <c r="Q33" s="15" t="n">
        <v>6</v>
      </c>
      <c r="R33" s="16" t="n">
        <f aca="false">ROUND(K33*0.55+L33*0.25+M33*0.2,1)</f>
        <v>6.4</v>
      </c>
      <c r="S33" s="16" t="n">
        <f aca="false">ROUND(N33*0.35+O33*0.25+P33*0.25+Q33*0.15,1)</f>
        <v>3.2</v>
      </c>
      <c r="T33" s="17" t="n">
        <f aca="false">ROUND(R33*'Como ler'!$B$5+S33*'Como ler'!$B$6,1)</f>
        <v>5</v>
      </c>
      <c r="U33" s="18" t="s">
        <v>62</v>
      </c>
      <c r="V33" s="18" t="s">
        <v>63</v>
      </c>
    </row>
    <row r="34" customFormat="false" ht="15" hidden="false" customHeight="false" outlineLevel="0" collapsed="false">
      <c r="A34" s="19" t="n">
        <v>30</v>
      </c>
      <c r="B34" s="20" t="s">
        <v>80</v>
      </c>
      <c r="C34" s="21" t="s">
        <v>74</v>
      </c>
      <c r="D34" s="21" t="s">
        <v>58</v>
      </c>
      <c r="E34" s="19" t="n">
        <v>367</v>
      </c>
      <c r="F34" s="19" t="n">
        <v>1</v>
      </c>
      <c r="G34" s="19" t="n">
        <v>2</v>
      </c>
      <c r="H34" s="19" t="s">
        <v>59</v>
      </c>
      <c r="I34" s="19" t="s">
        <v>60</v>
      </c>
      <c r="J34" s="21" t="s">
        <v>81</v>
      </c>
      <c r="K34" s="15" t="n">
        <v>10</v>
      </c>
      <c r="L34" s="15" t="n">
        <v>2</v>
      </c>
      <c r="M34" s="15" t="n">
        <v>4</v>
      </c>
      <c r="N34" s="15" t="n">
        <v>10</v>
      </c>
      <c r="O34" s="15" t="n">
        <v>7</v>
      </c>
      <c r="P34" s="15" t="n">
        <v>10</v>
      </c>
      <c r="Q34" s="15" t="n">
        <v>9</v>
      </c>
      <c r="R34" s="16" t="n">
        <f aca="false">ROUND(K34*0.55+L34*0.25+M34*0.2,1)</f>
        <v>6.8</v>
      </c>
      <c r="S34" s="16" t="n">
        <f aca="false">ROUND(N34*0.35+O34*0.25+P34*0.25+Q34*0.15,1)</f>
        <v>9.1</v>
      </c>
      <c r="T34" s="17" t="n">
        <f aca="false">ROUND(R34*'Como ler'!$B$5+S34*'Como ler'!$B$6,1)</f>
        <v>7.8</v>
      </c>
      <c r="U34" s="18" t="s">
        <v>62</v>
      </c>
      <c r="V34" s="18" t="s">
        <v>63</v>
      </c>
    </row>
    <row r="35" customFormat="false" ht="15" hidden="false" customHeight="false" outlineLevel="0" collapsed="false">
      <c r="A35" s="19" t="n">
        <v>31</v>
      </c>
      <c r="B35" s="20" t="s">
        <v>236</v>
      </c>
      <c r="C35" s="21" t="s">
        <v>92</v>
      </c>
      <c r="D35" s="21" t="s">
        <v>205</v>
      </c>
      <c r="E35" s="19" t="n">
        <v>367</v>
      </c>
      <c r="F35" s="19" t="n">
        <v>1</v>
      </c>
      <c r="G35" s="19" t="n">
        <v>1</v>
      </c>
      <c r="H35" s="19" t="s">
        <v>66</v>
      </c>
      <c r="I35" s="19" t="s">
        <v>167</v>
      </c>
      <c r="J35" s="21" t="s">
        <v>168</v>
      </c>
      <c r="K35" s="15" t="n">
        <v>10</v>
      </c>
      <c r="L35" s="15" t="n">
        <v>2</v>
      </c>
      <c r="M35" s="15" t="n">
        <v>2</v>
      </c>
      <c r="N35" s="15" t="n">
        <v>3</v>
      </c>
      <c r="O35" s="15" t="n">
        <v>4</v>
      </c>
      <c r="P35" s="15" t="n">
        <v>1</v>
      </c>
      <c r="Q35" s="15" t="n">
        <v>6</v>
      </c>
      <c r="R35" s="16" t="n">
        <f aca="false">ROUND(K35*0.55+L35*0.25+M35*0.2,1)</f>
        <v>6.4</v>
      </c>
      <c r="S35" s="16" t="n">
        <f aca="false">ROUND(N35*0.35+O35*0.25+P35*0.25+Q35*0.15,1)</f>
        <v>3.2</v>
      </c>
      <c r="T35" s="17" t="n">
        <f aca="false">ROUND(R35*'Como ler'!$B$5+S35*'Como ler'!$B$6,1)</f>
        <v>5</v>
      </c>
      <c r="U35" s="18" t="s">
        <v>62</v>
      </c>
      <c r="V35" s="18" t="s">
        <v>63</v>
      </c>
    </row>
    <row r="36" customFormat="false" ht="15" hidden="false" customHeight="false" outlineLevel="0" collapsed="false">
      <c r="A36" s="19" t="n">
        <v>32</v>
      </c>
      <c r="B36" s="20" t="s">
        <v>237</v>
      </c>
      <c r="C36" s="21" t="s">
        <v>92</v>
      </c>
      <c r="D36" s="21" t="s">
        <v>205</v>
      </c>
      <c r="E36" s="19" t="n">
        <v>359</v>
      </c>
      <c r="F36" s="19" t="n">
        <v>2</v>
      </c>
      <c r="G36" s="19" t="n">
        <v>4</v>
      </c>
      <c r="H36" s="19" t="s">
        <v>66</v>
      </c>
      <c r="I36" s="19" t="s">
        <v>140</v>
      </c>
      <c r="J36" s="21" t="s">
        <v>141</v>
      </c>
      <c r="K36" s="15" t="n">
        <v>9</v>
      </c>
      <c r="L36" s="15" t="n">
        <v>4</v>
      </c>
      <c r="M36" s="15" t="n">
        <v>6</v>
      </c>
      <c r="N36" s="15" t="n">
        <v>3</v>
      </c>
      <c r="O36" s="15" t="n">
        <v>4</v>
      </c>
      <c r="P36" s="15" t="n">
        <v>1</v>
      </c>
      <c r="Q36" s="15" t="n">
        <v>6</v>
      </c>
      <c r="R36" s="16" t="n">
        <f aca="false">ROUND(K36*0.55+L36*0.25+M36*0.2,1)</f>
        <v>7.2</v>
      </c>
      <c r="S36" s="16" t="n">
        <f aca="false">ROUND(N36*0.35+O36*0.25+P36*0.25+Q36*0.15,1)</f>
        <v>3.2</v>
      </c>
      <c r="T36" s="17" t="n">
        <f aca="false">ROUND(R36*'Como ler'!$B$5+S36*'Como ler'!$B$6,1)</f>
        <v>5.4</v>
      </c>
      <c r="U36" s="18" t="s">
        <v>62</v>
      </c>
      <c r="V36" s="18" t="s">
        <v>63</v>
      </c>
    </row>
    <row r="37" customFormat="false" ht="15" hidden="false" customHeight="false" outlineLevel="0" collapsed="false">
      <c r="A37" s="19" t="n">
        <v>33</v>
      </c>
      <c r="B37" s="20" t="s">
        <v>238</v>
      </c>
      <c r="C37" s="21" t="s">
        <v>92</v>
      </c>
      <c r="D37" s="21" t="s">
        <v>205</v>
      </c>
      <c r="E37" s="19" t="n">
        <v>350</v>
      </c>
      <c r="F37" s="19" t="n">
        <v>3</v>
      </c>
      <c r="G37" s="19" t="n">
        <v>3</v>
      </c>
      <c r="H37" s="19" t="s">
        <v>59</v>
      </c>
      <c r="I37" s="19" t="s">
        <v>167</v>
      </c>
      <c r="J37" s="21" t="s">
        <v>168</v>
      </c>
      <c r="K37" s="15" t="n">
        <v>9</v>
      </c>
      <c r="L37" s="15" t="n">
        <v>6</v>
      </c>
      <c r="M37" s="15" t="n">
        <v>4</v>
      </c>
      <c r="N37" s="15" t="n">
        <v>3</v>
      </c>
      <c r="O37" s="15" t="n">
        <v>4</v>
      </c>
      <c r="P37" s="15" t="n">
        <v>1</v>
      </c>
      <c r="Q37" s="15" t="n">
        <v>9</v>
      </c>
      <c r="R37" s="16" t="n">
        <f aca="false">ROUND(K37*0.55+L37*0.25+M37*0.2,1)</f>
        <v>7.3</v>
      </c>
      <c r="S37" s="16" t="n">
        <f aca="false">ROUND(N37*0.35+O37*0.25+P37*0.25+Q37*0.15,1)</f>
        <v>3.7</v>
      </c>
      <c r="T37" s="17" t="n">
        <f aca="false">ROUND(R37*'Como ler'!$B$5+S37*'Como ler'!$B$6,1)</f>
        <v>5.7</v>
      </c>
      <c r="U37" s="18" t="s">
        <v>62</v>
      </c>
      <c r="V37" s="18" t="s">
        <v>63</v>
      </c>
    </row>
    <row r="38" customFormat="false" ht="15" hidden="false" customHeight="false" outlineLevel="0" collapsed="false">
      <c r="A38" s="19" t="n">
        <v>34</v>
      </c>
      <c r="B38" s="20" t="s">
        <v>239</v>
      </c>
      <c r="C38" s="21" t="s">
        <v>92</v>
      </c>
      <c r="D38" s="21" t="s">
        <v>205</v>
      </c>
      <c r="E38" s="19" t="n">
        <v>343</v>
      </c>
      <c r="F38" s="19" t="n">
        <v>2</v>
      </c>
      <c r="G38" s="19" t="n">
        <v>2</v>
      </c>
      <c r="H38" s="19" t="s">
        <v>66</v>
      </c>
      <c r="I38" s="19" t="s">
        <v>60</v>
      </c>
      <c r="J38" s="21" t="s">
        <v>240</v>
      </c>
      <c r="K38" s="15" t="n">
        <v>9</v>
      </c>
      <c r="L38" s="15" t="n">
        <v>4</v>
      </c>
      <c r="M38" s="15" t="n">
        <v>4</v>
      </c>
      <c r="N38" s="15" t="n">
        <v>10</v>
      </c>
      <c r="O38" s="15" t="n">
        <v>7</v>
      </c>
      <c r="P38" s="15" t="n">
        <v>1</v>
      </c>
      <c r="Q38" s="15" t="n">
        <v>6</v>
      </c>
      <c r="R38" s="16" t="n">
        <f aca="false">ROUND(K38*0.55+L38*0.25+M38*0.2,1)</f>
        <v>6.8</v>
      </c>
      <c r="S38" s="16" t="n">
        <f aca="false">ROUND(N38*0.35+O38*0.25+P38*0.25+Q38*0.15,1)</f>
        <v>6.4</v>
      </c>
      <c r="T38" s="17" t="n">
        <f aca="false">ROUND(R38*'Como ler'!$B$5+S38*'Como ler'!$B$6,1)</f>
        <v>6.6</v>
      </c>
      <c r="U38" s="18" t="s">
        <v>62</v>
      </c>
      <c r="V38" s="18" t="s">
        <v>63</v>
      </c>
    </row>
    <row r="39" customFormat="false" ht="15" hidden="false" customHeight="false" outlineLevel="0" collapsed="false">
      <c r="A39" s="19" t="n">
        <v>35</v>
      </c>
      <c r="B39" s="20" t="s">
        <v>241</v>
      </c>
      <c r="C39" s="21" t="s">
        <v>92</v>
      </c>
      <c r="D39" s="21" t="s">
        <v>205</v>
      </c>
      <c r="E39" s="19" t="n">
        <v>341</v>
      </c>
      <c r="F39" s="19" t="n">
        <v>1</v>
      </c>
      <c r="G39" s="19" t="n">
        <v>1</v>
      </c>
      <c r="H39" s="19" t="s">
        <v>66</v>
      </c>
      <c r="I39" s="19" t="s">
        <v>167</v>
      </c>
      <c r="J39" s="21" t="s">
        <v>168</v>
      </c>
      <c r="K39" s="15" t="n">
        <v>9</v>
      </c>
      <c r="L39" s="15" t="n">
        <v>2</v>
      </c>
      <c r="M39" s="15" t="n">
        <v>2</v>
      </c>
      <c r="N39" s="15" t="n">
        <v>3</v>
      </c>
      <c r="O39" s="15" t="n">
        <v>4</v>
      </c>
      <c r="P39" s="15" t="n">
        <v>1</v>
      </c>
      <c r="Q39" s="15" t="n">
        <v>6</v>
      </c>
      <c r="R39" s="16" t="n">
        <f aca="false">ROUND(K39*0.55+L39*0.25+M39*0.2,1)</f>
        <v>5.9</v>
      </c>
      <c r="S39" s="16" t="n">
        <f aca="false">ROUND(N39*0.35+O39*0.25+P39*0.25+Q39*0.15,1)</f>
        <v>3.2</v>
      </c>
      <c r="T39" s="17" t="n">
        <f aca="false">ROUND(R39*'Como ler'!$B$5+S39*'Como ler'!$B$6,1)</f>
        <v>4.7</v>
      </c>
      <c r="U39" s="18" t="s">
        <v>62</v>
      </c>
      <c r="V39" s="18" t="s">
        <v>63</v>
      </c>
    </row>
    <row r="40" customFormat="false" ht="15" hidden="false" customHeight="false" outlineLevel="0" collapsed="false">
      <c r="A40" s="19" t="n">
        <v>36</v>
      </c>
      <c r="B40" s="20" t="s">
        <v>242</v>
      </c>
      <c r="C40" s="21" t="s">
        <v>92</v>
      </c>
      <c r="D40" s="21" t="s">
        <v>205</v>
      </c>
      <c r="E40" s="19" t="n">
        <v>340</v>
      </c>
      <c r="F40" s="19" t="n">
        <v>3</v>
      </c>
      <c r="G40" s="19" t="n">
        <v>3</v>
      </c>
      <c r="H40" s="19" t="s">
        <v>59</v>
      </c>
      <c r="I40" s="19" t="s">
        <v>167</v>
      </c>
      <c r="J40" s="21" t="s">
        <v>168</v>
      </c>
      <c r="K40" s="15" t="n">
        <v>9</v>
      </c>
      <c r="L40" s="15" t="n">
        <v>6</v>
      </c>
      <c r="M40" s="15" t="n">
        <v>4</v>
      </c>
      <c r="N40" s="15" t="n">
        <v>3</v>
      </c>
      <c r="O40" s="15" t="n">
        <v>4</v>
      </c>
      <c r="P40" s="15" t="n">
        <v>1</v>
      </c>
      <c r="Q40" s="15" t="n">
        <v>9</v>
      </c>
      <c r="R40" s="16" t="n">
        <f aca="false">ROUND(K40*0.55+L40*0.25+M40*0.2,1)</f>
        <v>7.3</v>
      </c>
      <c r="S40" s="16" t="n">
        <f aca="false">ROUND(N40*0.35+O40*0.25+P40*0.25+Q40*0.15,1)</f>
        <v>3.7</v>
      </c>
      <c r="T40" s="17" t="n">
        <f aca="false">ROUND(R40*'Como ler'!$B$5+S40*'Como ler'!$B$6,1)</f>
        <v>5.7</v>
      </c>
      <c r="U40" s="18" t="s">
        <v>62</v>
      </c>
      <c r="V40" s="18" t="s">
        <v>63</v>
      </c>
    </row>
    <row r="41" customFormat="false" ht="15" hidden="false" customHeight="false" outlineLevel="0" collapsed="false">
      <c r="A41" s="19" t="n">
        <v>37</v>
      </c>
      <c r="B41" s="20" t="s">
        <v>243</v>
      </c>
      <c r="C41" s="21" t="s">
        <v>92</v>
      </c>
      <c r="D41" s="21" t="s">
        <v>208</v>
      </c>
      <c r="E41" s="19" t="n">
        <v>332</v>
      </c>
      <c r="F41" s="19" t="n">
        <v>1</v>
      </c>
      <c r="G41" s="19" t="n">
        <v>1</v>
      </c>
      <c r="H41" s="19" t="s">
        <v>66</v>
      </c>
      <c r="I41" s="19" t="s">
        <v>167</v>
      </c>
      <c r="J41" s="21" t="s">
        <v>168</v>
      </c>
      <c r="K41" s="15" t="n">
        <v>9</v>
      </c>
      <c r="L41" s="15" t="n">
        <v>2</v>
      </c>
      <c r="M41" s="15" t="n">
        <v>2</v>
      </c>
      <c r="N41" s="15" t="n">
        <v>3</v>
      </c>
      <c r="O41" s="15" t="n">
        <v>4</v>
      </c>
      <c r="P41" s="15" t="n">
        <v>1</v>
      </c>
      <c r="Q41" s="15" t="n">
        <v>6</v>
      </c>
      <c r="R41" s="16" t="n">
        <f aca="false">ROUND(K41*0.55+L41*0.25+M41*0.2,1)</f>
        <v>5.9</v>
      </c>
      <c r="S41" s="16" t="n">
        <f aca="false">ROUND(N41*0.35+O41*0.25+P41*0.25+Q41*0.15,1)</f>
        <v>3.2</v>
      </c>
      <c r="T41" s="17" t="n">
        <f aca="false">ROUND(R41*'Como ler'!$B$5+S41*'Como ler'!$B$6,1)</f>
        <v>4.7</v>
      </c>
      <c r="U41" s="18" t="s">
        <v>62</v>
      </c>
      <c r="V41" s="18" t="s">
        <v>63</v>
      </c>
    </row>
    <row r="42" customFormat="false" ht="15" hidden="false" customHeight="false" outlineLevel="0" collapsed="false">
      <c r="A42" s="19" t="n">
        <v>38</v>
      </c>
      <c r="B42" s="20" t="s">
        <v>244</v>
      </c>
      <c r="C42" s="21" t="s">
        <v>92</v>
      </c>
      <c r="D42" s="21" t="s">
        <v>205</v>
      </c>
      <c r="E42" s="19" t="n">
        <v>331</v>
      </c>
      <c r="F42" s="19" t="n">
        <v>2</v>
      </c>
      <c r="G42" s="19" t="n">
        <v>2</v>
      </c>
      <c r="H42" s="19" t="s">
        <v>66</v>
      </c>
      <c r="I42" s="19" t="s">
        <v>167</v>
      </c>
      <c r="J42" s="21" t="s">
        <v>168</v>
      </c>
      <c r="K42" s="15" t="n">
        <v>9</v>
      </c>
      <c r="L42" s="15" t="n">
        <v>4</v>
      </c>
      <c r="M42" s="15" t="n">
        <v>4</v>
      </c>
      <c r="N42" s="15" t="n">
        <v>3</v>
      </c>
      <c r="O42" s="15" t="n">
        <v>4</v>
      </c>
      <c r="P42" s="15" t="n">
        <v>1</v>
      </c>
      <c r="Q42" s="15" t="n">
        <v>6</v>
      </c>
      <c r="R42" s="16" t="n">
        <f aca="false">ROUND(K42*0.55+L42*0.25+M42*0.2,1)</f>
        <v>6.8</v>
      </c>
      <c r="S42" s="16" t="n">
        <f aca="false">ROUND(N42*0.35+O42*0.25+P42*0.25+Q42*0.15,1)</f>
        <v>3.2</v>
      </c>
      <c r="T42" s="17" t="n">
        <f aca="false">ROUND(R42*'Como ler'!$B$5+S42*'Como ler'!$B$6,1)</f>
        <v>5.2</v>
      </c>
      <c r="U42" s="18" t="s">
        <v>62</v>
      </c>
      <c r="V42" s="18" t="s">
        <v>63</v>
      </c>
    </row>
    <row r="43" customFormat="false" ht="15" hidden="false" customHeight="false" outlineLevel="0" collapsed="false">
      <c r="A43" s="19" t="n">
        <v>39</v>
      </c>
      <c r="B43" s="20" t="s">
        <v>245</v>
      </c>
      <c r="C43" s="21" t="s">
        <v>92</v>
      </c>
      <c r="D43" s="21" t="s">
        <v>205</v>
      </c>
      <c r="E43" s="19" t="n">
        <v>329</v>
      </c>
      <c r="F43" s="19" t="n">
        <v>1</v>
      </c>
      <c r="G43" s="19" t="n">
        <v>1</v>
      </c>
      <c r="H43" s="19" t="s">
        <v>66</v>
      </c>
      <c r="I43" s="19" t="s">
        <v>60</v>
      </c>
      <c r="J43" s="21" t="s">
        <v>246</v>
      </c>
      <c r="K43" s="15" t="n">
        <v>9</v>
      </c>
      <c r="L43" s="15" t="n">
        <v>2</v>
      </c>
      <c r="M43" s="15" t="n">
        <v>2</v>
      </c>
      <c r="N43" s="15" t="n">
        <v>10</v>
      </c>
      <c r="O43" s="15" t="n">
        <v>7</v>
      </c>
      <c r="P43" s="15" t="n">
        <v>1</v>
      </c>
      <c r="Q43" s="15" t="n">
        <v>6</v>
      </c>
      <c r="R43" s="16" t="n">
        <f aca="false">ROUND(K43*0.55+L43*0.25+M43*0.2,1)</f>
        <v>5.9</v>
      </c>
      <c r="S43" s="16" t="n">
        <f aca="false">ROUND(N43*0.35+O43*0.25+P43*0.25+Q43*0.15,1)</f>
        <v>6.4</v>
      </c>
      <c r="T43" s="17" t="n">
        <f aca="false">ROUND(R43*'Como ler'!$B$5+S43*'Como ler'!$B$6,1)</f>
        <v>6.1</v>
      </c>
      <c r="U43" s="18" t="s">
        <v>62</v>
      </c>
      <c r="V43" s="18" t="s">
        <v>63</v>
      </c>
    </row>
    <row r="44" customFormat="false" ht="15" hidden="false" customHeight="false" outlineLevel="0" collapsed="false">
      <c r="A44" s="19" t="n">
        <v>40</v>
      </c>
      <c r="B44" s="20" t="s">
        <v>247</v>
      </c>
      <c r="C44" s="21" t="s">
        <v>92</v>
      </c>
      <c r="D44" s="21" t="s">
        <v>205</v>
      </c>
      <c r="E44" s="19" t="n">
        <v>323</v>
      </c>
      <c r="F44" s="19" t="n">
        <v>1</v>
      </c>
      <c r="G44" s="19" t="n">
        <v>1</v>
      </c>
      <c r="H44" s="19" t="s">
        <v>59</v>
      </c>
      <c r="I44" s="19" t="s">
        <v>140</v>
      </c>
      <c r="J44" s="21" t="s">
        <v>141</v>
      </c>
      <c r="K44" s="15" t="n">
        <v>9</v>
      </c>
      <c r="L44" s="15" t="n">
        <v>2</v>
      </c>
      <c r="M44" s="15" t="n">
        <v>2</v>
      </c>
      <c r="N44" s="15" t="n">
        <v>3</v>
      </c>
      <c r="O44" s="15" t="n">
        <v>4</v>
      </c>
      <c r="P44" s="15" t="n">
        <v>1</v>
      </c>
      <c r="Q44" s="15" t="n">
        <v>9</v>
      </c>
      <c r="R44" s="16" t="n">
        <f aca="false">ROUND(K44*0.55+L44*0.25+M44*0.2,1)</f>
        <v>5.9</v>
      </c>
      <c r="S44" s="16" t="n">
        <f aca="false">ROUND(N44*0.35+O44*0.25+P44*0.25+Q44*0.15,1)</f>
        <v>3.7</v>
      </c>
      <c r="T44" s="17" t="n">
        <f aca="false">ROUND(R44*'Como ler'!$B$5+S44*'Como ler'!$B$6,1)</f>
        <v>4.9</v>
      </c>
      <c r="U44" s="18" t="s">
        <v>62</v>
      </c>
      <c r="V44" s="18" t="s">
        <v>63</v>
      </c>
    </row>
    <row r="45" customFormat="false" ht="15" hidden="false" customHeight="false" outlineLevel="0" collapsed="false">
      <c r="A45" s="19" t="n">
        <v>41</v>
      </c>
      <c r="B45" s="20" t="s">
        <v>248</v>
      </c>
      <c r="C45" s="21" t="s">
        <v>92</v>
      </c>
      <c r="D45" s="21" t="s">
        <v>205</v>
      </c>
      <c r="E45" s="19" t="n">
        <v>319</v>
      </c>
      <c r="F45" s="19" t="n">
        <v>1</v>
      </c>
      <c r="G45" s="19" t="n">
        <v>1</v>
      </c>
      <c r="H45" s="19" t="s">
        <v>66</v>
      </c>
      <c r="I45" s="19" t="s">
        <v>167</v>
      </c>
      <c r="J45" s="21" t="s">
        <v>168</v>
      </c>
      <c r="K45" s="15" t="n">
        <v>9</v>
      </c>
      <c r="L45" s="15" t="n">
        <v>2</v>
      </c>
      <c r="M45" s="15" t="n">
        <v>2</v>
      </c>
      <c r="N45" s="15" t="n">
        <v>3</v>
      </c>
      <c r="O45" s="15" t="n">
        <v>4</v>
      </c>
      <c r="P45" s="15" t="n">
        <v>1</v>
      </c>
      <c r="Q45" s="15" t="n">
        <v>6</v>
      </c>
      <c r="R45" s="16" t="n">
        <f aca="false">ROUND(K45*0.55+L45*0.25+M45*0.2,1)</f>
        <v>5.9</v>
      </c>
      <c r="S45" s="16" t="n">
        <f aca="false">ROUND(N45*0.35+O45*0.25+P45*0.25+Q45*0.15,1)</f>
        <v>3.2</v>
      </c>
      <c r="T45" s="17" t="n">
        <f aca="false">ROUND(R45*'Como ler'!$B$5+S45*'Como ler'!$B$6,1)</f>
        <v>4.7</v>
      </c>
      <c r="U45" s="18" t="s">
        <v>62</v>
      </c>
      <c r="V45" s="18" t="s">
        <v>63</v>
      </c>
    </row>
    <row r="46" customFormat="false" ht="15" hidden="false" customHeight="false" outlineLevel="0" collapsed="false">
      <c r="A46" s="19" t="n">
        <v>42</v>
      </c>
      <c r="B46" s="20" t="s">
        <v>249</v>
      </c>
      <c r="C46" s="21" t="s">
        <v>92</v>
      </c>
      <c r="D46" s="21" t="s">
        <v>205</v>
      </c>
      <c r="E46" s="19" t="n">
        <v>314</v>
      </c>
      <c r="F46" s="19" t="n">
        <v>1</v>
      </c>
      <c r="G46" s="19" t="n">
        <v>1</v>
      </c>
      <c r="H46" s="19" t="s">
        <v>115</v>
      </c>
      <c r="I46" s="19" t="s">
        <v>140</v>
      </c>
      <c r="J46" s="21" t="s">
        <v>141</v>
      </c>
      <c r="K46" s="15" t="n">
        <v>9</v>
      </c>
      <c r="L46" s="15" t="n">
        <v>2</v>
      </c>
      <c r="M46" s="15" t="n">
        <v>2</v>
      </c>
      <c r="N46" s="15" t="n">
        <v>3</v>
      </c>
      <c r="O46" s="15" t="n">
        <v>4</v>
      </c>
      <c r="P46" s="15" t="n">
        <v>1</v>
      </c>
      <c r="Q46" s="15" t="n">
        <v>6</v>
      </c>
      <c r="R46" s="16" t="n">
        <f aca="false">ROUND(K46*0.55+L46*0.25+M46*0.2,1)</f>
        <v>5.9</v>
      </c>
      <c r="S46" s="16" t="n">
        <f aca="false">ROUND(N46*0.35+O46*0.25+P46*0.25+Q46*0.15,1)</f>
        <v>3.2</v>
      </c>
      <c r="T46" s="17" t="n">
        <f aca="false">ROUND(R46*'Como ler'!$B$5+S46*'Como ler'!$B$6,1)</f>
        <v>4.7</v>
      </c>
      <c r="U46" s="18" t="s">
        <v>62</v>
      </c>
      <c r="V46" s="18" t="s">
        <v>63</v>
      </c>
    </row>
    <row r="47" customFormat="false" ht="15" hidden="false" customHeight="false" outlineLevel="0" collapsed="false">
      <c r="A47" s="19" t="n">
        <v>43</v>
      </c>
      <c r="B47" s="20" t="s">
        <v>250</v>
      </c>
      <c r="C47" s="21" t="s">
        <v>69</v>
      </c>
      <c r="D47" s="21" t="s">
        <v>208</v>
      </c>
      <c r="E47" s="19" t="n">
        <v>314</v>
      </c>
      <c r="F47" s="19" t="n">
        <v>1</v>
      </c>
      <c r="G47" s="19" t="n">
        <v>1</v>
      </c>
      <c r="H47" s="19" t="s">
        <v>59</v>
      </c>
      <c r="I47" s="19" t="s">
        <v>167</v>
      </c>
      <c r="J47" s="21" t="s">
        <v>168</v>
      </c>
      <c r="K47" s="15" t="n">
        <v>9</v>
      </c>
      <c r="L47" s="15" t="n">
        <v>2</v>
      </c>
      <c r="M47" s="15" t="n">
        <v>2</v>
      </c>
      <c r="N47" s="15" t="n">
        <v>3</v>
      </c>
      <c r="O47" s="15" t="n">
        <v>4</v>
      </c>
      <c r="P47" s="15" t="n">
        <v>1</v>
      </c>
      <c r="Q47" s="15" t="n">
        <v>9</v>
      </c>
      <c r="R47" s="16" t="n">
        <f aca="false">ROUND(K47*0.55+L47*0.25+M47*0.2,1)</f>
        <v>5.9</v>
      </c>
      <c r="S47" s="16" t="n">
        <f aca="false">ROUND(N47*0.35+O47*0.25+P47*0.25+Q47*0.15,1)</f>
        <v>3.7</v>
      </c>
      <c r="T47" s="17" t="n">
        <f aca="false">ROUND(R47*'Como ler'!$B$5+S47*'Como ler'!$B$6,1)</f>
        <v>4.9</v>
      </c>
      <c r="U47" s="18" t="s">
        <v>62</v>
      </c>
      <c r="V47" s="18" t="s">
        <v>63</v>
      </c>
    </row>
    <row r="48" customFormat="false" ht="15" hidden="false" customHeight="false" outlineLevel="0" collapsed="false">
      <c r="A48" s="19" t="n">
        <v>44</v>
      </c>
      <c r="B48" s="20" t="s">
        <v>251</v>
      </c>
      <c r="C48" s="21" t="s">
        <v>92</v>
      </c>
      <c r="D48" s="21" t="s">
        <v>205</v>
      </c>
      <c r="E48" s="19" t="n">
        <v>306</v>
      </c>
      <c r="F48" s="19" t="n">
        <v>1</v>
      </c>
      <c r="G48" s="19" t="n">
        <v>1</v>
      </c>
      <c r="H48" s="19" t="s">
        <v>66</v>
      </c>
      <c r="I48" s="19" t="s">
        <v>140</v>
      </c>
      <c r="J48" s="21" t="s">
        <v>141</v>
      </c>
      <c r="K48" s="15" t="n">
        <v>9</v>
      </c>
      <c r="L48" s="15" t="n">
        <v>2</v>
      </c>
      <c r="M48" s="15" t="n">
        <v>2</v>
      </c>
      <c r="N48" s="15" t="n">
        <v>3</v>
      </c>
      <c r="O48" s="15" t="n">
        <v>4</v>
      </c>
      <c r="P48" s="15" t="n">
        <v>1</v>
      </c>
      <c r="Q48" s="15" t="n">
        <v>6</v>
      </c>
      <c r="R48" s="16" t="n">
        <f aca="false">ROUND(K48*0.55+L48*0.25+M48*0.2,1)</f>
        <v>5.9</v>
      </c>
      <c r="S48" s="16" t="n">
        <f aca="false">ROUND(N48*0.35+O48*0.25+P48*0.25+Q48*0.15,1)</f>
        <v>3.2</v>
      </c>
      <c r="T48" s="17" t="n">
        <f aca="false">ROUND(R48*'Como ler'!$B$5+S48*'Como ler'!$B$6,1)</f>
        <v>4.7</v>
      </c>
      <c r="U48" s="18" t="s">
        <v>62</v>
      </c>
      <c r="V48" s="18" t="s">
        <v>63</v>
      </c>
    </row>
    <row r="49" customFormat="false" ht="15" hidden="false" customHeight="false" outlineLevel="0" collapsed="false">
      <c r="A49" s="19" t="n">
        <v>45</v>
      </c>
      <c r="B49" s="20" t="s">
        <v>252</v>
      </c>
      <c r="C49" s="21" t="s">
        <v>92</v>
      </c>
      <c r="D49" s="21" t="s">
        <v>205</v>
      </c>
      <c r="E49" s="19" t="n">
        <v>289</v>
      </c>
      <c r="F49" s="19" t="n">
        <v>1</v>
      </c>
      <c r="G49" s="19" t="n">
        <v>1</v>
      </c>
      <c r="H49" s="19" t="s">
        <v>59</v>
      </c>
      <c r="I49" s="19" t="s">
        <v>140</v>
      </c>
      <c r="J49" s="21" t="s">
        <v>141</v>
      </c>
      <c r="K49" s="15" t="n">
        <v>9</v>
      </c>
      <c r="L49" s="15" t="n">
        <v>2</v>
      </c>
      <c r="M49" s="15" t="n">
        <v>2</v>
      </c>
      <c r="N49" s="15" t="n">
        <v>3</v>
      </c>
      <c r="O49" s="15" t="n">
        <v>4</v>
      </c>
      <c r="P49" s="15" t="n">
        <v>1</v>
      </c>
      <c r="Q49" s="15" t="n">
        <v>9</v>
      </c>
      <c r="R49" s="16" t="n">
        <f aca="false">ROUND(K49*0.55+L49*0.25+M49*0.2,1)</f>
        <v>5.9</v>
      </c>
      <c r="S49" s="16" t="n">
        <f aca="false">ROUND(N49*0.35+O49*0.25+P49*0.25+Q49*0.15,1)</f>
        <v>3.7</v>
      </c>
      <c r="T49" s="17" t="n">
        <f aca="false">ROUND(R49*'Como ler'!$B$5+S49*'Como ler'!$B$6,1)</f>
        <v>4.9</v>
      </c>
      <c r="U49" s="18" t="s">
        <v>62</v>
      </c>
      <c r="V49" s="18" t="s">
        <v>63</v>
      </c>
    </row>
    <row r="50" customFormat="false" ht="15" hidden="false" customHeight="false" outlineLevel="0" collapsed="false">
      <c r="A50" s="19" t="n">
        <v>46</v>
      </c>
      <c r="B50" s="20" t="s">
        <v>253</v>
      </c>
      <c r="C50" s="21" t="s">
        <v>92</v>
      </c>
      <c r="D50" s="21" t="s">
        <v>205</v>
      </c>
      <c r="E50" s="19" t="n">
        <v>284</v>
      </c>
      <c r="F50" s="19" t="n">
        <v>1</v>
      </c>
      <c r="G50" s="19" t="n">
        <v>1</v>
      </c>
      <c r="H50" s="19" t="s">
        <v>59</v>
      </c>
      <c r="I50" s="19" t="s">
        <v>140</v>
      </c>
      <c r="J50" s="21" t="s">
        <v>141</v>
      </c>
      <c r="K50" s="15" t="n">
        <v>9</v>
      </c>
      <c r="L50" s="15" t="n">
        <v>2</v>
      </c>
      <c r="M50" s="15" t="n">
        <v>2</v>
      </c>
      <c r="N50" s="15" t="n">
        <v>3</v>
      </c>
      <c r="O50" s="15" t="n">
        <v>4</v>
      </c>
      <c r="P50" s="15" t="n">
        <v>1</v>
      </c>
      <c r="Q50" s="15" t="n">
        <v>9</v>
      </c>
      <c r="R50" s="16" t="n">
        <f aca="false">ROUND(K50*0.55+L50*0.25+M50*0.2,1)</f>
        <v>5.9</v>
      </c>
      <c r="S50" s="16" t="n">
        <f aca="false">ROUND(N50*0.35+O50*0.25+P50*0.25+Q50*0.15,1)</f>
        <v>3.7</v>
      </c>
      <c r="T50" s="17" t="n">
        <f aca="false">ROUND(R50*'Como ler'!$B$5+S50*'Como ler'!$B$6,1)</f>
        <v>4.9</v>
      </c>
      <c r="U50" s="18" t="s">
        <v>62</v>
      </c>
      <c r="V50" s="18" t="s">
        <v>63</v>
      </c>
    </row>
    <row r="51" customFormat="false" ht="15" hidden="false" customHeight="false" outlineLevel="0" collapsed="false">
      <c r="A51" s="19" t="n">
        <v>47</v>
      </c>
      <c r="B51" s="20" t="s">
        <v>254</v>
      </c>
      <c r="C51" s="21" t="s">
        <v>92</v>
      </c>
      <c r="D51" s="21" t="s">
        <v>205</v>
      </c>
      <c r="E51" s="19" t="n">
        <v>283</v>
      </c>
      <c r="F51" s="19" t="n">
        <v>1</v>
      </c>
      <c r="G51" s="19" t="n">
        <v>1</v>
      </c>
      <c r="H51" s="19" t="s">
        <v>66</v>
      </c>
      <c r="I51" s="19" t="s">
        <v>167</v>
      </c>
      <c r="J51" s="21" t="s">
        <v>168</v>
      </c>
      <c r="K51" s="15" t="n">
        <v>9</v>
      </c>
      <c r="L51" s="15" t="n">
        <v>2</v>
      </c>
      <c r="M51" s="15" t="n">
        <v>2</v>
      </c>
      <c r="N51" s="15" t="n">
        <v>3</v>
      </c>
      <c r="O51" s="15" t="n">
        <v>4</v>
      </c>
      <c r="P51" s="15" t="n">
        <v>1</v>
      </c>
      <c r="Q51" s="15" t="n">
        <v>6</v>
      </c>
      <c r="R51" s="16" t="n">
        <f aca="false">ROUND(K51*0.55+L51*0.25+M51*0.2,1)</f>
        <v>5.9</v>
      </c>
      <c r="S51" s="16" t="n">
        <f aca="false">ROUND(N51*0.35+O51*0.25+P51*0.25+Q51*0.15,1)</f>
        <v>3.2</v>
      </c>
      <c r="T51" s="17" t="n">
        <f aca="false">ROUND(R51*'Como ler'!$B$5+S51*'Como ler'!$B$6,1)</f>
        <v>4.7</v>
      </c>
      <c r="U51" s="18" t="s">
        <v>62</v>
      </c>
      <c r="V51" s="18" t="s">
        <v>63</v>
      </c>
    </row>
    <row r="52" customFormat="false" ht="15" hidden="false" customHeight="false" outlineLevel="0" collapsed="false">
      <c r="A52" s="19" t="n">
        <v>48</v>
      </c>
      <c r="B52" s="20" t="s">
        <v>255</v>
      </c>
      <c r="C52" s="21" t="s">
        <v>92</v>
      </c>
      <c r="D52" s="21" t="s">
        <v>205</v>
      </c>
      <c r="E52" s="19" t="n">
        <v>278</v>
      </c>
      <c r="F52" s="19" t="n">
        <v>2</v>
      </c>
      <c r="G52" s="19" t="n">
        <v>2</v>
      </c>
      <c r="H52" s="19" t="s">
        <v>59</v>
      </c>
      <c r="I52" s="19" t="s">
        <v>60</v>
      </c>
      <c r="J52" s="21" t="s">
        <v>256</v>
      </c>
      <c r="K52" s="15" t="n">
        <v>9</v>
      </c>
      <c r="L52" s="15" t="n">
        <v>4</v>
      </c>
      <c r="M52" s="15" t="n">
        <v>4</v>
      </c>
      <c r="N52" s="15" t="n">
        <v>10</v>
      </c>
      <c r="O52" s="15" t="n">
        <v>7</v>
      </c>
      <c r="P52" s="15" t="n">
        <v>1</v>
      </c>
      <c r="Q52" s="15" t="n">
        <v>9</v>
      </c>
      <c r="R52" s="16" t="n">
        <f aca="false">ROUND(K52*0.55+L52*0.25+M52*0.2,1)</f>
        <v>6.8</v>
      </c>
      <c r="S52" s="16" t="n">
        <f aca="false">ROUND(N52*0.35+O52*0.25+P52*0.25+Q52*0.15,1)</f>
        <v>6.9</v>
      </c>
      <c r="T52" s="17" t="n">
        <f aca="false">ROUND(R52*'Como ler'!$B$5+S52*'Como ler'!$B$6,1)</f>
        <v>6.8</v>
      </c>
      <c r="U52" s="18" t="s">
        <v>62</v>
      </c>
      <c r="V52" s="18" t="s">
        <v>63</v>
      </c>
    </row>
    <row r="53" customFormat="false" ht="15" hidden="false" customHeight="false" outlineLevel="0" collapsed="false">
      <c r="A53" s="19" t="n">
        <v>49</v>
      </c>
      <c r="B53" s="20" t="s">
        <v>257</v>
      </c>
      <c r="C53" s="21" t="s">
        <v>92</v>
      </c>
      <c r="D53" s="21" t="s">
        <v>205</v>
      </c>
      <c r="E53" s="19" t="n">
        <v>276</v>
      </c>
      <c r="F53" s="19" t="n">
        <v>1</v>
      </c>
      <c r="G53" s="19" t="n">
        <v>1</v>
      </c>
      <c r="H53" s="19" t="s">
        <v>59</v>
      </c>
      <c r="I53" s="19" t="s">
        <v>167</v>
      </c>
      <c r="J53" s="21" t="s">
        <v>168</v>
      </c>
      <c r="K53" s="15" t="n">
        <v>9</v>
      </c>
      <c r="L53" s="15" t="n">
        <v>2</v>
      </c>
      <c r="M53" s="15" t="n">
        <v>2</v>
      </c>
      <c r="N53" s="15" t="n">
        <v>3</v>
      </c>
      <c r="O53" s="15" t="n">
        <v>4</v>
      </c>
      <c r="P53" s="15" t="n">
        <v>1</v>
      </c>
      <c r="Q53" s="15" t="n">
        <v>9</v>
      </c>
      <c r="R53" s="16" t="n">
        <f aca="false">ROUND(K53*0.55+L53*0.25+M53*0.2,1)</f>
        <v>5.9</v>
      </c>
      <c r="S53" s="16" t="n">
        <f aca="false">ROUND(N53*0.35+O53*0.25+P53*0.25+Q53*0.15,1)</f>
        <v>3.7</v>
      </c>
      <c r="T53" s="17" t="n">
        <f aca="false">ROUND(R53*'Como ler'!$B$5+S53*'Como ler'!$B$6,1)</f>
        <v>4.9</v>
      </c>
      <c r="U53" s="18" t="s">
        <v>62</v>
      </c>
      <c r="V53" s="18" t="s">
        <v>63</v>
      </c>
    </row>
    <row r="54" customFormat="false" ht="15" hidden="false" customHeight="false" outlineLevel="0" collapsed="false">
      <c r="A54" s="19" t="n">
        <v>50</v>
      </c>
      <c r="B54" s="20" t="s">
        <v>258</v>
      </c>
      <c r="C54" s="21" t="s">
        <v>92</v>
      </c>
      <c r="D54" s="21" t="s">
        <v>205</v>
      </c>
      <c r="E54" s="19" t="n">
        <v>276</v>
      </c>
      <c r="F54" s="19" t="n">
        <v>1</v>
      </c>
      <c r="G54" s="19" t="n">
        <v>1</v>
      </c>
      <c r="H54" s="19" t="s">
        <v>66</v>
      </c>
      <c r="I54" s="19" t="s">
        <v>167</v>
      </c>
      <c r="J54" s="21" t="s">
        <v>168</v>
      </c>
      <c r="K54" s="15" t="n">
        <v>9</v>
      </c>
      <c r="L54" s="15" t="n">
        <v>2</v>
      </c>
      <c r="M54" s="15" t="n">
        <v>2</v>
      </c>
      <c r="N54" s="15" t="n">
        <v>3</v>
      </c>
      <c r="O54" s="15" t="n">
        <v>4</v>
      </c>
      <c r="P54" s="15" t="n">
        <v>1</v>
      </c>
      <c r="Q54" s="15" t="n">
        <v>6</v>
      </c>
      <c r="R54" s="16" t="n">
        <f aca="false">ROUND(K54*0.55+L54*0.25+M54*0.2,1)</f>
        <v>5.9</v>
      </c>
      <c r="S54" s="16" t="n">
        <f aca="false">ROUND(N54*0.35+O54*0.25+P54*0.25+Q54*0.15,1)</f>
        <v>3.2</v>
      </c>
      <c r="T54" s="17" t="n">
        <f aca="false">ROUND(R54*'Como ler'!$B$5+S54*'Como ler'!$B$6,1)</f>
        <v>4.7</v>
      </c>
      <c r="U54" s="18" t="s">
        <v>62</v>
      </c>
      <c r="V54" s="18" t="s">
        <v>63</v>
      </c>
    </row>
    <row r="55" customFormat="false" ht="15" hidden="false" customHeight="false" outlineLevel="0" collapsed="false">
      <c r="A55" s="19" t="n">
        <v>51</v>
      </c>
      <c r="B55" s="20" t="s">
        <v>259</v>
      </c>
      <c r="C55" s="21" t="s">
        <v>92</v>
      </c>
      <c r="D55" s="21" t="s">
        <v>205</v>
      </c>
      <c r="E55" s="19" t="n">
        <v>270</v>
      </c>
      <c r="F55" s="19" t="n">
        <v>2</v>
      </c>
      <c r="G55" s="19" t="n">
        <v>2</v>
      </c>
      <c r="H55" s="19" t="s">
        <v>66</v>
      </c>
      <c r="I55" s="19" t="s">
        <v>140</v>
      </c>
      <c r="J55" s="21" t="s">
        <v>143</v>
      </c>
      <c r="K55" s="15" t="n">
        <v>9</v>
      </c>
      <c r="L55" s="15" t="n">
        <v>4</v>
      </c>
      <c r="M55" s="15" t="n">
        <v>4</v>
      </c>
      <c r="N55" s="15" t="n">
        <v>3</v>
      </c>
      <c r="O55" s="15" t="n">
        <v>4</v>
      </c>
      <c r="P55" s="15" t="n">
        <v>1</v>
      </c>
      <c r="Q55" s="15" t="n">
        <v>6</v>
      </c>
      <c r="R55" s="16" t="n">
        <f aca="false">ROUND(K55*0.55+L55*0.25+M55*0.2,1)</f>
        <v>6.8</v>
      </c>
      <c r="S55" s="16" t="n">
        <f aca="false">ROUND(N55*0.35+O55*0.25+P55*0.25+Q55*0.15,1)</f>
        <v>3.2</v>
      </c>
      <c r="T55" s="17" t="n">
        <f aca="false">ROUND(R55*'Como ler'!$B$5+S55*'Como ler'!$B$6,1)</f>
        <v>5.2</v>
      </c>
      <c r="U55" s="18" t="s">
        <v>62</v>
      </c>
      <c r="V55" s="18" t="s">
        <v>63</v>
      </c>
    </row>
    <row r="56" customFormat="false" ht="15" hidden="false" customHeight="false" outlineLevel="0" collapsed="false">
      <c r="A56" s="19" t="n">
        <v>52</v>
      </c>
      <c r="B56" s="20" t="s">
        <v>76</v>
      </c>
      <c r="C56" s="21" t="s">
        <v>65</v>
      </c>
      <c r="D56" s="21" t="s">
        <v>58</v>
      </c>
      <c r="E56" s="19" t="n">
        <v>266</v>
      </c>
      <c r="F56" s="19" t="n">
        <v>3</v>
      </c>
      <c r="G56" s="19" t="n">
        <v>5</v>
      </c>
      <c r="H56" s="19" t="s">
        <v>66</v>
      </c>
      <c r="I56" s="19" t="s">
        <v>60</v>
      </c>
      <c r="J56" s="21" t="s">
        <v>77</v>
      </c>
      <c r="K56" s="15" t="n">
        <v>9</v>
      </c>
      <c r="L56" s="15" t="n">
        <v>6</v>
      </c>
      <c r="M56" s="15" t="n">
        <v>6</v>
      </c>
      <c r="N56" s="15" t="n">
        <v>10</v>
      </c>
      <c r="O56" s="15" t="n">
        <v>7</v>
      </c>
      <c r="P56" s="15" t="n">
        <v>10</v>
      </c>
      <c r="Q56" s="15" t="n">
        <v>6</v>
      </c>
      <c r="R56" s="16" t="n">
        <f aca="false">ROUND(K56*0.55+L56*0.25+M56*0.2,1)</f>
        <v>7.7</v>
      </c>
      <c r="S56" s="16" t="n">
        <f aca="false">ROUND(N56*0.35+O56*0.25+P56*0.25+Q56*0.15,1)</f>
        <v>8.7</v>
      </c>
      <c r="T56" s="17" t="n">
        <f aca="false">ROUND(R56*'Como ler'!$B$5+S56*'Como ler'!$B$6,1)</f>
        <v>8.2</v>
      </c>
      <c r="U56" s="18" t="s">
        <v>62</v>
      </c>
      <c r="V56" s="18" t="s">
        <v>63</v>
      </c>
    </row>
    <row r="57" customFormat="false" ht="15" hidden="false" customHeight="false" outlineLevel="0" collapsed="false">
      <c r="A57" s="19" t="n">
        <v>53</v>
      </c>
      <c r="B57" s="20" t="s">
        <v>260</v>
      </c>
      <c r="C57" s="21" t="s">
        <v>92</v>
      </c>
      <c r="D57" s="21" t="s">
        <v>205</v>
      </c>
      <c r="E57" s="19" t="n">
        <v>266</v>
      </c>
      <c r="F57" s="19" t="n">
        <v>2</v>
      </c>
      <c r="G57" s="19" t="n">
        <v>2</v>
      </c>
      <c r="H57" s="19" t="s">
        <v>59</v>
      </c>
      <c r="I57" s="19" t="s">
        <v>167</v>
      </c>
      <c r="J57" s="21" t="s">
        <v>168</v>
      </c>
      <c r="K57" s="15" t="n">
        <v>9</v>
      </c>
      <c r="L57" s="15" t="n">
        <v>4</v>
      </c>
      <c r="M57" s="15" t="n">
        <v>4</v>
      </c>
      <c r="N57" s="15" t="n">
        <v>3</v>
      </c>
      <c r="O57" s="15" t="n">
        <v>4</v>
      </c>
      <c r="P57" s="15" t="n">
        <v>1</v>
      </c>
      <c r="Q57" s="15" t="n">
        <v>9</v>
      </c>
      <c r="R57" s="16" t="n">
        <f aca="false">ROUND(K57*0.55+L57*0.25+M57*0.2,1)</f>
        <v>6.8</v>
      </c>
      <c r="S57" s="16" t="n">
        <f aca="false">ROUND(N57*0.35+O57*0.25+P57*0.25+Q57*0.15,1)</f>
        <v>3.7</v>
      </c>
      <c r="T57" s="17" t="n">
        <f aca="false">ROUND(R57*'Como ler'!$B$5+S57*'Como ler'!$B$6,1)</f>
        <v>5.4</v>
      </c>
      <c r="U57" s="18" t="s">
        <v>62</v>
      </c>
      <c r="V57" s="18" t="s">
        <v>63</v>
      </c>
    </row>
    <row r="58" customFormat="false" ht="15" hidden="false" customHeight="false" outlineLevel="0" collapsed="false">
      <c r="A58" s="19" t="n">
        <v>54</v>
      </c>
      <c r="B58" s="20" t="s">
        <v>261</v>
      </c>
      <c r="C58" s="21" t="s">
        <v>92</v>
      </c>
      <c r="D58" s="21" t="s">
        <v>205</v>
      </c>
      <c r="E58" s="19" t="n">
        <v>263</v>
      </c>
      <c r="F58" s="19" t="n">
        <v>1</v>
      </c>
      <c r="G58" s="19" t="n">
        <v>1</v>
      </c>
      <c r="H58" s="19" t="s">
        <v>66</v>
      </c>
      <c r="I58" s="19" t="s">
        <v>140</v>
      </c>
      <c r="J58" s="21" t="s">
        <v>141</v>
      </c>
      <c r="K58" s="15" t="n">
        <v>9</v>
      </c>
      <c r="L58" s="15" t="n">
        <v>2</v>
      </c>
      <c r="M58" s="15" t="n">
        <v>2</v>
      </c>
      <c r="N58" s="15" t="n">
        <v>3</v>
      </c>
      <c r="O58" s="15" t="n">
        <v>4</v>
      </c>
      <c r="P58" s="15" t="n">
        <v>1</v>
      </c>
      <c r="Q58" s="15" t="n">
        <v>6</v>
      </c>
      <c r="R58" s="16" t="n">
        <f aca="false">ROUND(K58*0.55+L58*0.25+M58*0.2,1)</f>
        <v>5.9</v>
      </c>
      <c r="S58" s="16" t="n">
        <f aca="false">ROUND(N58*0.35+O58*0.25+P58*0.25+Q58*0.15,1)</f>
        <v>3.2</v>
      </c>
      <c r="T58" s="17" t="n">
        <f aca="false">ROUND(R58*'Como ler'!$B$5+S58*'Como ler'!$B$6,1)</f>
        <v>4.7</v>
      </c>
      <c r="U58" s="18" t="s">
        <v>62</v>
      </c>
      <c r="V58" s="18" t="s">
        <v>63</v>
      </c>
    </row>
    <row r="59" customFormat="false" ht="15" hidden="false" customHeight="false" outlineLevel="0" collapsed="false">
      <c r="A59" s="19" t="n">
        <v>55</v>
      </c>
      <c r="B59" s="20" t="s">
        <v>94</v>
      </c>
      <c r="C59" s="21" t="s">
        <v>95</v>
      </c>
      <c r="D59" s="21" t="s">
        <v>58</v>
      </c>
      <c r="E59" s="19" t="n">
        <v>255</v>
      </c>
      <c r="F59" s="19" t="n">
        <v>1</v>
      </c>
      <c r="G59" s="19" t="n">
        <v>1</v>
      </c>
      <c r="H59" s="19" t="s">
        <v>59</v>
      </c>
      <c r="I59" s="19" t="s">
        <v>60</v>
      </c>
      <c r="J59" s="21" t="s">
        <v>96</v>
      </c>
      <c r="K59" s="15" t="n">
        <v>9</v>
      </c>
      <c r="L59" s="15" t="n">
        <v>2</v>
      </c>
      <c r="M59" s="15" t="n">
        <v>2</v>
      </c>
      <c r="N59" s="15" t="n">
        <v>10</v>
      </c>
      <c r="O59" s="15" t="n">
        <v>7</v>
      </c>
      <c r="P59" s="15" t="n">
        <v>10</v>
      </c>
      <c r="Q59" s="15" t="n">
        <v>9</v>
      </c>
      <c r="R59" s="16" t="n">
        <f aca="false">ROUND(K59*0.55+L59*0.25+M59*0.2,1)</f>
        <v>5.9</v>
      </c>
      <c r="S59" s="16" t="n">
        <f aca="false">ROUND(N59*0.35+O59*0.25+P59*0.25+Q59*0.15,1)</f>
        <v>9.1</v>
      </c>
      <c r="T59" s="17" t="n">
        <f aca="false">ROUND(R59*'Como ler'!$B$5+S59*'Como ler'!$B$6,1)</f>
        <v>7.3</v>
      </c>
      <c r="U59" s="18" t="s">
        <v>62</v>
      </c>
      <c r="V59" s="18" t="s">
        <v>63</v>
      </c>
    </row>
    <row r="60" customFormat="false" ht="15" hidden="false" customHeight="false" outlineLevel="0" collapsed="false">
      <c r="A60" s="19" t="n">
        <v>56</v>
      </c>
      <c r="B60" s="20" t="s">
        <v>262</v>
      </c>
      <c r="C60" s="21" t="s">
        <v>92</v>
      </c>
      <c r="D60" s="21" t="s">
        <v>233</v>
      </c>
      <c r="E60" s="19" t="n">
        <v>252</v>
      </c>
      <c r="F60" s="19" t="n">
        <v>3</v>
      </c>
      <c r="G60" s="19" t="n">
        <v>3</v>
      </c>
      <c r="H60" s="19" t="s">
        <v>59</v>
      </c>
      <c r="I60" s="19" t="s">
        <v>167</v>
      </c>
      <c r="J60" s="21" t="s">
        <v>168</v>
      </c>
      <c r="K60" s="15" t="n">
        <v>9</v>
      </c>
      <c r="L60" s="15" t="n">
        <v>6</v>
      </c>
      <c r="M60" s="15" t="n">
        <v>4</v>
      </c>
      <c r="N60" s="15" t="n">
        <v>3</v>
      </c>
      <c r="O60" s="15" t="n">
        <v>4</v>
      </c>
      <c r="P60" s="15" t="n">
        <v>3</v>
      </c>
      <c r="Q60" s="15" t="n">
        <v>9</v>
      </c>
      <c r="R60" s="16" t="n">
        <f aca="false">ROUND(K60*0.55+L60*0.25+M60*0.2,1)</f>
        <v>7.3</v>
      </c>
      <c r="S60" s="16" t="n">
        <f aca="false">ROUND(N60*0.35+O60*0.25+P60*0.25+Q60*0.15,1)</f>
        <v>4.2</v>
      </c>
      <c r="T60" s="17" t="n">
        <f aca="false">ROUND(R60*'Como ler'!$B$5+S60*'Como ler'!$B$6,1)</f>
        <v>5.9</v>
      </c>
      <c r="U60" s="18" t="s">
        <v>62</v>
      </c>
      <c r="V60" s="18" t="s">
        <v>63</v>
      </c>
    </row>
    <row r="61" customFormat="false" ht="15" hidden="false" customHeight="false" outlineLevel="0" collapsed="false">
      <c r="A61" s="19" t="n">
        <v>57</v>
      </c>
      <c r="B61" s="20" t="s">
        <v>263</v>
      </c>
      <c r="C61" s="21" t="s">
        <v>92</v>
      </c>
      <c r="D61" s="21" t="s">
        <v>205</v>
      </c>
      <c r="E61" s="19" t="n">
        <v>248</v>
      </c>
      <c r="F61" s="19" t="n">
        <v>1</v>
      </c>
      <c r="G61" s="19" t="n">
        <v>1</v>
      </c>
      <c r="H61" s="19" t="s">
        <v>59</v>
      </c>
      <c r="I61" s="19" t="s">
        <v>167</v>
      </c>
      <c r="J61" s="21" t="s">
        <v>168</v>
      </c>
      <c r="K61" s="15" t="n">
        <v>9</v>
      </c>
      <c r="L61" s="15" t="n">
        <v>2</v>
      </c>
      <c r="M61" s="15" t="n">
        <v>2</v>
      </c>
      <c r="N61" s="15" t="n">
        <v>3</v>
      </c>
      <c r="O61" s="15" t="n">
        <v>4</v>
      </c>
      <c r="P61" s="15" t="n">
        <v>1</v>
      </c>
      <c r="Q61" s="15" t="n">
        <v>9</v>
      </c>
      <c r="R61" s="16" t="n">
        <f aca="false">ROUND(K61*0.55+L61*0.25+M61*0.2,1)</f>
        <v>5.9</v>
      </c>
      <c r="S61" s="16" t="n">
        <f aca="false">ROUND(N61*0.35+O61*0.25+P61*0.25+Q61*0.15,1)</f>
        <v>3.7</v>
      </c>
      <c r="T61" s="17" t="n">
        <f aca="false">ROUND(R61*'Como ler'!$B$5+S61*'Como ler'!$B$6,1)</f>
        <v>4.9</v>
      </c>
      <c r="U61" s="18" t="s">
        <v>62</v>
      </c>
      <c r="V61" s="18" t="s">
        <v>63</v>
      </c>
    </row>
    <row r="62" customFormat="false" ht="15" hidden="false" customHeight="false" outlineLevel="0" collapsed="false">
      <c r="A62" s="19" t="n">
        <v>58</v>
      </c>
      <c r="B62" s="20" t="s">
        <v>264</v>
      </c>
      <c r="C62" s="21" t="s">
        <v>92</v>
      </c>
      <c r="D62" s="21" t="s">
        <v>205</v>
      </c>
      <c r="E62" s="19" t="n">
        <v>242</v>
      </c>
      <c r="F62" s="19" t="n">
        <v>2</v>
      </c>
      <c r="G62" s="19" t="n">
        <v>3</v>
      </c>
      <c r="H62" s="19" t="s">
        <v>66</v>
      </c>
      <c r="I62" s="19" t="s">
        <v>210</v>
      </c>
      <c r="J62" s="21" t="s">
        <v>211</v>
      </c>
      <c r="K62" s="15" t="n">
        <v>9</v>
      </c>
      <c r="L62" s="15" t="n">
        <v>4</v>
      </c>
      <c r="M62" s="15" t="n">
        <v>4</v>
      </c>
      <c r="N62" s="15" t="n">
        <v>3</v>
      </c>
      <c r="O62" s="15" t="n">
        <v>4</v>
      </c>
      <c r="P62" s="15" t="n">
        <v>1</v>
      </c>
      <c r="Q62" s="15" t="n">
        <v>6</v>
      </c>
      <c r="R62" s="16" t="n">
        <f aca="false">ROUND(K62*0.55+L62*0.25+M62*0.2,1)</f>
        <v>6.8</v>
      </c>
      <c r="S62" s="16" t="n">
        <f aca="false">ROUND(N62*0.35+O62*0.25+P62*0.25+Q62*0.15,1)</f>
        <v>3.2</v>
      </c>
      <c r="T62" s="17" t="n">
        <f aca="false">ROUND(R62*'Como ler'!$B$5+S62*'Como ler'!$B$6,1)</f>
        <v>5.2</v>
      </c>
      <c r="U62" s="18" t="s">
        <v>62</v>
      </c>
      <c r="V62" s="22" t="s">
        <v>211</v>
      </c>
    </row>
    <row r="63" customFormat="false" ht="15" hidden="false" customHeight="false" outlineLevel="0" collapsed="false">
      <c r="A63" s="19" t="n">
        <v>59</v>
      </c>
      <c r="B63" s="20" t="s">
        <v>265</v>
      </c>
      <c r="C63" s="21" t="s">
        <v>92</v>
      </c>
      <c r="D63" s="21" t="s">
        <v>205</v>
      </c>
      <c r="E63" s="19" t="n">
        <v>239</v>
      </c>
      <c r="F63" s="19" t="n">
        <v>1</v>
      </c>
      <c r="G63" s="19" t="n">
        <v>1</v>
      </c>
      <c r="H63" s="19" t="s">
        <v>66</v>
      </c>
      <c r="I63" s="19" t="s">
        <v>140</v>
      </c>
      <c r="J63" s="21" t="s">
        <v>141</v>
      </c>
      <c r="K63" s="15" t="n">
        <v>9</v>
      </c>
      <c r="L63" s="15" t="n">
        <v>2</v>
      </c>
      <c r="M63" s="15" t="n">
        <v>2</v>
      </c>
      <c r="N63" s="15" t="n">
        <v>3</v>
      </c>
      <c r="O63" s="15" t="n">
        <v>4</v>
      </c>
      <c r="P63" s="15" t="n">
        <v>1</v>
      </c>
      <c r="Q63" s="15" t="n">
        <v>6</v>
      </c>
      <c r="R63" s="16" t="n">
        <f aca="false">ROUND(K63*0.55+L63*0.25+M63*0.2,1)</f>
        <v>5.9</v>
      </c>
      <c r="S63" s="16" t="n">
        <f aca="false">ROUND(N63*0.35+O63*0.25+P63*0.25+Q63*0.15,1)</f>
        <v>3.2</v>
      </c>
      <c r="T63" s="17" t="n">
        <f aca="false">ROUND(R63*'Como ler'!$B$5+S63*'Como ler'!$B$6,1)</f>
        <v>4.7</v>
      </c>
      <c r="U63" s="18" t="s">
        <v>62</v>
      </c>
      <c r="V63" s="18" t="s">
        <v>63</v>
      </c>
    </row>
    <row r="64" customFormat="false" ht="15" hidden="false" customHeight="false" outlineLevel="0" collapsed="false">
      <c r="A64" s="19" t="n">
        <v>60</v>
      </c>
      <c r="B64" s="20" t="s">
        <v>266</v>
      </c>
      <c r="C64" s="21" t="s">
        <v>92</v>
      </c>
      <c r="D64" s="21" t="s">
        <v>205</v>
      </c>
      <c r="E64" s="19" t="n">
        <v>234</v>
      </c>
      <c r="F64" s="19" t="n">
        <v>2</v>
      </c>
      <c r="G64" s="19" t="n">
        <v>2</v>
      </c>
      <c r="H64" s="19" t="s">
        <v>59</v>
      </c>
      <c r="I64" s="19" t="s">
        <v>60</v>
      </c>
      <c r="J64" s="21" t="s">
        <v>267</v>
      </c>
      <c r="K64" s="15" t="n">
        <v>9</v>
      </c>
      <c r="L64" s="15" t="n">
        <v>4</v>
      </c>
      <c r="M64" s="15" t="n">
        <v>4</v>
      </c>
      <c r="N64" s="15" t="n">
        <v>10</v>
      </c>
      <c r="O64" s="15" t="n">
        <v>7</v>
      </c>
      <c r="P64" s="15" t="n">
        <v>1</v>
      </c>
      <c r="Q64" s="15" t="n">
        <v>9</v>
      </c>
      <c r="R64" s="16" t="n">
        <f aca="false">ROUND(K64*0.55+L64*0.25+M64*0.2,1)</f>
        <v>6.8</v>
      </c>
      <c r="S64" s="16" t="n">
        <f aca="false">ROUND(N64*0.35+O64*0.25+P64*0.25+Q64*0.15,1)</f>
        <v>6.9</v>
      </c>
      <c r="T64" s="17" t="n">
        <f aca="false">ROUND(R64*'Como ler'!$B$5+S64*'Como ler'!$B$6,1)</f>
        <v>6.8</v>
      </c>
      <c r="U64" s="18" t="s">
        <v>62</v>
      </c>
      <c r="V64" s="18" t="s">
        <v>63</v>
      </c>
    </row>
    <row r="65" customFormat="false" ht="15" hidden="false" customHeight="false" outlineLevel="0" collapsed="false">
      <c r="A65" s="19" t="n">
        <v>61</v>
      </c>
      <c r="B65" s="20" t="s">
        <v>268</v>
      </c>
      <c r="C65" s="21" t="s">
        <v>69</v>
      </c>
      <c r="D65" s="21" t="s">
        <v>205</v>
      </c>
      <c r="E65" s="19" t="n">
        <v>227</v>
      </c>
      <c r="F65" s="19" t="n">
        <v>3</v>
      </c>
      <c r="G65" s="19" t="n">
        <v>5</v>
      </c>
      <c r="H65" s="19" t="s">
        <v>66</v>
      </c>
      <c r="I65" s="19" t="s">
        <v>167</v>
      </c>
      <c r="J65" s="21" t="s">
        <v>168</v>
      </c>
      <c r="K65" s="15" t="n">
        <v>9</v>
      </c>
      <c r="L65" s="15" t="n">
        <v>6</v>
      </c>
      <c r="M65" s="15" t="n">
        <v>6</v>
      </c>
      <c r="N65" s="15" t="n">
        <v>3</v>
      </c>
      <c r="O65" s="15" t="n">
        <v>4</v>
      </c>
      <c r="P65" s="15" t="n">
        <v>1</v>
      </c>
      <c r="Q65" s="15" t="n">
        <v>6</v>
      </c>
      <c r="R65" s="16" t="n">
        <f aca="false">ROUND(K65*0.55+L65*0.25+M65*0.2,1)</f>
        <v>7.7</v>
      </c>
      <c r="S65" s="16" t="n">
        <f aca="false">ROUND(N65*0.35+O65*0.25+P65*0.25+Q65*0.15,1)</f>
        <v>3.2</v>
      </c>
      <c r="T65" s="17" t="n">
        <f aca="false">ROUND(R65*'Como ler'!$B$5+S65*'Como ler'!$B$6,1)</f>
        <v>5.7</v>
      </c>
      <c r="U65" s="18" t="s">
        <v>62</v>
      </c>
      <c r="V65" s="18" t="s">
        <v>63</v>
      </c>
    </row>
    <row r="66" customFormat="false" ht="15" hidden="false" customHeight="false" outlineLevel="0" collapsed="false">
      <c r="A66" s="19" t="n">
        <v>62</v>
      </c>
      <c r="B66" s="20" t="s">
        <v>269</v>
      </c>
      <c r="C66" s="21" t="s">
        <v>92</v>
      </c>
      <c r="D66" s="21" t="s">
        <v>205</v>
      </c>
      <c r="E66" s="19" t="n">
        <v>224</v>
      </c>
      <c r="F66" s="19" t="n">
        <v>3</v>
      </c>
      <c r="G66" s="19" t="n">
        <v>3</v>
      </c>
      <c r="H66" s="19" t="s">
        <v>66</v>
      </c>
      <c r="I66" s="19" t="s">
        <v>60</v>
      </c>
      <c r="J66" s="21" t="s">
        <v>270</v>
      </c>
      <c r="K66" s="15" t="n">
        <v>9</v>
      </c>
      <c r="L66" s="15" t="n">
        <v>6</v>
      </c>
      <c r="M66" s="15" t="n">
        <v>4</v>
      </c>
      <c r="N66" s="15" t="n">
        <v>10</v>
      </c>
      <c r="O66" s="15" t="n">
        <v>7</v>
      </c>
      <c r="P66" s="15" t="n">
        <v>1</v>
      </c>
      <c r="Q66" s="15" t="n">
        <v>6</v>
      </c>
      <c r="R66" s="16" t="n">
        <f aca="false">ROUND(K66*0.55+L66*0.25+M66*0.2,1)</f>
        <v>7.3</v>
      </c>
      <c r="S66" s="16" t="n">
        <f aca="false">ROUND(N66*0.35+O66*0.25+P66*0.25+Q66*0.15,1)</f>
        <v>6.4</v>
      </c>
      <c r="T66" s="17" t="n">
        <f aca="false">ROUND(R66*'Como ler'!$B$5+S66*'Como ler'!$B$6,1)</f>
        <v>6.9</v>
      </c>
      <c r="U66" s="18" t="s">
        <v>62</v>
      </c>
      <c r="V66" s="18" t="s">
        <v>63</v>
      </c>
    </row>
    <row r="67" customFormat="false" ht="15" hidden="false" customHeight="false" outlineLevel="0" collapsed="false">
      <c r="A67" s="19" t="n">
        <v>63</v>
      </c>
      <c r="B67" s="20" t="s">
        <v>271</v>
      </c>
      <c r="C67" s="21" t="s">
        <v>92</v>
      </c>
      <c r="D67" s="21" t="s">
        <v>205</v>
      </c>
      <c r="E67" s="19" t="n">
        <v>220</v>
      </c>
      <c r="F67" s="19" t="n">
        <v>1</v>
      </c>
      <c r="G67" s="19" t="n">
        <v>1</v>
      </c>
      <c r="H67" s="19" t="s">
        <v>59</v>
      </c>
      <c r="I67" s="19" t="s">
        <v>167</v>
      </c>
      <c r="J67" s="21" t="s">
        <v>168</v>
      </c>
      <c r="K67" s="15" t="n">
        <v>9</v>
      </c>
      <c r="L67" s="15" t="n">
        <v>2</v>
      </c>
      <c r="M67" s="15" t="n">
        <v>2</v>
      </c>
      <c r="N67" s="15" t="n">
        <v>3</v>
      </c>
      <c r="O67" s="15" t="n">
        <v>4</v>
      </c>
      <c r="P67" s="15" t="n">
        <v>1</v>
      </c>
      <c r="Q67" s="15" t="n">
        <v>9</v>
      </c>
      <c r="R67" s="16" t="n">
        <f aca="false">ROUND(K67*0.55+L67*0.25+M67*0.2,1)</f>
        <v>5.9</v>
      </c>
      <c r="S67" s="16" t="n">
        <f aca="false">ROUND(N67*0.35+O67*0.25+P67*0.25+Q67*0.15,1)</f>
        <v>3.7</v>
      </c>
      <c r="T67" s="17" t="n">
        <f aca="false">ROUND(R67*'Como ler'!$B$5+S67*'Como ler'!$B$6,1)</f>
        <v>4.9</v>
      </c>
      <c r="U67" s="18" t="s">
        <v>62</v>
      </c>
      <c r="V67" s="18" t="s">
        <v>63</v>
      </c>
    </row>
    <row r="68" customFormat="false" ht="15" hidden="false" customHeight="false" outlineLevel="0" collapsed="false">
      <c r="A68" s="19" t="n">
        <v>64</v>
      </c>
      <c r="B68" s="20" t="s">
        <v>272</v>
      </c>
      <c r="C68" s="21" t="s">
        <v>92</v>
      </c>
      <c r="D68" s="21" t="s">
        <v>205</v>
      </c>
      <c r="E68" s="19" t="n">
        <v>212</v>
      </c>
      <c r="F68" s="19" t="n">
        <v>1</v>
      </c>
      <c r="G68" s="19" t="n">
        <v>1</v>
      </c>
      <c r="H68" s="19" t="s">
        <v>59</v>
      </c>
      <c r="I68" s="19" t="s">
        <v>167</v>
      </c>
      <c r="J68" s="21" t="s">
        <v>168</v>
      </c>
      <c r="K68" s="15" t="n">
        <v>9</v>
      </c>
      <c r="L68" s="15" t="n">
        <v>2</v>
      </c>
      <c r="M68" s="15" t="n">
        <v>2</v>
      </c>
      <c r="N68" s="15" t="n">
        <v>3</v>
      </c>
      <c r="O68" s="15" t="n">
        <v>4</v>
      </c>
      <c r="P68" s="15" t="n">
        <v>1</v>
      </c>
      <c r="Q68" s="15" t="n">
        <v>9</v>
      </c>
      <c r="R68" s="16" t="n">
        <f aca="false">ROUND(K68*0.55+L68*0.25+M68*0.2,1)</f>
        <v>5.9</v>
      </c>
      <c r="S68" s="16" t="n">
        <f aca="false">ROUND(N68*0.35+O68*0.25+P68*0.25+Q68*0.15,1)</f>
        <v>3.7</v>
      </c>
      <c r="T68" s="17" t="n">
        <f aca="false">ROUND(R68*'Como ler'!$B$5+S68*'Como ler'!$B$6,1)</f>
        <v>4.9</v>
      </c>
      <c r="U68" s="18" t="s">
        <v>62</v>
      </c>
      <c r="V68" s="18" t="s">
        <v>63</v>
      </c>
    </row>
    <row r="69" customFormat="false" ht="15" hidden="false" customHeight="false" outlineLevel="0" collapsed="false">
      <c r="A69" s="19" t="n">
        <v>65</v>
      </c>
      <c r="B69" s="20" t="s">
        <v>273</v>
      </c>
      <c r="C69" s="21" t="s">
        <v>92</v>
      </c>
      <c r="D69" s="21" t="s">
        <v>205</v>
      </c>
      <c r="E69" s="19" t="n">
        <v>210</v>
      </c>
      <c r="F69" s="19" t="n">
        <v>1</v>
      </c>
      <c r="G69" s="19" t="n">
        <v>1</v>
      </c>
      <c r="H69" s="19" t="s">
        <v>66</v>
      </c>
      <c r="I69" s="19" t="s">
        <v>167</v>
      </c>
      <c r="J69" s="21" t="s">
        <v>168</v>
      </c>
      <c r="K69" s="15" t="n">
        <v>9</v>
      </c>
      <c r="L69" s="15" t="n">
        <v>2</v>
      </c>
      <c r="M69" s="15" t="n">
        <v>2</v>
      </c>
      <c r="N69" s="15" t="n">
        <v>3</v>
      </c>
      <c r="O69" s="15" t="n">
        <v>4</v>
      </c>
      <c r="P69" s="15" t="n">
        <v>1</v>
      </c>
      <c r="Q69" s="15" t="n">
        <v>6</v>
      </c>
      <c r="R69" s="16" t="n">
        <f aca="false">ROUND(K69*0.55+L69*0.25+M69*0.2,1)</f>
        <v>5.9</v>
      </c>
      <c r="S69" s="16" t="n">
        <f aca="false">ROUND(N69*0.35+O69*0.25+P69*0.25+Q69*0.15,1)</f>
        <v>3.2</v>
      </c>
      <c r="T69" s="17" t="n">
        <f aca="false">ROUND(R69*'Como ler'!$B$5+S69*'Como ler'!$B$6,1)</f>
        <v>4.7</v>
      </c>
      <c r="U69" s="18" t="s">
        <v>62</v>
      </c>
      <c r="V69" s="18" t="s">
        <v>63</v>
      </c>
    </row>
    <row r="70" customFormat="false" ht="15" hidden="false" customHeight="false" outlineLevel="0" collapsed="false">
      <c r="A70" s="19" t="n">
        <v>66</v>
      </c>
      <c r="B70" s="20" t="s">
        <v>274</v>
      </c>
      <c r="C70" s="21" t="s">
        <v>92</v>
      </c>
      <c r="D70" s="21" t="s">
        <v>205</v>
      </c>
      <c r="E70" s="19" t="n">
        <v>197</v>
      </c>
      <c r="F70" s="19" t="n">
        <v>1</v>
      </c>
      <c r="G70" s="19" t="n">
        <v>1</v>
      </c>
      <c r="H70" s="19" t="s">
        <v>66</v>
      </c>
      <c r="I70" s="19" t="s">
        <v>140</v>
      </c>
      <c r="J70" s="21" t="s">
        <v>141</v>
      </c>
      <c r="K70" s="15" t="n">
        <v>9</v>
      </c>
      <c r="L70" s="15" t="n">
        <v>2</v>
      </c>
      <c r="M70" s="15" t="n">
        <v>2</v>
      </c>
      <c r="N70" s="15" t="n">
        <v>3</v>
      </c>
      <c r="O70" s="15" t="n">
        <v>4</v>
      </c>
      <c r="P70" s="15" t="n">
        <v>1</v>
      </c>
      <c r="Q70" s="15" t="n">
        <v>6</v>
      </c>
      <c r="R70" s="16" t="n">
        <f aca="false">ROUND(K70*0.55+L70*0.25+M70*0.2,1)</f>
        <v>5.9</v>
      </c>
      <c r="S70" s="16" t="n">
        <f aca="false">ROUND(N70*0.35+O70*0.25+P70*0.25+Q70*0.15,1)</f>
        <v>3.2</v>
      </c>
      <c r="T70" s="17" t="n">
        <f aca="false">ROUND(R70*'Como ler'!$B$5+S70*'Como ler'!$B$6,1)</f>
        <v>4.7</v>
      </c>
      <c r="U70" s="18" t="s">
        <v>62</v>
      </c>
      <c r="V70" s="18" t="s">
        <v>63</v>
      </c>
    </row>
    <row r="71" customFormat="false" ht="15" hidden="false" customHeight="false" outlineLevel="0" collapsed="false">
      <c r="A71" s="19" t="n">
        <v>67</v>
      </c>
      <c r="B71" s="20" t="s">
        <v>275</v>
      </c>
      <c r="C71" s="21" t="s">
        <v>92</v>
      </c>
      <c r="D71" s="21" t="s">
        <v>205</v>
      </c>
      <c r="E71" s="19" t="n">
        <v>196</v>
      </c>
      <c r="F71" s="19" t="n">
        <v>1</v>
      </c>
      <c r="G71" s="19" t="n">
        <v>1</v>
      </c>
      <c r="H71" s="19" t="s">
        <v>66</v>
      </c>
      <c r="I71" s="19" t="s">
        <v>167</v>
      </c>
      <c r="J71" s="21" t="s">
        <v>168</v>
      </c>
      <c r="K71" s="15" t="n">
        <v>9</v>
      </c>
      <c r="L71" s="15" t="n">
        <v>2</v>
      </c>
      <c r="M71" s="15" t="n">
        <v>2</v>
      </c>
      <c r="N71" s="15" t="n">
        <v>3</v>
      </c>
      <c r="O71" s="15" t="n">
        <v>4</v>
      </c>
      <c r="P71" s="15" t="n">
        <v>1</v>
      </c>
      <c r="Q71" s="15" t="n">
        <v>6</v>
      </c>
      <c r="R71" s="16" t="n">
        <f aca="false">ROUND(K71*0.55+L71*0.25+M71*0.2,1)</f>
        <v>5.9</v>
      </c>
      <c r="S71" s="16" t="n">
        <f aca="false">ROUND(N71*0.35+O71*0.25+P71*0.25+Q71*0.15,1)</f>
        <v>3.2</v>
      </c>
      <c r="T71" s="17" t="n">
        <f aca="false">ROUND(R71*'Como ler'!$B$5+S71*'Como ler'!$B$6,1)</f>
        <v>4.7</v>
      </c>
      <c r="U71" s="18" t="s">
        <v>62</v>
      </c>
      <c r="V71" s="18" t="s">
        <v>63</v>
      </c>
    </row>
    <row r="72" customFormat="false" ht="15" hidden="false" customHeight="false" outlineLevel="0" collapsed="false">
      <c r="A72" s="19" t="n">
        <v>68</v>
      </c>
      <c r="B72" s="20" t="s">
        <v>276</v>
      </c>
      <c r="C72" s="21" t="s">
        <v>92</v>
      </c>
      <c r="D72" s="21" t="s">
        <v>205</v>
      </c>
      <c r="E72" s="19" t="n">
        <v>193</v>
      </c>
      <c r="F72" s="19" t="n">
        <v>1</v>
      </c>
      <c r="G72" s="19" t="n">
        <v>1</v>
      </c>
      <c r="H72" s="19" t="s">
        <v>66</v>
      </c>
      <c r="I72" s="19" t="s">
        <v>140</v>
      </c>
      <c r="J72" s="21" t="s">
        <v>141</v>
      </c>
      <c r="K72" s="15" t="n">
        <v>9</v>
      </c>
      <c r="L72" s="15" t="n">
        <v>2</v>
      </c>
      <c r="M72" s="15" t="n">
        <v>2</v>
      </c>
      <c r="N72" s="15" t="n">
        <v>3</v>
      </c>
      <c r="O72" s="15" t="n">
        <v>4</v>
      </c>
      <c r="P72" s="15" t="n">
        <v>1</v>
      </c>
      <c r="Q72" s="15" t="n">
        <v>6</v>
      </c>
      <c r="R72" s="16" t="n">
        <f aca="false">ROUND(K72*0.55+L72*0.25+M72*0.2,1)</f>
        <v>5.9</v>
      </c>
      <c r="S72" s="16" t="n">
        <f aca="false">ROUND(N72*0.35+O72*0.25+P72*0.25+Q72*0.15,1)</f>
        <v>3.2</v>
      </c>
      <c r="T72" s="17" t="n">
        <f aca="false">ROUND(R72*'Como ler'!$B$5+S72*'Como ler'!$B$6,1)</f>
        <v>4.7</v>
      </c>
      <c r="U72" s="18" t="s">
        <v>62</v>
      </c>
      <c r="V72" s="18" t="s">
        <v>63</v>
      </c>
    </row>
    <row r="73" customFormat="false" ht="15" hidden="false" customHeight="false" outlineLevel="0" collapsed="false">
      <c r="A73" s="19" t="n">
        <v>69</v>
      </c>
      <c r="B73" s="20" t="s">
        <v>277</v>
      </c>
      <c r="C73" s="21" t="s">
        <v>92</v>
      </c>
      <c r="D73" s="21" t="s">
        <v>205</v>
      </c>
      <c r="E73" s="19" t="n">
        <v>193</v>
      </c>
      <c r="F73" s="19" t="n">
        <v>1</v>
      </c>
      <c r="G73" s="19" t="n">
        <v>1</v>
      </c>
      <c r="H73" s="19" t="s">
        <v>66</v>
      </c>
      <c r="I73" s="19" t="s">
        <v>167</v>
      </c>
      <c r="J73" s="21" t="s">
        <v>168</v>
      </c>
      <c r="K73" s="15" t="n">
        <v>9</v>
      </c>
      <c r="L73" s="15" t="n">
        <v>2</v>
      </c>
      <c r="M73" s="15" t="n">
        <v>2</v>
      </c>
      <c r="N73" s="15" t="n">
        <v>3</v>
      </c>
      <c r="O73" s="15" t="n">
        <v>4</v>
      </c>
      <c r="P73" s="15" t="n">
        <v>1</v>
      </c>
      <c r="Q73" s="15" t="n">
        <v>6</v>
      </c>
      <c r="R73" s="16" t="n">
        <f aca="false">ROUND(K73*0.55+L73*0.25+M73*0.2,1)</f>
        <v>5.9</v>
      </c>
      <c r="S73" s="16" t="n">
        <f aca="false">ROUND(N73*0.35+O73*0.25+P73*0.25+Q73*0.15,1)</f>
        <v>3.2</v>
      </c>
      <c r="T73" s="17" t="n">
        <f aca="false">ROUND(R73*'Como ler'!$B$5+S73*'Como ler'!$B$6,1)</f>
        <v>4.7</v>
      </c>
      <c r="U73" s="18" t="s">
        <v>62</v>
      </c>
      <c r="V73" s="18" t="s">
        <v>63</v>
      </c>
    </row>
    <row r="74" customFormat="false" ht="15" hidden="false" customHeight="false" outlineLevel="0" collapsed="false">
      <c r="A74" s="19" t="n">
        <v>70</v>
      </c>
      <c r="B74" s="20" t="s">
        <v>278</v>
      </c>
      <c r="C74" s="21" t="s">
        <v>92</v>
      </c>
      <c r="D74" s="21" t="s">
        <v>205</v>
      </c>
      <c r="E74" s="19" t="n">
        <v>190</v>
      </c>
      <c r="F74" s="19" t="n">
        <v>1</v>
      </c>
      <c r="G74" s="19" t="n">
        <v>1</v>
      </c>
      <c r="H74" s="19" t="s">
        <v>59</v>
      </c>
      <c r="I74" s="19" t="s">
        <v>60</v>
      </c>
      <c r="J74" s="21" t="s">
        <v>279</v>
      </c>
      <c r="K74" s="15" t="n">
        <v>9</v>
      </c>
      <c r="L74" s="15" t="n">
        <v>2</v>
      </c>
      <c r="M74" s="15" t="n">
        <v>2</v>
      </c>
      <c r="N74" s="15" t="n">
        <v>10</v>
      </c>
      <c r="O74" s="15" t="n">
        <v>7</v>
      </c>
      <c r="P74" s="15" t="n">
        <v>1</v>
      </c>
      <c r="Q74" s="15" t="n">
        <v>9</v>
      </c>
      <c r="R74" s="16" t="n">
        <f aca="false">ROUND(K74*0.55+L74*0.25+M74*0.2,1)</f>
        <v>5.9</v>
      </c>
      <c r="S74" s="16" t="n">
        <f aca="false">ROUND(N74*0.35+O74*0.25+P74*0.25+Q74*0.15,1)</f>
        <v>6.9</v>
      </c>
      <c r="T74" s="17" t="n">
        <f aca="false">ROUND(R74*'Como ler'!$B$5+S74*'Como ler'!$B$6,1)</f>
        <v>6.4</v>
      </c>
      <c r="U74" s="18" t="s">
        <v>62</v>
      </c>
      <c r="V74" s="18" t="s">
        <v>63</v>
      </c>
    </row>
    <row r="75" customFormat="false" ht="15" hidden="false" customHeight="false" outlineLevel="0" collapsed="false">
      <c r="A75" s="19" t="n">
        <v>71</v>
      </c>
      <c r="B75" s="20" t="s">
        <v>89</v>
      </c>
      <c r="C75" s="21" t="s">
        <v>69</v>
      </c>
      <c r="D75" s="21" t="s">
        <v>58</v>
      </c>
      <c r="E75" s="19" t="n">
        <v>186</v>
      </c>
      <c r="F75" s="19" t="n">
        <v>1</v>
      </c>
      <c r="G75" s="19" t="n">
        <v>3</v>
      </c>
      <c r="H75" s="19" t="s">
        <v>66</v>
      </c>
      <c r="I75" s="19" t="s">
        <v>60</v>
      </c>
      <c r="J75" s="21" t="s">
        <v>90</v>
      </c>
      <c r="K75" s="15" t="n">
        <v>9</v>
      </c>
      <c r="L75" s="15" t="n">
        <v>2</v>
      </c>
      <c r="M75" s="15" t="n">
        <v>4</v>
      </c>
      <c r="N75" s="15" t="n">
        <v>10</v>
      </c>
      <c r="O75" s="15" t="n">
        <v>7</v>
      </c>
      <c r="P75" s="15" t="n">
        <v>10</v>
      </c>
      <c r="Q75" s="15" t="n">
        <v>6</v>
      </c>
      <c r="R75" s="16" t="n">
        <f aca="false">ROUND(K75*0.55+L75*0.25+M75*0.2,1)</f>
        <v>6.3</v>
      </c>
      <c r="S75" s="16" t="n">
        <f aca="false">ROUND(N75*0.35+O75*0.25+P75*0.25+Q75*0.15,1)</f>
        <v>8.7</v>
      </c>
      <c r="T75" s="17" t="n">
        <f aca="false">ROUND(R75*'Como ler'!$B$5+S75*'Como ler'!$B$6,1)</f>
        <v>7.4</v>
      </c>
      <c r="U75" s="18" t="s">
        <v>62</v>
      </c>
      <c r="V75" s="18" t="s">
        <v>63</v>
      </c>
    </row>
    <row r="76" customFormat="false" ht="15" hidden="false" customHeight="false" outlineLevel="0" collapsed="false">
      <c r="A76" s="19" t="n">
        <v>72</v>
      </c>
      <c r="B76" s="20" t="s">
        <v>280</v>
      </c>
      <c r="C76" s="21" t="s">
        <v>92</v>
      </c>
      <c r="D76" s="21" t="s">
        <v>208</v>
      </c>
      <c r="E76" s="19" t="n">
        <v>185</v>
      </c>
      <c r="F76" s="19" t="n">
        <v>1</v>
      </c>
      <c r="G76" s="19" t="n">
        <v>1</v>
      </c>
      <c r="H76" s="19" t="s">
        <v>59</v>
      </c>
      <c r="I76" s="19" t="s">
        <v>140</v>
      </c>
      <c r="J76" s="21" t="s">
        <v>143</v>
      </c>
      <c r="K76" s="15" t="n">
        <v>9</v>
      </c>
      <c r="L76" s="15" t="n">
        <v>2</v>
      </c>
      <c r="M76" s="15" t="n">
        <v>2</v>
      </c>
      <c r="N76" s="15" t="n">
        <v>3</v>
      </c>
      <c r="O76" s="15" t="n">
        <v>4</v>
      </c>
      <c r="P76" s="15" t="n">
        <v>1</v>
      </c>
      <c r="Q76" s="15" t="n">
        <v>9</v>
      </c>
      <c r="R76" s="16" t="n">
        <f aca="false">ROUND(K76*0.55+L76*0.25+M76*0.2,1)</f>
        <v>5.9</v>
      </c>
      <c r="S76" s="16" t="n">
        <f aca="false">ROUND(N76*0.35+O76*0.25+P76*0.25+Q76*0.15,1)</f>
        <v>3.7</v>
      </c>
      <c r="T76" s="17" t="n">
        <f aca="false">ROUND(R76*'Como ler'!$B$5+S76*'Como ler'!$B$6,1)</f>
        <v>4.9</v>
      </c>
      <c r="U76" s="18" t="s">
        <v>62</v>
      </c>
      <c r="V76" s="18" t="s">
        <v>63</v>
      </c>
    </row>
    <row r="77" customFormat="false" ht="15" hidden="false" customHeight="false" outlineLevel="0" collapsed="false">
      <c r="A77" s="19" t="n">
        <v>73</v>
      </c>
      <c r="B77" s="20" t="s">
        <v>281</v>
      </c>
      <c r="C77" s="21" t="s">
        <v>92</v>
      </c>
      <c r="D77" s="21" t="s">
        <v>205</v>
      </c>
      <c r="E77" s="19" t="n">
        <v>184</v>
      </c>
      <c r="F77" s="19" t="n">
        <v>3</v>
      </c>
      <c r="G77" s="19" t="n">
        <v>4</v>
      </c>
      <c r="H77" s="19" t="s">
        <v>66</v>
      </c>
      <c r="I77" s="19" t="s">
        <v>60</v>
      </c>
      <c r="J77" s="21" t="s">
        <v>282</v>
      </c>
      <c r="K77" s="15" t="n">
        <v>9</v>
      </c>
      <c r="L77" s="15" t="n">
        <v>6</v>
      </c>
      <c r="M77" s="15" t="n">
        <v>6</v>
      </c>
      <c r="N77" s="15" t="n">
        <v>10</v>
      </c>
      <c r="O77" s="15" t="n">
        <v>7</v>
      </c>
      <c r="P77" s="15" t="n">
        <v>1</v>
      </c>
      <c r="Q77" s="15" t="n">
        <v>6</v>
      </c>
      <c r="R77" s="16" t="n">
        <f aca="false">ROUND(K77*0.55+L77*0.25+M77*0.2,1)</f>
        <v>7.7</v>
      </c>
      <c r="S77" s="16" t="n">
        <f aca="false">ROUND(N77*0.35+O77*0.25+P77*0.25+Q77*0.15,1)</f>
        <v>6.4</v>
      </c>
      <c r="T77" s="17" t="n">
        <f aca="false">ROUND(R77*'Como ler'!$B$5+S77*'Como ler'!$B$6,1)</f>
        <v>7.1</v>
      </c>
      <c r="U77" s="18" t="s">
        <v>62</v>
      </c>
      <c r="V77" s="18" t="s">
        <v>63</v>
      </c>
    </row>
    <row r="78" customFormat="false" ht="15" hidden="false" customHeight="false" outlineLevel="0" collapsed="false">
      <c r="A78" s="19" t="n">
        <v>74</v>
      </c>
      <c r="B78" s="20" t="s">
        <v>283</v>
      </c>
      <c r="C78" s="21" t="s">
        <v>92</v>
      </c>
      <c r="D78" s="21" t="s">
        <v>205</v>
      </c>
      <c r="E78" s="19" t="n">
        <v>183</v>
      </c>
      <c r="F78" s="19" t="n">
        <v>1</v>
      </c>
      <c r="G78" s="19" t="n">
        <v>1</v>
      </c>
      <c r="H78" s="19" t="s">
        <v>66</v>
      </c>
      <c r="I78" s="19" t="s">
        <v>167</v>
      </c>
      <c r="J78" s="21" t="s">
        <v>168</v>
      </c>
      <c r="K78" s="15" t="n">
        <v>9</v>
      </c>
      <c r="L78" s="15" t="n">
        <v>2</v>
      </c>
      <c r="M78" s="15" t="n">
        <v>2</v>
      </c>
      <c r="N78" s="15" t="n">
        <v>3</v>
      </c>
      <c r="O78" s="15" t="n">
        <v>4</v>
      </c>
      <c r="P78" s="15" t="n">
        <v>1</v>
      </c>
      <c r="Q78" s="15" t="n">
        <v>6</v>
      </c>
      <c r="R78" s="16" t="n">
        <f aca="false">ROUND(K78*0.55+L78*0.25+M78*0.2,1)</f>
        <v>5.9</v>
      </c>
      <c r="S78" s="16" t="n">
        <f aca="false">ROUND(N78*0.35+O78*0.25+P78*0.25+Q78*0.15,1)</f>
        <v>3.2</v>
      </c>
      <c r="T78" s="17" t="n">
        <f aca="false">ROUND(R78*'Como ler'!$B$5+S78*'Como ler'!$B$6,1)</f>
        <v>4.7</v>
      </c>
      <c r="U78" s="18" t="s">
        <v>62</v>
      </c>
      <c r="V78" s="18" t="s">
        <v>63</v>
      </c>
    </row>
    <row r="79" customFormat="false" ht="15" hidden="false" customHeight="false" outlineLevel="0" collapsed="false">
      <c r="A79" s="19" t="n">
        <v>75</v>
      </c>
      <c r="B79" s="20" t="s">
        <v>284</v>
      </c>
      <c r="C79" s="21" t="s">
        <v>92</v>
      </c>
      <c r="D79" s="21" t="s">
        <v>205</v>
      </c>
      <c r="E79" s="19" t="n">
        <v>182</v>
      </c>
      <c r="F79" s="19" t="n">
        <v>1</v>
      </c>
      <c r="G79" s="19" t="n">
        <v>1</v>
      </c>
      <c r="H79" s="19" t="s">
        <v>59</v>
      </c>
      <c r="I79" s="19" t="s">
        <v>167</v>
      </c>
      <c r="J79" s="21" t="s">
        <v>168</v>
      </c>
      <c r="K79" s="15" t="n">
        <v>9</v>
      </c>
      <c r="L79" s="15" t="n">
        <v>2</v>
      </c>
      <c r="M79" s="15" t="n">
        <v>2</v>
      </c>
      <c r="N79" s="15" t="n">
        <v>3</v>
      </c>
      <c r="O79" s="15" t="n">
        <v>4</v>
      </c>
      <c r="P79" s="15" t="n">
        <v>1</v>
      </c>
      <c r="Q79" s="15" t="n">
        <v>9</v>
      </c>
      <c r="R79" s="16" t="n">
        <f aca="false">ROUND(K79*0.55+L79*0.25+M79*0.2,1)</f>
        <v>5.9</v>
      </c>
      <c r="S79" s="16" t="n">
        <f aca="false">ROUND(N79*0.35+O79*0.25+P79*0.25+Q79*0.15,1)</f>
        <v>3.7</v>
      </c>
      <c r="T79" s="17" t="n">
        <f aca="false">ROUND(R79*'Como ler'!$B$5+S79*'Como ler'!$B$6,1)</f>
        <v>4.9</v>
      </c>
      <c r="U79" s="18" t="s">
        <v>62</v>
      </c>
      <c r="V79" s="18" t="s">
        <v>63</v>
      </c>
    </row>
    <row r="80" customFormat="false" ht="15" hidden="false" customHeight="false" outlineLevel="0" collapsed="false">
      <c r="A80" s="19" t="n">
        <v>76</v>
      </c>
      <c r="B80" s="20" t="s">
        <v>285</v>
      </c>
      <c r="C80" s="21" t="s">
        <v>92</v>
      </c>
      <c r="D80" s="21" t="s">
        <v>205</v>
      </c>
      <c r="E80" s="19" t="n">
        <v>177</v>
      </c>
      <c r="F80" s="19" t="n">
        <v>1</v>
      </c>
      <c r="G80" s="19" t="n">
        <v>1</v>
      </c>
      <c r="H80" s="19" t="s">
        <v>59</v>
      </c>
      <c r="I80" s="19" t="s">
        <v>140</v>
      </c>
      <c r="J80" s="21" t="s">
        <v>143</v>
      </c>
      <c r="K80" s="15" t="n">
        <v>8</v>
      </c>
      <c r="L80" s="15" t="n">
        <v>2</v>
      </c>
      <c r="M80" s="15" t="n">
        <v>2</v>
      </c>
      <c r="N80" s="15" t="n">
        <v>3</v>
      </c>
      <c r="O80" s="15" t="n">
        <v>4</v>
      </c>
      <c r="P80" s="15" t="n">
        <v>1</v>
      </c>
      <c r="Q80" s="15" t="n">
        <v>9</v>
      </c>
      <c r="R80" s="16" t="n">
        <f aca="false">ROUND(K80*0.55+L80*0.25+M80*0.2,1)</f>
        <v>5.3</v>
      </c>
      <c r="S80" s="16" t="n">
        <f aca="false">ROUND(N80*0.35+O80*0.25+P80*0.25+Q80*0.15,1)</f>
        <v>3.7</v>
      </c>
      <c r="T80" s="17" t="n">
        <f aca="false">ROUND(R80*'Como ler'!$B$5+S80*'Como ler'!$B$6,1)</f>
        <v>4.6</v>
      </c>
      <c r="U80" s="18" t="s">
        <v>62</v>
      </c>
      <c r="V80" s="18" t="s">
        <v>63</v>
      </c>
    </row>
    <row r="81" customFormat="false" ht="15" hidden="false" customHeight="false" outlineLevel="0" collapsed="false">
      <c r="A81" s="19" t="n">
        <v>77</v>
      </c>
      <c r="B81" s="20" t="s">
        <v>286</v>
      </c>
      <c r="C81" s="21" t="s">
        <v>92</v>
      </c>
      <c r="D81" s="21" t="s">
        <v>205</v>
      </c>
      <c r="E81" s="19" t="n">
        <v>176</v>
      </c>
      <c r="F81" s="19" t="n">
        <v>2</v>
      </c>
      <c r="G81" s="19" t="n">
        <v>2</v>
      </c>
      <c r="H81" s="19" t="s">
        <v>59</v>
      </c>
      <c r="I81" s="19" t="s">
        <v>60</v>
      </c>
      <c r="J81" s="21" t="s">
        <v>287</v>
      </c>
      <c r="K81" s="15" t="n">
        <v>8</v>
      </c>
      <c r="L81" s="15" t="n">
        <v>4</v>
      </c>
      <c r="M81" s="15" t="n">
        <v>4</v>
      </c>
      <c r="N81" s="15" t="n">
        <v>10</v>
      </c>
      <c r="O81" s="15" t="n">
        <v>7</v>
      </c>
      <c r="P81" s="15" t="n">
        <v>1</v>
      </c>
      <c r="Q81" s="15" t="n">
        <v>9</v>
      </c>
      <c r="R81" s="16" t="n">
        <f aca="false">ROUND(K81*0.55+L81*0.25+M81*0.2,1)</f>
        <v>6.2</v>
      </c>
      <c r="S81" s="16" t="n">
        <f aca="false">ROUND(N81*0.35+O81*0.25+P81*0.25+Q81*0.15,1)</f>
        <v>6.9</v>
      </c>
      <c r="T81" s="17" t="n">
        <f aca="false">ROUND(R81*'Como ler'!$B$5+S81*'Como ler'!$B$6,1)</f>
        <v>6.5</v>
      </c>
      <c r="U81" s="18" t="s">
        <v>62</v>
      </c>
      <c r="V81" s="18" t="s">
        <v>63</v>
      </c>
    </row>
    <row r="82" customFormat="false" ht="15" hidden="false" customHeight="false" outlineLevel="0" collapsed="false">
      <c r="A82" s="19" t="n">
        <v>78</v>
      </c>
      <c r="B82" s="20" t="s">
        <v>288</v>
      </c>
      <c r="C82" s="21" t="s">
        <v>92</v>
      </c>
      <c r="D82" s="21" t="s">
        <v>205</v>
      </c>
      <c r="E82" s="19" t="n">
        <v>173</v>
      </c>
      <c r="F82" s="19" t="n">
        <v>1</v>
      </c>
      <c r="G82" s="19" t="n">
        <v>1</v>
      </c>
      <c r="H82" s="19" t="s">
        <v>59</v>
      </c>
      <c r="I82" s="19" t="s">
        <v>167</v>
      </c>
      <c r="J82" s="21" t="s">
        <v>168</v>
      </c>
      <c r="K82" s="15" t="n">
        <v>8</v>
      </c>
      <c r="L82" s="15" t="n">
        <v>2</v>
      </c>
      <c r="M82" s="15" t="n">
        <v>2</v>
      </c>
      <c r="N82" s="15" t="n">
        <v>3</v>
      </c>
      <c r="O82" s="15" t="n">
        <v>4</v>
      </c>
      <c r="P82" s="15" t="n">
        <v>1</v>
      </c>
      <c r="Q82" s="15" t="n">
        <v>9</v>
      </c>
      <c r="R82" s="16" t="n">
        <f aca="false">ROUND(K82*0.55+L82*0.25+M82*0.2,1)</f>
        <v>5.3</v>
      </c>
      <c r="S82" s="16" t="n">
        <f aca="false">ROUND(N82*0.35+O82*0.25+P82*0.25+Q82*0.15,1)</f>
        <v>3.7</v>
      </c>
      <c r="T82" s="17" t="n">
        <f aca="false">ROUND(R82*'Como ler'!$B$5+S82*'Como ler'!$B$6,1)</f>
        <v>4.6</v>
      </c>
      <c r="U82" s="18" t="s">
        <v>62</v>
      </c>
      <c r="V82" s="18" t="s">
        <v>63</v>
      </c>
    </row>
    <row r="83" customFormat="false" ht="15" hidden="false" customHeight="false" outlineLevel="0" collapsed="false">
      <c r="A83" s="19" t="n">
        <v>79</v>
      </c>
      <c r="B83" s="20" t="s">
        <v>289</v>
      </c>
      <c r="C83" s="21" t="s">
        <v>92</v>
      </c>
      <c r="D83" s="21" t="s">
        <v>205</v>
      </c>
      <c r="E83" s="19" t="n">
        <v>172</v>
      </c>
      <c r="F83" s="19" t="n">
        <v>1</v>
      </c>
      <c r="G83" s="19" t="n">
        <v>1</v>
      </c>
      <c r="H83" s="19" t="s">
        <v>115</v>
      </c>
      <c r="I83" s="19" t="s">
        <v>140</v>
      </c>
      <c r="J83" s="21" t="s">
        <v>141</v>
      </c>
      <c r="K83" s="15" t="n">
        <v>8</v>
      </c>
      <c r="L83" s="15" t="n">
        <v>2</v>
      </c>
      <c r="M83" s="15" t="n">
        <v>2</v>
      </c>
      <c r="N83" s="15" t="n">
        <v>3</v>
      </c>
      <c r="O83" s="15" t="n">
        <v>4</v>
      </c>
      <c r="P83" s="15" t="n">
        <v>1</v>
      </c>
      <c r="Q83" s="15" t="n">
        <v>6</v>
      </c>
      <c r="R83" s="16" t="n">
        <f aca="false">ROUND(K83*0.55+L83*0.25+M83*0.2,1)</f>
        <v>5.3</v>
      </c>
      <c r="S83" s="16" t="n">
        <f aca="false">ROUND(N83*0.35+O83*0.25+P83*0.25+Q83*0.15,1)</f>
        <v>3.2</v>
      </c>
      <c r="T83" s="17" t="n">
        <f aca="false">ROUND(R83*'Como ler'!$B$5+S83*'Como ler'!$B$6,1)</f>
        <v>4.4</v>
      </c>
      <c r="U83" s="18" t="s">
        <v>62</v>
      </c>
      <c r="V83" s="18" t="s">
        <v>63</v>
      </c>
    </row>
    <row r="84" customFormat="false" ht="15" hidden="false" customHeight="false" outlineLevel="0" collapsed="false">
      <c r="A84" s="19" t="n">
        <v>80</v>
      </c>
      <c r="B84" s="20" t="s">
        <v>290</v>
      </c>
      <c r="C84" s="21" t="s">
        <v>92</v>
      </c>
      <c r="D84" s="21" t="s">
        <v>205</v>
      </c>
      <c r="E84" s="19" t="n">
        <v>170</v>
      </c>
      <c r="F84" s="19" t="n">
        <v>1</v>
      </c>
      <c r="G84" s="19" t="n">
        <v>1</v>
      </c>
      <c r="H84" s="19" t="s">
        <v>66</v>
      </c>
      <c r="I84" s="19" t="s">
        <v>140</v>
      </c>
      <c r="J84" s="21" t="s">
        <v>141</v>
      </c>
      <c r="K84" s="15" t="n">
        <v>8</v>
      </c>
      <c r="L84" s="15" t="n">
        <v>2</v>
      </c>
      <c r="M84" s="15" t="n">
        <v>2</v>
      </c>
      <c r="N84" s="15" t="n">
        <v>3</v>
      </c>
      <c r="O84" s="15" t="n">
        <v>4</v>
      </c>
      <c r="P84" s="15" t="n">
        <v>1</v>
      </c>
      <c r="Q84" s="15" t="n">
        <v>6</v>
      </c>
      <c r="R84" s="16" t="n">
        <f aca="false">ROUND(K84*0.55+L84*0.25+M84*0.2,1)</f>
        <v>5.3</v>
      </c>
      <c r="S84" s="16" t="n">
        <f aca="false">ROUND(N84*0.35+O84*0.25+P84*0.25+Q84*0.15,1)</f>
        <v>3.2</v>
      </c>
      <c r="T84" s="17" t="n">
        <f aca="false">ROUND(R84*'Como ler'!$B$5+S84*'Como ler'!$B$6,1)</f>
        <v>4.4</v>
      </c>
      <c r="U84" s="18" t="s">
        <v>62</v>
      </c>
      <c r="V84" s="18" t="s">
        <v>63</v>
      </c>
    </row>
    <row r="85" customFormat="false" ht="15" hidden="false" customHeight="false" outlineLevel="0" collapsed="false">
      <c r="A85" s="19" t="n">
        <v>81</v>
      </c>
      <c r="B85" s="20" t="s">
        <v>291</v>
      </c>
      <c r="C85" s="21" t="s">
        <v>92</v>
      </c>
      <c r="D85" s="21" t="s">
        <v>205</v>
      </c>
      <c r="E85" s="19" t="n">
        <v>163</v>
      </c>
      <c r="F85" s="19" t="n">
        <v>1</v>
      </c>
      <c r="G85" s="19" t="n">
        <v>2</v>
      </c>
      <c r="H85" s="19" t="s">
        <v>115</v>
      </c>
      <c r="I85" s="19" t="s">
        <v>167</v>
      </c>
      <c r="J85" s="21" t="s">
        <v>168</v>
      </c>
      <c r="K85" s="15" t="n">
        <v>8</v>
      </c>
      <c r="L85" s="15" t="n">
        <v>2</v>
      </c>
      <c r="M85" s="15" t="n">
        <v>4</v>
      </c>
      <c r="N85" s="15" t="n">
        <v>3</v>
      </c>
      <c r="O85" s="15" t="n">
        <v>4</v>
      </c>
      <c r="P85" s="15" t="n">
        <v>1</v>
      </c>
      <c r="Q85" s="15" t="n">
        <v>6</v>
      </c>
      <c r="R85" s="16" t="n">
        <f aca="false">ROUND(K85*0.55+L85*0.25+M85*0.2,1)</f>
        <v>5.7</v>
      </c>
      <c r="S85" s="16" t="n">
        <f aca="false">ROUND(N85*0.35+O85*0.25+P85*0.25+Q85*0.15,1)</f>
        <v>3.2</v>
      </c>
      <c r="T85" s="17" t="n">
        <f aca="false">ROUND(R85*'Como ler'!$B$5+S85*'Como ler'!$B$6,1)</f>
        <v>4.6</v>
      </c>
      <c r="U85" s="18" t="s">
        <v>62</v>
      </c>
      <c r="V85" s="18" t="s">
        <v>63</v>
      </c>
    </row>
    <row r="86" customFormat="false" ht="15" hidden="false" customHeight="false" outlineLevel="0" collapsed="false">
      <c r="A86" s="19" t="n">
        <v>82</v>
      </c>
      <c r="B86" s="20" t="s">
        <v>292</v>
      </c>
      <c r="C86" s="21" t="s">
        <v>92</v>
      </c>
      <c r="D86" s="21" t="s">
        <v>208</v>
      </c>
      <c r="E86" s="19" t="n">
        <v>163</v>
      </c>
      <c r="F86" s="19" t="n">
        <v>1</v>
      </c>
      <c r="G86" s="19" t="n">
        <v>1</v>
      </c>
      <c r="H86" s="19" t="s">
        <v>66</v>
      </c>
      <c r="I86" s="19" t="s">
        <v>140</v>
      </c>
      <c r="J86" s="21" t="s">
        <v>141</v>
      </c>
      <c r="K86" s="15" t="n">
        <v>8</v>
      </c>
      <c r="L86" s="15" t="n">
        <v>2</v>
      </c>
      <c r="M86" s="15" t="n">
        <v>2</v>
      </c>
      <c r="N86" s="15" t="n">
        <v>3</v>
      </c>
      <c r="O86" s="15" t="n">
        <v>4</v>
      </c>
      <c r="P86" s="15" t="n">
        <v>1</v>
      </c>
      <c r="Q86" s="15" t="n">
        <v>6</v>
      </c>
      <c r="R86" s="16" t="n">
        <f aca="false">ROUND(K86*0.55+L86*0.25+M86*0.2,1)</f>
        <v>5.3</v>
      </c>
      <c r="S86" s="16" t="n">
        <f aca="false">ROUND(N86*0.35+O86*0.25+P86*0.25+Q86*0.15,1)</f>
        <v>3.2</v>
      </c>
      <c r="T86" s="17" t="n">
        <f aca="false">ROUND(R86*'Como ler'!$B$5+S86*'Como ler'!$B$6,1)</f>
        <v>4.4</v>
      </c>
      <c r="U86" s="18" t="s">
        <v>62</v>
      </c>
      <c r="V86" s="18" t="s">
        <v>63</v>
      </c>
    </row>
    <row r="87" customFormat="false" ht="15" hidden="false" customHeight="false" outlineLevel="0" collapsed="false">
      <c r="A87" s="19" t="n">
        <v>83</v>
      </c>
      <c r="B87" s="20" t="s">
        <v>293</v>
      </c>
      <c r="C87" s="21" t="s">
        <v>92</v>
      </c>
      <c r="D87" s="21" t="s">
        <v>205</v>
      </c>
      <c r="E87" s="19" t="n">
        <v>162</v>
      </c>
      <c r="F87" s="19" t="n">
        <v>1</v>
      </c>
      <c r="G87" s="19" t="n">
        <v>1</v>
      </c>
      <c r="H87" s="19" t="s">
        <v>66</v>
      </c>
      <c r="I87" s="19" t="s">
        <v>167</v>
      </c>
      <c r="J87" s="21" t="s">
        <v>168</v>
      </c>
      <c r="K87" s="15" t="n">
        <v>8</v>
      </c>
      <c r="L87" s="15" t="n">
        <v>2</v>
      </c>
      <c r="M87" s="15" t="n">
        <v>2</v>
      </c>
      <c r="N87" s="15" t="n">
        <v>3</v>
      </c>
      <c r="O87" s="15" t="n">
        <v>4</v>
      </c>
      <c r="P87" s="15" t="n">
        <v>1</v>
      </c>
      <c r="Q87" s="15" t="n">
        <v>6</v>
      </c>
      <c r="R87" s="16" t="n">
        <f aca="false">ROUND(K87*0.55+L87*0.25+M87*0.2,1)</f>
        <v>5.3</v>
      </c>
      <c r="S87" s="16" t="n">
        <f aca="false">ROUND(N87*0.35+O87*0.25+P87*0.25+Q87*0.15,1)</f>
        <v>3.2</v>
      </c>
      <c r="T87" s="17" t="n">
        <f aca="false">ROUND(R87*'Como ler'!$B$5+S87*'Como ler'!$B$6,1)</f>
        <v>4.4</v>
      </c>
      <c r="U87" s="18" t="s">
        <v>62</v>
      </c>
      <c r="V87" s="18" t="s">
        <v>63</v>
      </c>
    </row>
    <row r="88" customFormat="false" ht="15" hidden="false" customHeight="false" outlineLevel="0" collapsed="false">
      <c r="A88" s="19" t="n">
        <v>84</v>
      </c>
      <c r="B88" s="20" t="s">
        <v>294</v>
      </c>
      <c r="C88" s="21" t="s">
        <v>92</v>
      </c>
      <c r="D88" s="21" t="s">
        <v>205</v>
      </c>
      <c r="E88" s="19" t="n">
        <v>161</v>
      </c>
      <c r="F88" s="19" t="n">
        <v>1</v>
      </c>
      <c r="G88" s="19" t="n">
        <v>1</v>
      </c>
      <c r="H88" s="19" t="s">
        <v>59</v>
      </c>
      <c r="I88" s="19" t="s">
        <v>60</v>
      </c>
      <c r="J88" s="21" t="s">
        <v>295</v>
      </c>
      <c r="K88" s="15" t="n">
        <v>8</v>
      </c>
      <c r="L88" s="15" t="n">
        <v>2</v>
      </c>
      <c r="M88" s="15" t="n">
        <v>2</v>
      </c>
      <c r="N88" s="15" t="n">
        <v>10</v>
      </c>
      <c r="O88" s="15" t="n">
        <v>7</v>
      </c>
      <c r="P88" s="15" t="n">
        <v>1</v>
      </c>
      <c r="Q88" s="15" t="n">
        <v>9</v>
      </c>
      <c r="R88" s="16" t="n">
        <f aca="false">ROUND(K88*0.55+L88*0.25+M88*0.2,1)</f>
        <v>5.3</v>
      </c>
      <c r="S88" s="16" t="n">
        <f aca="false">ROUND(N88*0.35+O88*0.25+P88*0.25+Q88*0.15,1)</f>
        <v>6.9</v>
      </c>
      <c r="T88" s="17" t="n">
        <f aca="false">ROUND(R88*'Como ler'!$B$5+S88*'Como ler'!$B$6,1)</f>
        <v>6</v>
      </c>
      <c r="U88" s="18" t="s">
        <v>62</v>
      </c>
      <c r="V88" s="18" t="s">
        <v>63</v>
      </c>
    </row>
    <row r="89" customFormat="false" ht="15" hidden="false" customHeight="false" outlineLevel="0" collapsed="false">
      <c r="A89" s="19" t="n">
        <v>85</v>
      </c>
      <c r="B89" s="20" t="s">
        <v>296</v>
      </c>
      <c r="C89" s="21" t="s">
        <v>92</v>
      </c>
      <c r="D89" s="21" t="s">
        <v>297</v>
      </c>
      <c r="E89" s="19" t="n">
        <v>158</v>
      </c>
      <c r="F89" s="19" t="n">
        <v>12</v>
      </c>
      <c r="G89" s="19" t="n">
        <v>21</v>
      </c>
      <c r="H89" s="19" t="s">
        <v>59</v>
      </c>
      <c r="I89" s="19" t="s">
        <v>167</v>
      </c>
      <c r="J89" s="21" t="s">
        <v>168</v>
      </c>
      <c r="K89" s="15" t="n">
        <v>8</v>
      </c>
      <c r="L89" s="15" t="n">
        <v>10</v>
      </c>
      <c r="M89" s="15" t="n">
        <v>10</v>
      </c>
      <c r="N89" s="15" t="n">
        <v>3</v>
      </c>
      <c r="O89" s="15" t="n">
        <v>4</v>
      </c>
      <c r="P89" s="15" t="n">
        <v>6</v>
      </c>
      <c r="Q89" s="15" t="n">
        <v>9</v>
      </c>
      <c r="R89" s="16" t="n">
        <f aca="false">ROUND(K89*0.55+L89*0.25+M89*0.2,1)</f>
        <v>8.9</v>
      </c>
      <c r="S89" s="16" t="n">
        <f aca="false">ROUND(N89*0.35+O89*0.25+P89*0.25+Q89*0.15,1)</f>
        <v>4.9</v>
      </c>
      <c r="T89" s="17" t="n">
        <f aca="false">ROUND(R89*'Como ler'!$B$5+S89*'Como ler'!$B$6,1)</f>
        <v>7.1</v>
      </c>
      <c r="U89" s="18" t="s">
        <v>62</v>
      </c>
      <c r="V89" s="18" t="s">
        <v>63</v>
      </c>
    </row>
    <row r="90" customFormat="false" ht="15" hidden="false" customHeight="false" outlineLevel="0" collapsed="false">
      <c r="A90" s="19" t="n">
        <v>86</v>
      </c>
      <c r="B90" s="20" t="s">
        <v>298</v>
      </c>
      <c r="C90" s="21" t="s">
        <v>87</v>
      </c>
      <c r="D90" s="21" t="s">
        <v>233</v>
      </c>
      <c r="E90" s="19" t="n">
        <v>157</v>
      </c>
      <c r="F90" s="19" t="n">
        <v>2</v>
      </c>
      <c r="G90" s="19" t="n">
        <v>2</v>
      </c>
      <c r="H90" s="19" t="s">
        <v>59</v>
      </c>
      <c r="I90" s="19" t="s">
        <v>60</v>
      </c>
      <c r="J90" s="21" t="s">
        <v>299</v>
      </c>
      <c r="K90" s="15" t="n">
        <v>8</v>
      </c>
      <c r="L90" s="15" t="n">
        <v>4</v>
      </c>
      <c r="M90" s="15" t="n">
        <v>4</v>
      </c>
      <c r="N90" s="15" t="n">
        <v>10</v>
      </c>
      <c r="O90" s="15" t="n">
        <v>7</v>
      </c>
      <c r="P90" s="15" t="n">
        <v>3</v>
      </c>
      <c r="Q90" s="15" t="n">
        <v>9</v>
      </c>
      <c r="R90" s="16" t="n">
        <f aca="false">ROUND(K90*0.55+L90*0.25+M90*0.2,1)</f>
        <v>6.2</v>
      </c>
      <c r="S90" s="16" t="n">
        <f aca="false">ROUND(N90*0.35+O90*0.25+P90*0.25+Q90*0.15,1)</f>
        <v>7.4</v>
      </c>
      <c r="T90" s="17" t="n">
        <f aca="false">ROUND(R90*'Como ler'!$B$5+S90*'Como ler'!$B$6,1)</f>
        <v>6.7</v>
      </c>
      <c r="U90" s="18" t="s">
        <v>62</v>
      </c>
      <c r="V90" s="18" t="s">
        <v>63</v>
      </c>
    </row>
    <row r="91" customFormat="false" ht="15" hidden="false" customHeight="false" outlineLevel="0" collapsed="false">
      <c r="A91" s="19" t="n">
        <v>87</v>
      </c>
      <c r="B91" s="20" t="s">
        <v>300</v>
      </c>
      <c r="C91" s="21" t="s">
        <v>92</v>
      </c>
      <c r="D91" s="21" t="s">
        <v>205</v>
      </c>
      <c r="E91" s="19" t="n">
        <v>156</v>
      </c>
      <c r="F91" s="19" t="n">
        <v>1</v>
      </c>
      <c r="G91" s="19" t="n">
        <v>1</v>
      </c>
      <c r="H91" s="19" t="s">
        <v>66</v>
      </c>
      <c r="I91" s="19" t="s">
        <v>210</v>
      </c>
      <c r="J91" s="21" t="s">
        <v>211</v>
      </c>
      <c r="K91" s="15" t="n">
        <v>8</v>
      </c>
      <c r="L91" s="15" t="n">
        <v>2</v>
      </c>
      <c r="M91" s="15" t="n">
        <v>2</v>
      </c>
      <c r="N91" s="15" t="n">
        <v>3</v>
      </c>
      <c r="O91" s="15" t="n">
        <v>4</v>
      </c>
      <c r="P91" s="15" t="n">
        <v>1</v>
      </c>
      <c r="Q91" s="15" t="n">
        <v>6</v>
      </c>
      <c r="R91" s="16" t="n">
        <f aca="false">ROUND(K91*0.55+L91*0.25+M91*0.2,1)</f>
        <v>5.3</v>
      </c>
      <c r="S91" s="16" t="n">
        <f aca="false">ROUND(N91*0.35+O91*0.25+P91*0.25+Q91*0.15,1)</f>
        <v>3.2</v>
      </c>
      <c r="T91" s="17" t="n">
        <f aca="false">ROUND(R91*'Como ler'!$B$5+S91*'Como ler'!$B$6,1)</f>
        <v>4.4</v>
      </c>
      <c r="U91" s="18" t="s">
        <v>62</v>
      </c>
      <c r="V91" s="22" t="s">
        <v>211</v>
      </c>
    </row>
    <row r="92" customFormat="false" ht="15" hidden="false" customHeight="false" outlineLevel="0" collapsed="false">
      <c r="A92" s="19" t="n">
        <v>88</v>
      </c>
      <c r="B92" s="20" t="s">
        <v>301</v>
      </c>
      <c r="C92" s="21" t="s">
        <v>92</v>
      </c>
      <c r="D92" s="21" t="s">
        <v>205</v>
      </c>
      <c r="E92" s="19" t="n">
        <v>155</v>
      </c>
      <c r="F92" s="19" t="n">
        <v>6</v>
      </c>
      <c r="G92" s="19" t="n">
        <v>9</v>
      </c>
      <c r="H92" s="19" t="s">
        <v>66</v>
      </c>
      <c r="I92" s="19" t="s">
        <v>167</v>
      </c>
      <c r="J92" s="21" t="s">
        <v>302</v>
      </c>
      <c r="K92" s="15" t="n">
        <v>8</v>
      </c>
      <c r="L92" s="15" t="n">
        <v>8</v>
      </c>
      <c r="M92" s="15" t="n">
        <v>8</v>
      </c>
      <c r="N92" s="15" t="n">
        <v>3</v>
      </c>
      <c r="O92" s="15" t="n">
        <v>4</v>
      </c>
      <c r="P92" s="15" t="n">
        <v>1</v>
      </c>
      <c r="Q92" s="15" t="n">
        <v>6</v>
      </c>
      <c r="R92" s="16" t="n">
        <f aca="false">ROUND(K92*0.55+L92*0.25+M92*0.2,1)</f>
        <v>8</v>
      </c>
      <c r="S92" s="16" t="n">
        <f aca="false">ROUND(N92*0.35+O92*0.25+P92*0.25+Q92*0.15,1)</f>
        <v>3.2</v>
      </c>
      <c r="T92" s="17" t="n">
        <f aca="false">ROUND(R92*'Como ler'!$B$5+S92*'Como ler'!$B$6,1)</f>
        <v>5.8</v>
      </c>
      <c r="U92" s="18" t="s">
        <v>62</v>
      </c>
      <c r="V92" s="18" t="s">
        <v>63</v>
      </c>
    </row>
    <row r="93" customFormat="false" ht="15" hidden="false" customHeight="false" outlineLevel="0" collapsed="false">
      <c r="A93" s="19" t="n">
        <v>89</v>
      </c>
      <c r="B93" s="20" t="s">
        <v>303</v>
      </c>
      <c r="C93" s="21" t="s">
        <v>92</v>
      </c>
      <c r="D93" s="21" t="s">
        <v>205</v>
      </c>
      <c r="E93" s="19" t="n">
        <v>155</v>
      </c>
      <c r="F93" s="19" t="n">
        <v>1</v>
      </c>
      <c r="G93" s="19" t="n">
        <v>1</v>
      </c>
      <c r="H93" s="19" t="s">
        <v>59</v>
      </c>
      <c r="I93" s="19" t="s">
        <v>140</v>
      </c>
      <c r="J93" s="21" t="s">
        <v>141</v>
      </c>
      <c r="K93" s="15" t="n">
        <v>8</v>
      </c>
      <c r="L93" s="15" t="n">
        <v>2</v>
      </c>
      <c r="M93" s="15" t="n">
        <v>2</v>
      </c>
      <c r="N93" s="15" t="n">
        <v>3</v>
      </c>
      <c r="O93" s="15" t="n">
        <v>4</v>
      </c>
      <c r="P93" s="15" t="n">
        <v>1</v>
      </c>
      <c r="Q93" s="15" t="n">
        <v>9</v>
      </c>
      <c r="R93" s="16" t="n">
        <f aca="false">ROUND(K93*0.55+L93*0.25+M93*0.2,1)</f>
        <v>5.3</v>
      </c>
      <c r="S93" s="16" t="n">
        <f aca="false">ROUND(N93*0.35+O93*0.25+P93*0.25+Q93*0.15,1)</f>
        <v>3.7</v>
      </c>
      <c r="T93" s="17" t="n">
        <f aca="false">ROUND(R93*'Como ler'!$B$5+S93*'Como ler'!$B$6,1)</f>
        <v>4.6</v>
      </c>
      <c r="U93" s="18" t="s">
        <v>62</v>
      </c>
      <c r="V93" s="18" t="s">
        <v>63</v>
      </c>
    </row>
    <row r="94" customFormat="false" ht="15" hidden="false" customHeight="false" outlineLevel="0" collapsed="false">
      <c r="A94" s="19" t="n">
        <v>90</v>
      </c>
      <c r="B94" s="20" t="s">
        <v>304</v>
      </c>
      <c r="C94" s="21" t="s">
        <v>92</v>
      </c>
      <c r="D94" s="21" t="s">
        <v>205</v>
      </c>
      <c r="E94" s="19" t="n">
        <v>155</v>
      </c>
      <c r="F94" s="19" t="n">
        <v>1</v>
      </c>
      <c r="G94" s="19" t="n">
        <v>1</v>
      </c>
      <c r="H94" s="19" t="s">
        <v>66</v>
      </c>
      <c r="I94" s="19" t="s">
        <v>167</v>
      </c>
      <c r="J94" s="21" t="s">
        <v>168</v>
      </c>
      <c r="K94" s="15" t="n">
        <v>8</v>
      </c>
      <c r="L94" s="15" t="n">
        <v>2</v>
      </c>
      <c r="M94" s="15" t="n">
        <v>2</v>
      </c>
      <c r="N94" s="15" t="n">
        <v>3</v>
      </c>
      <c r="O94" s="15" t="n">
        <v>4</v>
      </c>
      <c r="P94" s="15" t="n">
        <v>1</v>
      </c>
      <c r="Q94" s="15" t="n">
        <v>6</v>
      </c>
      <c r="R94" s="16" t="n">
        <f aca="false">ROUND(K94*0.55+L94*0.25+M94*0.2,1)</f>
        <v>5.3</v>
      </c>
      <c r="S94" s="16" t="n">
        <f aca="false">ROUND(N94*0.35+O94*0.25+P94*0.25+Q94*0.15,1)</f>
        <v>3.2</v>
      </c>
      <c r="T94" s="17" t="n">
        <f aca="false">ROUND(R94*'Como ler'!$B$5+S94*'Como ler'!$B$6,1)</f>
        <v>4.4</v>
      </c>
      <c r="U94" s="18" t="s">
        <v>62</v>
      </c>
      <c r="V94" s="18" t="s">
        <v>63</v>
      </c>
    </row>
    <row r="95" customFormat="false" ht="15" hidden="false" customHeight="false" outlineLevel="0" collapsed="false">
      <c r="A95" s="19" t="n">
        <v>91</v>
      </c>
      <c r="B95" s="20" t="s">
        <v>305</v>
      </c>
      <c r="C95" s="21" t="s">
        <v>92</v>
      </c>
      <c r="D95" s="21" t="s">
        <v>233</v>
      </c>
      <c r="E95" s="19" t="n">
        <v>149</v>
      </c>
      <c r="F95" s="19" t="n">
        <v>3</v>
      </c>
      <c r="G95" s="19" t="n">
        <v>7</v>
      </c>
      <c r="H95" s="19" t="s">
        <v>66</v>
      </c>
      <c r="I95" s="19" t="s">
        <v>60</v>
      </c>
      <c r="J95" s="21" t="s">
        <v>306</v>
      </c>
      <c r="K95" s="15" t="n">
        <v>8</v>
      </c>
      <c r="L95" s="15" t="n">
        <v>6</v>
      </c>
      <c r="M95" s="15" t="n">
        <v>8</v>
      </c>
      <c r="N95" s="15" t="n">
        <v>10</v>
      </c>
      <c r="O95" s="15" t="n">
        <v>7</v>
      </c>
      <c r="P95" s="15" t="n">
        <v>3</v>
      </c>
      <c r="Q95" s="15" t="n">
        <v>6</v>
      </c>
      <c r="R95" s="16" t="n">
        <f aca="false">ROUND(K95*0.55+L95*0.25+M95*0.2,1)</f>
        <v>7.5</v>
      </c>
      <c r="S95" s="16" t="n">
        <f aca="false">ROUND(N95*0.35+O95*0.25+P95*0.25+Q95*0.15,1)</f>
        <v>6.9</v>
      </c>
      <c r="T95" s="17" t="n">
        <f aca="false">ROUND(R95*'Como ler'!$B$5+S95*'Como ler'!$B$6,1)</f>
        <v>7.2</v>
      </c>
      <c r="U95" s="18" t="s">
        <v>62</v>
      </c>
      <c r="V95" s="18" t="s">
        <v>63</v>
      </c>
    </row>
    <row r="96" customFormat="false" ht="15" hidden="false" customHeight="false" outlineLevel="0" collapsed="false">
      <c r="A96" s="19" t="n">
        <v>92</v>
      </c>
      <c r="B96" s="20" t="s">
        <v>307</v>
      </c>
      <c r="C96" s="21" t="s">
        <v>92</v>
      </c>
      <c r="D96" s="21" t="s">
        <v>297</v>
      </c>
      <c r="E96" s="19" t="n">
        <v>149</v>
      </c>
      <c r="F96" s="19" t="n">
        <v>1</v>
      </c>
      <c r="G96" s="19" t="n">
        <v>2</v>
      </c>
      <c r="H96" s="19" t="s">
        <v>59</v>
      </c>
      <c r="I96" s="19" t="s">
        <v>167</v>
      </c>
      <c r="J96" s="21" t="s">
        <v>168</v>
      </c>
      <c r="K96" s="15" t="n">
        <v>8</v>
      </c>
      <c r="L96" s="15" t="n">
        <v>2</v>
      </c>
      <c r="M96" s="15" t="n">
        <v>4</v>
      </c>
      <c r="N96" s="15" t="n">
        <v>3</v>
      </c>
      <c r="O96" s="15" t="n">
        <v>4</v>
      </c>
      <c r="P96" s="15" t="n">
        <v>6</v>
      </c>
      <c r="Q96" s="15" t="n">
        <v>9</v>
      </c>
      <c r="R96" s="16" t="n">
        <f aca="false">ROUND(K96*0.55+L96*0.25+M96*0.2,1)</f>
        <v>5.7</v>
      </c>
      <c r="S96" s="16" t="n">
        <f aca="false">ROUND(N96*0.35+O96*0.25+P96*0.25+Q96*0.15,1)</f>
        <v>4.9</v>
      </c>
      <c r="T96" s="17" t="n">
        <f aca="false">ROUND(R96*'Como ler'!$B$5+S96*'Como ler'!$B$6,1)</f>
        <v>5.3</v>
      </c>
      <c r="U96" s="18" t="s">
        <v>62</v>
      </c>
      <c r="V96" s="18" t="s">
        <v>63</v>
      </c>
    </row>
    <row r="97" customFormat="false" ht="15" hidden="false" customHeight="false" outlineLevel="0" collapsed="false">
      <c r="A97" s="19" t="n">
        <v>93</v>
      </c>
      <c r="B97" s="20" t="s">
        <v>113</v>
      </c>
      <c r="C97" s="21" t="s">
        <v>114</v>
      </c>
      <c r="D97" s="21" t="s">
        <v>58</v>
      </c>
      <c r="E97" s="19" t="n">
        <v>149</v>
      </c>
      <c r="F97" s="19" t="n">
        <v>1</v>
      </c>
      <c r="G97" s="19" t="n">
        <v>1</v>
      </c>
      <c r="H97" s="19" t="s">
        <v>115</v>
      </c>
      <c r="I97" s="19" t="s">
        <v>60</v>
      </c>
      <c r="J97" s="21" t="s">
        <v>116</v>
      </c>
      <c r="K97" s="15" t="n">
        <v>8</v>
      </c>
      <c r="L97" s="15" t="n">
        <v>2</v>
      </c>
      <c r="M97" s="15" t="n">
        <v>2</v>
      </c>
      <c r="N97" s="15" t="n">
        <v>10</v>
      </c>
      <c r="O97" s="15" t="n">
        <v>7</v>
      </c>
      <c r="P97" s="15" t="n">
        <v>10</v>
      </c>
      <c r="Q97" s="15" t="n">
        <v>6</v>
      </c>
      <c r="R97" s="16" t="n">
        <f aca="false">ROUND(K97*0.55+L97*0.25+M97*0.2,1)</f>
        <v>5.3</v>
      </c>
      <c r="S97" s="16" t="n">
        <f aca="false">ROUND(N97*0.35+O97*0.25+P97*0.25+Q97*0.15,1)</f>
        <v>8.7</v>
      </c>
      <c r="T97" s="17" t="n">
        <f aca="false">ROUND(R97*'Como ler'!$B$5+S97*'Como ler'!$B$6,1)</f>
        <v>6.8</v>
      </c>
      <c r="U97" s="18" t="s">
        <v>62</v>
      </c>
      <c r="V97" s="18" t="s">
        <v>63</v>
      </c>
    </row>
    <row r="98" customFormat="false" ht="15" hidden="false" customHeight="false" outlineLevel="0" collapsed="false">
      <c r="A98" s="19" t="n">
        <v>94</v>
      </c>
      <c r="B98" s="20" t="s">
        <v>308</v>
      </c>
      <c r="C98" s="21" t="s">
        <v>92</v>
      </c>
      <c r="D98" s="21" t="s">
        <v>205</v>
      </c>
      <c r="E98" s="19" t="n">
        <v>148</v>
      </c>
      <c r="F98" s="19" t="n">
        <v>2</v>
      </c>
      <c r="G98" s="19" t="n">
        <v>3</v>
      </c>
      <c r="H98" s="19" t="s">
        <v>59</v>
      </c>
      <c r="I98" s="19" t="s">
        <v>60</v>
      </c>
      <c r="J98" s="21" t="s">
        <v>309</v>
      </c>
      <c r="K98" s="15" t="n">
        <v>8</v>
      </c>
      <c r="L98" s="15" t="n">
        <v>4</v>
      </c>
      <c r="M98" s="15" t="n">
        <v>4</v>
      </c>
      <c r="N98" s="15" t="n">
        <v>10</v>
      </c>
      <c r="O98" s="15" t="n">
        <v>7</v>
      </c>
      <c r="P98" s="15" t="n">
        <v>1</v>
      </c>
      <c r="Q98" s="15" t="n">
        <v>9</v>
      </c>
      <c r="R98" s="16" t="n">
        <f aca="false">ROUND(K98*0.55+L98*0.25+M98*0.2,1)</f>
        <v>6.2</v>
      </c>
      <c r="S98" s="16" t="n">
        <f aca="false">ROUND(N98*0.35+O98*0.25+P98*0.25+Q98*0.15,1)</f>
        <v>6.9</v>
      </c>
      <c r="T98" s="17" t="n">
        <f aca="false">ROUND(R98*'Como ler'!$B$5+S98*'Como ler'!$B$6,1)</f>
        <v>6.5</v>
      </c>
      <c r="U98" s="18" t="s">
        <v>62</v>
      </c>
      <c r="V98" s="18" t="s">
        <v>63</v>
      </c>
    </row>
    <row r="99" customFormat="false" ht="15" hidden="false" customHeight="false" outlineLevel="0" collapsed="false">
      <c r="A99" s="19" t="n">
        <v>95</v>
      </c>
      <c r="B99" s="20" t="s">
        <v>310</v>
      </c>
      <c r="C99" s="21" t="s">
        <v>69</v>
      </c>
      <c r="D99" s="21" t="s">
        <v>297</v>
      </c>
      <c r="E99" s="19" t="n">
        <v>147</v>
      </c>
      <c r="F99" s="19" t="n">
        <v>1</v>
      </c>
      <c r="G99" s="19" t="n">
        <v>2</v>
      </c>
      <c r="H99" s="19" t="s">
        <v>66</v>
      </c>
      <c r="I99" s="19" t="s">
        <v>60</v>
      </c>
      <c r="J99" s="21" t="s">
        <v>311</v>
      </c>
      <c r="K99" s="15" t="n">
        <v>8</v>
      </c>
      <c r="L99" s="15" t="n">
        <v>2</v>
      </c>
      <c r="M99" s="15" t="n">
        <v>4</v>
      </c>
      <c r="N99" s="15" t="n">
        <v>10</v>
      </c>
      <c r="O99" s="15" t="n">
        <v>7</v>
      </c>
      <c r="P99" s="15" t="n">
        <v>6</v>
      </c>
      <c r="Q99" s="15" t="n">
        <v>6</v>
      </c>
      <c r="R99" s="16" t="n">
        <f aca="false">ROUND(K99*0.55+L99*0.25+M99*0.2,1)</f>
        <v>5.7</v>
      </c>
      <c r="S99" s="16" t="n">
        <f aca="false">ROUND(N99*0.35+O99*0.25+P99*0.25+Q99*0.15,1)</f>
        <v>7.7</v>
      </c>
      <c r="T99" s="17" t="n">
        <f aca="false">ROUND(R99*'Como ler'!$B$5+S99*'Como ler'!$B$6,1)</f>
        <v>6.6</v>
      </c>
      <c r="U99" s="18" t="s">
        <v>62</v>
      </c>
      <c r="V99" s="18" t="s">
        <v>63</v>
      </c>
    </row>
    <row r="100" customFormat="false" ht="15" hidden="false" customHeight="false" outlineLevel="0" collapsed="false">
      <c r="A100" s="19" t="n">
        <v>96</v>
      </c>
      <c r="B100" s="20" t="s">
        <v>312</v>
      </c>
      <c r="C100" s="21" t="s">
        <v>92</v>
      </c>
      <c r="D100" s="21" t="s">
        <v>208</v>
      </c>
      <c r="E100" s="19" t="n">
        <v>147</v>
      </c>
      <c r="F100" s="19" t="n">
        <v>1</v>
      </c>
      <c r="G100" s="19" t="n">
        <v>1</v>
      </c>
      <c r="H100" s="19" t="s">
        <v>115</v>
      </c>
      <c r="I100" s="19" t="s">
        <v>140</v>
      </c>
      <c r="J100" s="21" t="s">
        <v>141</v>
      </c>
      <c r="K100" s="15" t="n">
        <v>8</v>
      </c>
      <c r="L100" s="15" t="n">
        <v>2</v>
      </c>
      <c r="M100" s="15" t="n">
        <v>2</v>
      </c>
      <c r="N100" s="15" t="n">
        <v>3</v>
      </c>
      <c r="O100" s="15" t="n">
        <v>4</v>
      </c>
      <c r="P100" s="15" t="n">
        <v>1</v>
      </c>
      <c r="Q100" s="15" t="n">
        <v>6</v>
      </c>
      <c r="R100" s="16" t="n">
        <f aca="false">ROUND(K100*0.55+L100*0.25+M100*0.2,1)</f>
        <v>5.3</v>
      </c>
      <c r="S100" s="16" t="n">
        <f aca="false">ROUND(N100*0.35+O100*0.25+P100*0.25+Q100*0.15,1)</f>
        <v>3.2</v>
      </c>
      <c r="T100" s="17" t="n">
        <f aca="false">ROUND(R100*'Como ler'!$B$5+S100*'Como ler'!$B$6,1)</f>
        <v>4.4</v>
      </c>
      <c r="U100" s="18" t="s">
        <v>62</v>
      </c>
      <c r="V100" s="18" t="s">
        <v>63</v>
      </c>
    </row>
    <row r="101" customFormat="false" ht="15" hidden="false" customHeight="false" outlineLevel="0" collapsed="false">
      <c r="A101" s="19" t="n">
        <v>97</v>
      </c>
      <c r="B101" s="20" t="s">
        <v>84</v>
      </c>
      <c r="C101" s="21" t="s">
        <v>69</v>
      </c>
      <c r="D101" s="21" t="s">
        <v>58</v>
      </c>
      <c r="E101" s="19" t="n">
        <v>146</v>
      </c>
      <c r="F101" s="19" t="n">
        <v>2</v>
      </c>
      <c r="G101" s="19" t="n">
        <v>2</v>
      </c>
      <c r="H101" s="19" t="s">
        <v>66</v>
      </c>
      <c r="I101" s="19" t="s">
        <v>60</v>
      </c>
      <c r="J101" s="21" t="s">
        <v>85</v>
      </c>
      <c r="K101" s="15" t="n">
        <v>8</v>
      </c>
      <c r="L101" s="15" t="n">
        <v>4</v>
      </c>
      <c r="M101" s="15" t="n">
        <v>4</v>
      </c>
      <c r="N101" s="15" t="n">
        <v>10</v>
      </c>
      <c r="O101" s="15" t="n">
        <v>10</v>
      </c>
      <c r="P101" s="15" t="n">
        <v>10</v>
      </c>
      <c r="Q101" s="15" t="n">
        <v>6</v>
      </c>
      <c r="R101" s="16" t="n">
        <f aca="false">ROUND(K101*0.55+L101*0.25+M101*0.2,1)</f>
        <v>6.2</v>
      </c>
      <c r="S101" s="16" t="n">
        <f aca="false">ROUND(N101*0.35+O101*0.25+P101*0.25+Q101*0.15,1)</f>
        <v>9.4</v>
      </c>
      <c r="T101" s="17" t="n">
        <f aca="false">ROUND(R101*'Como ler'!$B$5+S101*'Como ler'!$B$6,1)</f>
        <v>7.6</v>
      </c>
      <c r="U101" s="18" t="s">
        <v>62</v>
      </c>
      <c r="V101" s="18" t="s">
        <v>63</v>
      </c>
    </row>
    <row r="102" customFormat="false" ht="15" hidden="false" customHeight="false" outlineLevel="0" collapsed="false">
      <c r="A102" s="19" t="n">
        <v>98</v>
      </c>
      <c r="B102" s="20" t="s">
        <v>313</v>
      </c>
      <c r="C102" s="21" t="s">
        <v>92</v>
      </c>
      <c r="D102" s="21" t="s">
        <v>205</v>
      </c>
      <c r="E102" s="19" t="n">
        <v>142</v>
      </c>
      <c r="F102" s="19" t="n">
        <v>1</v>
      </c>
      <c r="G102" s="19" t="n">
        <v>1</v>
      </c>
      <c r="H102" s="19" t="s">
        <v>115</v>
      </c>
      <c r="I102" s="19" t="s">
        <v>167</v>
      </c>
      <c r="J102" s="21" t="s">
        <v>168</v>
      </c>
      <c r="K102" s="15" t="n">
        <v>8</v>
      </c>
      <c r="L102" s="15" t="n">
        <v>2</v>
      </c>
      <c r="M102" s="15" t="n">
        <v>2</v>
      </c>
      <c r="N102" s="15" t="n">
        <v>3</v>
      </c>
      <c r="O102" s="15" t="n">
        <v>4</v>
      </c>
      <c r="P102" s="15" t="n">
        <v>1</v>
      </c>
      <c r="Q102" s="15" t="n">
        <v>6</v>
      </c>
      <c r="R102" s="16" t="n">
        <f aca="false">ROUND(K102*0.55+L102*0.25+M102*0.2,1)</f>
        <v>5.3</v>
      </c>
      <c r="S102" s="16" t="n">
        <f aca="false">ROUND(N102*0.35+O102*0.25+P102*0.25+Q102*0.15,1)</f>
        <v>3.2</v>
      </c>
      <c r="T102" s="17" t="n">
        <f aca="false">ROUND(R102*'Como ler'!$B$5+S102*'Como ler'!$B$6,1)</f>
        <v>4.4</v>
      </c>
      <c r="U102" s="18" t="s">
        <v>62</v>
      </c>
      <c r="V102" s="18" t="s">
        <v>63</v>
      </c>
    </row>
    <row r="103" customFormat="false" ht="15" hidden="false" customHeight="false" outlineLevel="0" collapsed="false">
      <c r="A103" s="19" t="n">
        <v>99</v>
      </c>
      <c r="B103" s="20" t="s">
        <v>82</v>
      </c>
      <c r="C103" s="21" t="s">
        <v>57</v>
      </c>
      <c r="D103" s="21" t="s">
        <v>58</v>
      </c>
      <c r="E103" s="19" t="n">
        <v>140</v>
      </c>
      <c r="F103" s="19" t="n">
        <v>3</v>
      </c>
      <c r="G103" s="19" t="n">
        <v>3</v>
      </c>
      <c r="H103" s="19" t="s">
        <v>66</v>
      </c>
      <c r="I103" s="19" t="s">
        <v>60</v>
      </c>
      <c r="J103" s="21" t="s">
        <v>83</v>
      </c>
      <c r="K103" s="15" t="n">
        <v>8</v>
      </c>
      <c r="L103" s="15" t="n">
        <v>6</v>
      </c>
      <c r="M103" s="15" t="n">
        <v>4</v>
      </c>
      <c r="N103" s="15" t="n">
        <v>10</v>
      </c>
      <c r="O103" s="15" t="n">
        <v>7</v>
      </c>
      <c r="P103" s="15" t="n">
        <v>10</v>
      </c>
      <c r="Q103" s="15" t="n">
        <v>6</v>
      </c>
      <c r="R103" s="16" t="n">
        <f aca="false">ROUND(K103*0.55+L103*0.25+M103*0.2,1)</f>
        <v>6.7</v>
      </c>
      <c r="S103" s="16" t="n">
        <f aca="false">ROUND(N103*0.35+O103*0.25+P103*0.25+Q103*0.15,1)</f>
        <v>8.7</v>
      </c>
      <c r="T103" s="17" t="n">
        <f aca="false">ROUND(R103*'Como ler'!$B$5+S103*'Como ler'!$B$6,1)</f>
        <v>7.6</v>
      </c>
      <c r="U103" s="18" t="s">
        <v>62</v>
      </c>
      <c r="V103" s="18" t="s">
        <v>63</v>
      </c>
    </row>
    <row r="104" customFormat="false" ht="15" hidden="false" customHeight="false" outlineLevel="0" collapsed="false">
      <c r="A104" s="19" t="n">
        <v>100</v>
      </c>
      <c r="B104" s="20" t="s">
        <v>314</v>
      </c>
      <c r="C104" s="21" t="s">
        <v>92</v>
      </c>
      <c r="D104" s="21" t="s">
        <v>205</v>
      </c>
      <c r="E104" s="19" t="n">
        <v>140</v>
      </c>
      <c r="F104" s="19" t="n">
        <v>1</v>
      </c>
      <c r="G104" s="19" t="n">
        <v>1</v>
      </c>
      <c r="H104" s="19" t="s">
        <v>115</v>
      </c>
      <c r="I104" s="19" t="s">
        <v>60</v>
      </c>
      <c r="J104" s="21" t="s">
        <v>315</v>
      </c>
      <c r="K104" s="15" t="n">
        <v>8</v>
      </c>
      <c r="L104" s="15" t="n">
        <v>2</v>
      </c>
      <c r="M104" s="15" t="n">
        <v>2</v>
      </c>
      <c r="N104" s="15" t="n">
        <v>10</v>
      </c>
      <c r="O104" s="15" t="n">
        <v>7</v>
      </c>
      <c r="P104" s="15" t="n">
        <v>1</v>
      </c>
      <c r="Q104" s="15" t="n">
        <v>6</v>
      </c>
      <c r="R104" s="16" t="n">
        <f aca="false">ROUND(K104*0.55+L104*0.25+M104*0.2,1)</f>
        <v>5.3</v>
      </c>
      <c r="S104" s="16" t="n">
        <f aca="false">ROUND(N104*0.35+O104*0.25+P104*0.25+Q104*0.15,1)</f>
        <v>6.4</v>
      </c>
      <c r="T104" s="17" t="n">
        <f aca="false">ROUND(R104*'Como ler'!$B$5+S104*'Como ler'!$B$6,1)</f>
        <v>5.8</v>
      </c>
      <c r="U104" s="18" t="s">
        <v>62</v>
      </c>
      <c r="V104" s="18" t="s">
        <v>63</v>
      </c>
    </row>
    <row r="105" customFormat="false" ht="15" hidden="false" customHeight="false" outlineLevel="0" collapsed="false">
      <c r="A105" s="19" t="n">
        <v>101</v>
      </c>
      <c r="B105" s="20" t="s">
        <v>316</v>
      </c>
      <c r="C105" s="21" t="s">
        <v>92</v>
      </c>
      <c r="D105" s="21" t="s">
        <v>205</v>
      </c>
      <c r="E105" s="19" t="n">
        <v>139</v>
      </c>
      <c r="F105" s="19" t="n">
        <v>1</v>
      </c>
      <c r="G105" s="19" t="n">
        <v>1</v>
      </c>
      <c r="H105" s="19" t="s">
        <v>66</v>
      </c>
      <c r="I105" s="19" t="s">
        <v>167</v>
      </c>
      <c r="J105" s="21" t="s">
        <v>168</v>
      </c>
      <c r="K105" s="15" t="n">
        <v>8</v>
      </c>
      <c r="L105" s="15" t="n">
        <v>2</v>
      </c>
      <c r="M105" s="15" t="n">
        <v>2</v>
      </c>
      <c r="N105" s="15" t="n">
        <v>3</v>
      </c>
      <c r="O105" s="15" t="n">
        <v>4</v>
      </c>
      <c r="P105" s="15" t="n">
        <v>1</v>
      </c>
      <c r="Q105" s="15" t="n">
        <v>6</v>
      </c>
      <c r="R105" s="16" t="n">
        <f aca="false">ROUND(K105*0.55+L105*0.25+M105*0.2,1)</f>
        <v>5.3</v>
      </c>
      <c r="S105" s="16" t="n">
        <f aca="false">ROUND(N105*0.35+O105*0.25+P105*0.25+Q105*0.15,1)</f>
        <v>3.2</v>
      </c>
      <c r="T105" s="17" t="n">
        <f aca="false">ROUND(R105*'Como ler'!$B$5+S105*'Como ler'!$B$6,1)</f>
        <v>4.4</v>
      </c>
      <c r="U105" s="18" t="s">
        <v>62</v>
      </c>
      <c r="V105" s="18" t="s">
        <v>63</v>
      </c>
    </row>
    <row r="106" customFormat="false" ht="15" hidden="false" customHeight="false" outlineLevel="0" collapsed="false">
      <c r="A106" s="19" t="n">
        <v>102</v>
      </c>
      <c r="B106" s="20" t="s">
        <v>317</v>
      </c>
      <c r="C106" s="21" t="s">
        <v>92</v>
      </c>
      <c r="D106" s="21" t="s">
        <v>205</v>
      </c>
      <c r="E106" s="19" t="n">
        <v>135</v>
      </c>
      <c r="F106" s="19" t="n">
        <v>1</v>
      </c>
      <c r="G106" s="19" t="n">
        <v>1</v>
      </c>
      <c r="H106" s="19" t="s">
        <v>59</v>
      </c>
      <c r="I106" s="19" t="s">
        <v>167</v>
      </c>
      <c r="J106" s="21" t="s">
        <v>168</v>
      </c>
      <c r="K106" s="15" t="n">
        <v>8</v>
      </c>
      <c r="L106" s="15" t="n">
        <v>2</v>
      </c>
      <c r="M106" s="15" t="n">
        <v>2</v>
      </c>
      <c r="N106" s="15" t="n">
        <v>3</v>
      </c>
      <c r="O106" s="15" t="n">
        <v>4</v>
      </c>
      <c r="P106" s="15" t="n">
        <v>1</v>
      </c>
      <c r="Q106" s="15" t="n">
        <v>9</v>
      </c>
      <c r="R106" s="16" t="n">
        <f aca="false">ROUND(K106*0.55+L106*0.25+M106*0.2,1)</f>
        <v>5.3</v>
      </c>
      <c r="S106" s="16" t="n">
        <f aca="false">ROUND(N106*0.35+O106*0.25+P106*0.25+Q106*0.15,1)</f>
        <v>3.7</v>
      </c>
      <c r="T106" s="17" t="n">
        <f aca="false">ROUND(R106*'Como ler'!$B$5+S106*'Como ler'!$B$6,1)</f>
        <v>4.6</v>
      </c>
      <c r="U106" s="18" t="s">
        <v>62</v>
      </c>
      <c r="V106" s="18" t="s">
        <v>63</v>
      </c>
    </row>
    <row r="107" customFormat="false" ht="15" hidden="false" customHeight="false" outlineLevel="0" collapsed="false">
      <c r="A107" s="19" t="n">
        <v>103</v>
      </c>
      <c r="B107" s="20" t="s">
        <v>91</v>
      </c>
      <c r="C107" s="21" t="s">
        <v>92</v>
      </c>
      <c r="D107" s="21" t="s">
        <v>58</v>
      </c>
      <c r="E107" s="19" t="n">
        <v>133</v>
      </c>
      <c r="F107" s="19" t="n">
        <v>1</v>
      </c>
      <c r="G107" s="19" t="n">
        <v>1</v>
      </c>
      <c r="H107" s="19" t="s">
        <v>59</v>
      </c>
      <c r="I107" s="19" t="s">
        <v>60</v>
      </c>
      <c r="J107" s="21" t="s">
        <v>93</v>
      </c>
      <c r="K107" s="15" t="n">
        <v>8</v>
      </c>
      <c r="L107" s="15" t="n">
        <v>2</v>
      </c>
      <c r="M107" s="15" t="n">
        <v>2</v>
      </c>
      <c r="N107" s="15" t="n">
        <v>10</v>
      </c>
      <c r="O107" s="15" t="n">
        <v>10</v>
      </c>
      <c r="P107" s="15" t="n">
        <v>10</v>
      </c>
      <c r="Q107" s="15" t="n">
        <v>9</v>
      </c>
      <c r="R107" s="16" t="n">
        <f aca="false">ROUND(K107*0.55+L107*0.25+M107*0.2,1)</f>
        <v>5.3</v>
      </c>
      <c r="S107" s="16" t="n">
        <f aca="false">ROUND(N107*0.35+O107*0.25+P107*0.25+Q107*0.15,1)</f>
        <v>9.9</v>
      </c>
      <c r="T107" s="17" t="n">
        <f aca="false">ROUND(R107*'Como ler'!$B$5+S107*'Como ler'!$B$6,1)</f>
        <v>7.4</v>
      </c>
      <c r="U107" s="18" t="s">
        <v>62</v>
      </c>
      <c r="V107" s="18" t="s">
        <v>63</v>
      </c>
    </row>
    <row r="108" customFormat="false" ht="15" hidden="false" customHeight="false" outlineLevel="0" collapsed="false">
      <c r="A108" s="19" t="n">
        <v>104</v>
      </c>
      <c r="B108" s="20" t="s">
        <v>318</v>
      </c>
      <c r="C108" s="21" t="s">
        <v>92</v>
      </c>
      <c r="D108" s="21" t="s">
        <v>205</v>
      </c>
      <c r="E108" s="19" t="n">
        <v>133</v>
      </c>
      <c r="F108" s="19" t="n">
        <v>1</v>
      </c>
      <c r="G108" s="19" t="n">
        <v>1</v>
      </c>
      <c r="H108" s="19" t="s">
        <v>59</v>
      </c>
      <c r="I108" s="19" t="s">
        <v>167</v>
      </c>
      <c r="J108" s="21" t="s">
        <v>168</v>
      </c>
      <c r="K108" s="15" t="n">
        <v>8</v>
      </c>
      <c r="L108" s="15" t="n">
        <v>2</v>
      </c>
      <c r="M108" s="15" t="n">
        <v>2</v>
      </c>
      <c r="N108" s="15" t="n">
        <v>3</v>
      </c>
      <c r="O108" s="15" t="n">
        <v>4</v>
      </c>
      <c r="P108" s="15" t="n">
        <v>1</v>
      </c>
      <c r="Q108" s="15" t="n">
        <v>9</v>
      </c>
      <c r="R108" s="16" t="n">
        <f aca="false">ROUND(K108*0.55+L108*0.25+M108*0.2,1)</f>
        <v>5.3</v>
      </c>
      <c r="S108" s="16" t="n">
        <f aca="false">ROUND(N108*0.35+O108*0.25+P108*0.25+Q108*0.15,1)</f>
        <v>3.7</v>
      </c>
      <c r="T108" s="17" t="n">
        <f aca="false">ROUND(R108*'Como ler'!$B$5+S108*'Como ler'!$B$6,1)</f>
        <v>4.6</v>
      </c>
      <c r="U108" s="18" t="s">
        <v>62</v>
      </c>
      <c r="V108" s="18" t="s">
        <v>63</v>
      </c>
    </row>
    <row r="109" customFormat="false" ht="15" hidden="false" customHeight="false" outlineLevel="0" collapsed="false">
      <c r="A109" s="19" t="n">
        <v>105</v>
      </c>
      <c r="B109" s="20" t="s">
        <v>111</v>
      </c>
      <c r="C109" s="21" t="s">
        <v>69</v>
      </c>
      <c r="D109" s="21" t="s">
        <v>58</v>
      </c>
      <c r="E109" s="19" t="n">
        <v>132</v>
      </c>
      <c r="F109" s="19" t="n">
        <v>1</v>
      </c>
      <c r="G109" s="19" t="n">
        <v>1</v>
      </c>
      <c r="H109" s="19" t="s">
        <v>66</v>
      </c>
      <c r="I109" s="19" t="s">
        <v>60</v>
      </c>
      <c r="J109" s="21" t="s">
        <v>112</v>
      </c>
      <c r="K109" s="15" t="n">
        <v>8</v>
      </c>
      <c r="L109" s="15" t="n">
        <v>2</v>
      </c>
      <c r="M109" s="15" t="n">
        <v>2</v>
      </c>
      <c r="N109" s="15" t="n">
        <v>10</v>
      </c>
      <c r="O109" s="15" t="n">
        <v>7</v>
      </c>
      <c r="P109" s="15" t="n">
        <v>10</v>
      </c>
      <c r="Q109" s="15" t="n">
        <v>6</v>
      </c>
      <c r="R109" s="16" t="n">
        <f aca="false">ROUND(K109*0.55+L109*0.25+M109*0.2,1)</f>
        <v>5.3</v>
      </c>
      <c r="S109" s="16" t="n">
        <f aca="false">ROUND(N109*0.35+O109*0.25+P109*0.25+Q109*0.15,1)</f>
        <v>8.7</v>
      </c>
      <c r="T109" s="17" t="n">
        <f aca="false">ROUND(R109*'Como ler'!$B$5+S109*'Como ler'!$B$6,1)</f>
        <v>6.8</v>
      </c>
      <c r="U109" s="18" t="s">
        <v>62</v>
      </c>
      <c r="V109" s="18" t="s">
        <v>63</v>
      </c>
    </row>
    <row r="110" customFormat="false" ht="15" hidden="false" customHeight="false" outlineLevel="0" collapsed="false">
      <c r="A110" s="19" t="n">
        <v>106</v>
      </c>
      <c r="B110" s="20" t="s">
        <v>319</v>
      </c>
      <c r="C110" s="21" t="s">
        <v>92</v>
      </c>
      <c r="D110" s="21" t="s">
        <v>205</v>
      </c>
      <c r="E110" s="19" t="n">
        <v>131</v>
      </c>
      <c r="F110" s="19" t="n">
        <v>1</v>
      </c>
      <c r="G110" s="19" t="n">
        <v>1</v>
      </c>
      <c r="H110" s="19" t="s">
        <v>115</v>
      </c>
      <c r="I110" s="19" t="s">
        <v>60</v>
      </c>
      <c r="J110" s="21" t="s">
        <v>320</v>
      </c>
      <c r="K110" s="15" t="n">
        <v>8</v>
      </c>
      <c r="L110" s="15" t="n">
        <v>2</v>
      </c>
      <c r="M110" s="15" t="n">
        <v>2</v>
      </c>
      <c r="N110" s="15" t="n">
        <v>10</v>
      </c>
      <c r="O110" s="15" t="n">
        <v>7</v>
      </c>
      <c r="P110" s="15" t="n">
        <v>1</v>
      </c>
      <c r="Q110" s="15" t="n">
        <v>6</v>
      </c>
      <c r="R110" s="16" t="n">
        <f aca="false">ROUND(K110*0.55+L110*0.25+M110*0.2,1)</f>
        <v>5.3</v>
      </c>
      <c r="S110" s="16" t="n">
        <f aca="false">ROUND(N110*0.35+O110*0.25+P110*0.25+Q110*0.15,1)</f>
        <v>6.4</v>
      </c>
      <c r="T110" s="17" t="n">
        <f aca="false">ROUND(R110*'Como ler'!$B$5+S110*'Como ler'!$B$6,1)</f>
        <v>5.8</v>
      </c>
      <c r="U110" s="18" t="s">
        <v>62</v>
      </c>
      <c r="V110" s="18" t="s">
        <v>63</v>
      </c>
    </row>
    <row r="111" customFormat="false" ht="15" hidden="false" customHeight="false" outlineLevel="0" collapsed="false">
      <c r="A111" s="19" t="n">
        <v>107</v>
      </c>
      <c r="B111" s="20" t="s">
        <v>321</v>
      </c>
      <c r="C111" s="21" t="s">
        <v>92</v>
      </c>
      <c r="D111" s="21" t="s">
        <v>205</v>
      </c>
      <c r="E111" s="19" t="n">
        <v>130</v>
      </c>
      <c r="F111" s="19" t="n">
        <v>1</v>
      </c>
      <c r="G111" s="19" t="n">
        <v>1</v>
      </c>
      <c r="H111" s="19" t="s">
        <v>66</v>
      </c>
      <c r="I111" s="19" t="s">
        <v>60</v>
      </c>
      <c r="J111" s="21" t="s">
        <v>320</v>
      </c>
      <c r="K111" s="15" t="n">
        <v>8</v>
      </c>
      <c r="L111" s="15" t="n">
        <v>2</v>
      </c>
      <c r="M111" s="15" t="n">
        <v>2</v>
      </c>
      <c r="N111" s="15" t="n">
        <v>10</v>
      </c>
      <c r="O111" s="15" t="n">
        <v>7</v>
      </c>
      <c r="P111" s="15" t="n">
        <v>1</v>
      </c>
      <c r="Q111" s="15" t="n">
        <v>6</v>
      </c>
      <c r="R111" s="16" t="n">
        <f aca="false">ROUND(K111*0.55+L111*0.25+M111*0.2,1)</f>
        <v>5.3</v>
      </c>
      <c r="S111" s="16" t="n">
        <f aca="false">ROUND(N111*0.35+O111*0.25+P111*0.25+Q111*0.15,1)</f>
        <v>6.4</v>
      </c>
      <c r="T111" s="17" t="n">
        <f aca="false">ROUND(R111*'Como ler'!$B$5+S111*'Como ler'!$B$6,1)</f>
        <v>5.8</v>
      </c>
      <c r="U111" s="18" t="s">
        <v>62</v>
      </c>
      <c r="V111" s="18" t="s">
        <v>63</v>
      </c>
    </row>
    <row r="112" customFormat="false" ht="15" hidden="false" customHeight="false" outlineLevel="0" collapsed="false">
      <c r="A112" s="19" t="n">
        <v>108</v>
      </c>
      <c r="B112" s="20" t="s">
        <v>322</v>
      </c>
      <c r="C112" s="21" t="s">
        <v>92</v>
      </c>
      <c r="D112" s="21" t="s">
        <v>205</v>
      </c>
      <c r="E112" s="19" t="n">
        <v>130</v>
      </c>
      <c r="F112" s="19" t="n">
        <v>1</v>
      </c>
      <c r="G112" s="19" t="n">
        <v>2</v>
      </c>
      <c r="H112" s="19" t="s">
        <v>66</v>
      </c>
      <c r="I112" s="19" t="s">
        <v>60</v>
      </c>
      <c r="J112" s="21" t="s">
        <v>323</v>
      </c>
      <c r="K112" s="15" t="n">
        <v>8</v>
      </c>
      <c r="L112" s="15" t="n">
        <v>2</v>
      </c>
      <c r="M112" s="15" t="n">
        <v>4</v>
      </c>
      <c r="N112" s="15" t="n">
        <v>10</v>
      </c>
      <c r="O112" s="15" t="n">
        <v>7</v>
      </c>
      <c r="P112" s="15" t="n">
        <v>1</v>
      </c>
      <c r="Q112" s="15" t="n">
        <v>6</v>
      </c>
      <c r="R112" s="16" t="n">
        <f aca="false">ROUND(K112*0.55+L112*0.25+M112*0.2,1)</f>
        <v>5.7</v>
      </c>
      <c r="S112" s="16" t="n">
        <f aca="false">ROUND(N112*0.35+O112*0.25+P112*0.25+Q112*0.15,1)</f>
        <v>6.4</v>
      </c>
      <c r="T112" s="17" t="n">
        <f aca="false">ROUND(R112*'Como ler'!$B$5+S112*'Como ler'!$B$6,1)</f>
        <v>6</v>
      </c>
      <c r="U112" s="18" t="s">
        <v>62</v>
      </c>
      <c r="V112" s="18" t="s">
        <v>63</v>
      </c>
    </row>
    <row r="113" customFormat="false" ht="15" hidden="false" customHeight="false" outlineLevel="0" collapsed="false">
      <c r="A113" s="19" t="n">
        <v>109</v>
      </c>
      <c r="B113" s="20" t="s">
        <v>324</v>
      </c>
      <c r="C113" s="21" t="s">
        <v>92</v>
      </c>
      <c r="D113" s="21" t="s">
        <v>205</v>
      </c>
      <c r="E113" s="19" t="n">
        <v>126</v>
      </c>
      <c r="F113" s="19" t="n">
        <v>1</v>
      </c>
      <c r="G113" s="19" t="n">
        <v>1</v>
      </c>
      <c r="H113" s="19" t="s">
        <v>66</v>
      </c>
      <c r="I113" s="19" t="s">
        <v>210</v>
      </c>
      <c r="J113" s="21" t="s">
        <v>211</v>
      </c>
      <c r="K113" s="15" t="n">
        <v>8</v>
      </c>
      <c r="L113" s="15" t="n">
        <v>2</v>
      </c>
      <c r="M113" s="15" t="n">
        <v>2</v>
      </c>
      <c r="N113" s="15" t="n">
        <v>3</v>
      </c>
      <c r="O113" s="15" t="n">
        <v>4</v>
      </c>
      <c r="P113" s="15" t="n">
        <v>1</v>
      </c>
      <c r="Q113" s="15" t="n">
        <v>6</v>
      </c>
      <c r="R113" s="16" t="n">
        <f aca="false">ROUND(K113*0.55+L113*0.25+M113*0.2,1)</f>
        <v>5.3</v>
      </c>
      <c r="S113" s="16" t="n">
        <f aca="false">ROUND(N113*0.35+O113*0.25+P113*0.25+Q113*0.15,1)</f>
        <v>3.2</v>
      </c>
      <c r="T113" s="17" t="n">
        <f aca="false">ROUND(R113*'Como ler'!$B$5+S113*'Como ler'!$B$6,1)</f>
        <v>4.4</v>
      </c>
      <c r="U113" s="18" t="s">
        <v>62</v>
      </c>
      <c r="V113" s="22" t="s">
        <v>211</v>
      </c>
    </row>
    <row r="114" customFormat="false" ht="15" hidden="false" customHeight="false" outlineLevel="0" collapsed="false">
      <c r="A114" s="19" t="n">
        <v>110</v>
      </c>
      <c r="B114" s="20" t="s">
        <v>325</v>
      </c>
      <c r="C114" s="21" t="s">
        <v>92</v>
      </c>
      <c r="D114" s="21" t="s">
        <v>233</v>
      </c>
      <c r="E114" s="19" t="n">
        <v>122</v>
      </c>
      <c r="F114" s="19" t="n">
        <v>2</v>
      </c>
      <c r="G114" s="19" t="n">
        <v>2</v>
      </c>
      <c r="H114" s="19" t="s">
        <v>66</v>
      </c>
      <c r="I114" s="19" t="s">
        <v>60</v>
      </c>
      <c r="J114" s="21" t="s">
        <v>326</v>
      </c>
      <c r="K114" s="15" t="n">
        <v>8</v>
      </c>
      <c r="L114" s="15" t="n">
        <v>4</v>
      </c>
      <c r="M114" s="15" t="n">
        <v>4</v>
      </c>
      <c r="N114" s="15" t="n">
        <v>10</v>
      </c>
      <c r="O114" s="15" t="n">
        <v>7</v>
      </c>
      <c r="P114" s="15" t="n">
        <v>3</v>
      </c>
      <c r="Q114" s="15" t="n">
        <v>6</v>
      </c>
      <c r="R114" s="16" t="n">
        <f aca="false">ROUND(K114*0.55+L114*0.25+M114*0.2,1)</f>
        <v>6.2</v>
      </c>
      <c r="S114" s="16" t="n">
        <f aca="false">ROUND(N114*0.35+O114*0.25+P114*0.25+Q114*0.15,1)</f>
        <v>6.9</v>
      </c>
      <c r="T114" s="17" t="n">
        <f aca="false">ROUND(R114*'Como ler'!$B$5+S114*'Como ler'!$B$6,1)</f>
        <v>6.5</v>
      </c>
      <c r="U114" s="18" t="s">
        <v>62</v>
      </c>
      <c r="V114" s="18" t="s">
        <v>63</v>
      </c>
    </row>
    <row r="115" customFormat="false" ht="15" hidden="false" customHeight="false" outlineLevel="0" collapsed="false">
      <c r="A115" s="19" t="n">
        <v>111</v>
      </c>
      <c r="B115" s="20" t="s">
        <v>327</v>
      </c>
      <c r="C115" s="21" t="s">
        <v>92</v>
      </c>
      <c r="D115" s="21" t="s">
        <v>205</v>
      </c>
      <c r="E115" s="19" t="n">
        <v>119</v>
      </c>
      <c r="F115" s="19" t="n">
        <v>1</v>
      </c>
      <c r="G115" s="19" t="n">
        <v>1</v>
      </c>
      <c r="H115" s="19" t="s">
        <v>66</v>
      </c>
      <c r="I115" s="19" t="s">
        <v>60</v>
      </c>
      <c r="J115" s="21" t="s">
        <v>328</v>
      </c>
      <c r="K115" s="15" t="n">
        <v>7</v>
      </c>
      <c r="L115" s="15" t="n">
        <v>2</v>
      </c>
      <c r="M115" s="15" t="n">
        <v>2</v>
      </c>
      <c r="N115" s="15" t="n">
        <v>10</v>
      </c>
      <c r="O115" s="15" t="n">
        <v>7</v>
      </c>
      <c r="P115" s="15" t="n">
        <v>1</v>
      </c>
      <c r="Q115" s="15" t="n">
        <v>6</v>
      </c>
      <c r="R115" s="16" t="n">
        <f aca="false">ROUND(K115*0.55+L115*0.25+M115*0.2,1)</f>
        <v>4.8</v>
      </c>
      <c r="S115" s="16" t="n">
        <f aca="false">ROUND(N115*0.35+O115*0.25+P115*0.25+Q115*0.15,1)</f>
        <v>6.4</v>
      </c>
      <c r="T115" s="17" t="n">
        <f aca="false">ROUND(R115*'Como ler'!$B$5+S115*'Como ler'!$B$6,1)</f>
        <v>5.5</v>
      </c>
      <c r="U115" s="18" t="s">
        <v>62</v>
      </c>
      <c r="V115" s="18" t="s">
        <v>63</v>
      </c>
    </row>
    <row r="116" customFormat="false" ht="15" hidden="false" customHeight="false" outlineLevel="0" collapsed="false">
      <c r="A116" s="19" t="n">
        <v>112</v>
      </c>
      <c r="B116" s="20" t="s">
        <v>329</v>
      </c>
      <c r="C116" s="21" t="s">
        <v>92</v>
      </c>
      <c r="D116" s="21" t="s">
        <v>205</v>
      </c>
      <c r="E116" s="19" t="n">
        <v>119</v>
      </c>
      <c r="F116" s="19" t="n">
        <v>1</v>
      </c>
      <c r="G116" s="19" t="n">
        <v>1</v>
      </c>
      <c r="H116" s="19" t="s">
        <v>66</v>
      </c>
      <c r="I116" s="19" t="s">
        <v>167</v>
      </c>
      <c r="J116" s="21" t="s">
        <v>168</v>
      </c>
      <c r="K116" s="15" t="n">
        <v>7</v>
      </c>
      <c r="L116" s="15" t="n">
        <v>2</v>
      </c>
      <c r="M116" s="15" t="n">
        <v>2</v>
      </c>
      <c r="N116" s="15" t="n">
        <v>3</v>
      </c>
      <c r="O116" s="15" t="n">
        <v>4</v>
      </c>
      <c r="P116" s="15" t="n">
        <v>1</v>
      </c>
      <c r="Q116" s="15" t="n">
        <v>6</v>
      </c>
      <c r="R116" s="16" t="n">
        <f aca="false">ROUND(K116*0.55+L116*0.25+M116*0.2,1)</f>
        <v>4.8</v>
      </c>
      <c r="S116" s="16" t="n">
        <f aca="false">ROUND(N116*0.35+O116*0.25+P116*0.25+Q116*0.15,1)</f>
        <v>3.2</v>
      </c>
      <c r="T116" s="17" t="n">
        <f aca="false">ROUND(R116*'Como ler'!$B$5+S116*'Como ler'!$B$6,1)</f>
        <v>4.1</v>
      </c>
      <c r="U116" s="18" t="s">
        <v>62</v>
      </c>
      <c r="V116" s="18" t="s">
        <v>63</v>
      </c>
    </row>
    <row r="117" customFormat="false" ht="15" hidden="false" customHeight="false" outlineLevel="0" collapsed="false">
      <c r="A117" s="19" t="n">
        <v>113</v>
      </c>
      <c r="B117" s="20" t="s">
        <v>123</v>
      </c>
      <c r="C117" s="21" t="s">
        <v>65</v>
      </c>
      <c r="D117" s="21" t="s">
        <v>58</v>
      </c>
      <c r="E117" s="19" t="n">
        <v>118</v>
      </c>
      <c r="F117" s="19" t="n">
        <v>1</v>
      </c>
      <c r="G117" s="19" t="n">
        <v>1</v>
      </c>
      <c r="H117" s="19" t="s">
        <v>59</v>
      </c>
      <c r="I117" s="19" t="s">
        <v>60</v>
      </c>
      <c r="J117" s="21" t="s">
        <v>124</v>
      </c>
      <c r="K117" s="15" t="n">
        <v>7</v>
      </c>
      <c r="L117" s="15" t="n">
        <v>2</v>
      </c>
      <c r="M117" s="15" t="n">
        <v>2</v>
      </c>
      <c r="N117" s="15" t="n">
        <v>10</v>
      </c>
      <c r="O117" s="15" t="n">
        <v>7</v>
      </c>
      <c r="P117" s="15" t="n">
        <v>10</v>
      </c>
      <c r="Q117" s="15" t="n">
        <v>9</v>
      </c>
      <c r="R117" s="16" t="n">
        <f aca="false">ROUND(K117*0.55+L117*0.25+M117*0.2,1)</f>
        <v>4.8</v>
      </c>
      <c r="S117" s="16" t="n">
        <f aca="false">ROUND(N117*0.35+O117*0.25+P117*0.25+Q117*0.15,1)</f>
        <v>9.1</v>
      </c>
      <c r="T117" s="17" t="n">
        <f aca="false">ROUND(R117*'Como ler'!$B$5+S117*'Como ler'!$B$6,1)</f>
        <v>6.7</v>
      </c>
      <c r="U117" s="18" t="s">
        <v>62</v>
      </c>
      <c r="V117" s="18" t="s">
        <v>63</v>
      </c>
    </row>
    <row r="118" customFormat="false" ht="15" hidden="false" customHeight="false" outlineLevel="0" collapsed="false">
      <c r="A118" s="19" t="n">
        <v>114</v>
      </c>
      <c r="B118" s="20" t="s">
        <v>330</v>
      </c>
      <c r="C118" s="21" t="s">
        <v>92</v>
      </c>
      <c r="D118" s="21" t="s">
        <v>205</v>
      </c>
      <c r="E118" s="19" t="n">
        <v>116</v>
      </c>
      <c r="F118" s="19" t="n">
        <v>1</v>
      </c>
      <c r="G118" s="19" t="n">
        <v>1</v>
      </c>
      <c r="H118" s="19" t="s">
        <v>66</v>
      </c>
      <c r="I118" s="19" t="s">
        <v>140</v>
      </c>
      <c r="J118" s="21" t="s">
        <v>141</v>
      </c>
      <c r="K118" s="15" t="n">
        <v>7</v>
      </c>
      <c r="L118" s="15" t="n">
        <v>2</v>
      </c>
      <c r="M118" s="15" t="n">
        <v>2</v>
      </c>
      <c r="N118" s="15" t="n">
        <v>3</v>
      </c>
      <c r="O118" s="15" t="n">
        <v>4</v>
      </c>
      <c r="P118" s="15" t="n">
        <v>1</v>
      </c>
      <c r="Q118" s="15" t="n">
        <v>6</v>
      </c>
      <c r="R118" s="16" t="n">
        <f aca="false">ROUND(K118*0.55+L118*0.25+M118*0.2,1)</f>
        <v>4.8</v>
      </c>
      <c r="S118" s="16" t="n">
        <f aca="false">ROUND(N118*0.35+O118*0.25+P118*0.25+Q118*0.15,1)</f>
        <v>3.2</v>
      </c>
      <c r="T118" s="17" t="n">
        <f aca="false">ROUND(R118*'Como ler'!$B$5+S118*'Como ler'!$B$6,1)</f>
        <v>4.1</v>
      </c>
      <c r="U118" s="18" t="s">
        <v>62</v>
      </c>
      <c r="V118" s="18" t="s">
        <v>63</v>
      </c>
    </row>
    <row r="119" customFormat="false" ht="15" hidden="false" customHeight="false" outlineLevel="0" collapsed="false">
      <c r="A119" s="19" t="n">
        <v>115</v>
      </c>
      <c r="B119" s="20" t="s">
        <v>331</v>
      </c>
      <c r="C119" s="21" t="s">
        <v>92</v>
      </c>
      <c r="D119" s="21" t="s">
        <v>205</v>
      </c>
      <c r="E119" s="19" t="n">
        <v>116</v>
      </c>
      <c r="F119" s="19" t="n">
        <v>1</v>
      </c>
      <c r="G119" s="19" t="n">
        <v>1</v>
      </c>
      <c r="H119" s="19" t="s">
        <v>59</v>
      </c>
      <c r="I119" s="19" t="s">
        <v>140</v>
      </c>
      <c r="J119" s="21" t="s">
        <v>141</v>
      </c>
      <c r="K119" s="15" t="n">
        <v>7</v>
      </c>
      <c r="L119" s="15" t="n">
        <v>2</v>
      </c>
      <c r="M119" s="15" t="n">
        <v>2</v>
      </c>
      <c r="N119" s="15" t="n">
        <v>3</v>
      </c>
      <c r="O119" s="15" t="n">
        <v>4</v>
      </c>
      <c r="P119" s="15" t="n">
        <v>1</v>
      </c>
      <c r="Q119" s="15" t="n">
        <v>9</v>
      </c>
      <c r="R119" s="16" t="n">
        <f aca="false">ROUND(K119*0.55+L119*0.25+M119*0.2,1)</f>
        <v>4.8</v>
      </c>
      <c r="S119" s="16" t="n">
        <f aca="false">ROUND(N119*0.35+O119*0.25+P119*0.25+Q119*0.15,1)</f>
        <v>3.7</v>
      </c>
      <c r="T119" s="17" t="n">
        <f aca="false">ROUND(R119*'Como ler'!$B$5+S119*'Como ler'!$B$6,1)</f>
        <v>4.3</v>
      </c>
      <c r="U119" s="18" t="s">
        <v>62</v>
      </c>
      <c r="V119" s="18" t="s">
        <v>63</v>
      </c>
    </row>
    <row r="120" customFormat="false" ht="15" hidden="false" customHeight="false" outlineLevel="0" collapsed="false">
      <c r="A120" s="19" t="n">
        <v>116</v>
      </c>
      <c r="B120" s="20" t="s">
        <v>332</v>
      </c>
      <c r="C120" s="21" t="s">
        <v>92</v>
      </c>
      <c r="D120" s="21" t="s">
        <v>205</v>
      </c>
      <c r="E120" s="19" t="n">
        <v>115</v>
      </c>
      <c r="F120" s="19" t="n">
        <v>1</v>
      </c>
      <c r="G120" s="19" t="n">
        <v>1</v>
      </c>
      <c r="H120" s="19" t="s">
        <v>66</v>
      </c>
      <c r="I120" s="19" t="s">
        <v>140</v>
      </c>
      <c r="J120" s="21" t="s">
        <v>141</v>
      </c>
      <c r="K120" s="15" t="n">
        <v>7</v>
      </c>
      <c r="L120" s="15" t="n">
        <v>2</v>
      </c>
      <c r="M120" s="15" t="n">
        <v>2</v>
      </c>
      <c r="N120" s="15" t="n">
        <v>3</v>
      </c>
      <c r="O120" s="15" t="n">
        <v>4</v>
      </c>
      <c r="P120" s="15" t="n">
        <v>1</v>
      </c>
      <c r="Q120" s="15" t="n">
        <v>6</v>
      </c>
      <c r="R120" s="16" t="n">
        <f aca="false">ROUND(K120*0.55+L120*0.25+M120*0.2,1)</f>
        <v>4.8</v>
      </c>
      <c r="S120" s="16" t="n">
        <f aca="false">ROUND(N120*0.35+O120*0.25+P120*0.25+Q120*0.15,1)</f>
        <v>3.2</v>
      </c>
      <c r="T120" s="17" t="n">
        <f aca="false">ROUND(R120*'Como ler'!$B$5+S120*'Como ler'!$B$6,1)</f>
        <v>4.1</v>
      </c>
      <c r="U120" s="18" t="s">
        <v>62</v>
      </c>
      <c r="V120" s="18" t="s">
        <v>63</v>
      </c>
    </row>
    <row r="121" customFormat="false" ht="15" hidden="false" customHeight="false" outlineLevel="0" collapsed="false">
      <c r="A121" s="19" t="n">
        <v>117</v>
      </c>
      <c r="B121" s="20" t="s">
        <v>333</v>
      </c>
      <c r="C121" s="21" t="s">
        <v>87</v>
      </c>
      <c r="D121" s="21" t="s">
        <v>233</v>
      </c>
      <c r="E121" s="19" t="n">
        <v>113</v>
      </c>
      <c r="F121" s="19" t="n">
        <v>1</v>
      </c>
      <c r="G121" s="19" t="n">
        <v>1</v>
      </c>
      <c r="H121" s="19" t="s">
        <v>66</v>
      </c>
      <c r="I121" s="19" t="s">
        <v>60</v>
      </c>
      <c r="J121" s="21" t="s">
        <v>334</v>
      </c>
      <c r="K121" s="15" t="n">
        <v>7</v>
      </c>
      <c r="L121" s="15" t="n">
        <v>2</v>
      </c>
      <c r="M121" s="15" t="n">
        <v>2</v>
      </c>
      <c r="N121" s="15" t="n">
        <v>10</v>
      </c>
      <c r="O121" s="15" t="n">
        <v>7</v>
      </c>
      <c r="P121" s="15" t="n">
        <v>3</v>
      </c>
      <c r="Q121" s="15" t="n">
        <v>6</v>
      </c>
      <c r="R121" s="16" t="n">
        <f aca="false">ROUND(K121*0.55+L121*0.25+M121*0.2,1)</f>
        <v>4.8</v>
      </c>
      <c r="S121" s="16" t="n">
        <f aca="false">ROUND(N121*0.35+O121*0.25+P121*0.25+Q121*0.15,1)</f>
        <v>6.9</v>
      </c>
      <c r="T121" s="17" t="n">
        <f aca="false">ROUND(R121*'Como ler'!$B$5+S121*'Como ler'!$B$6,1)</f>
        <v>5.7</v>
      </c>
      <c r="U121" s="18" t="s">
        <v>62</v>
      </c>
      <c r="V121" s="18" t="s">
        <v>63</v>
      </c>
    </row>
    <row r="122" customFormat="false" ht="15" hidden="false" customHeight="false" outlineLevel="0" collapsed="false">
      <c r="A122" s="19" t="n">
        <v>118</v>
      </c>
      <c r="B122" s="20" t="s">
        <v>335</v>
      </c>
      <c r="C122" s="21" t="s">
        <v>92</v>
      </c>
      <c r="D122" s="21" t="s">
        <v>205</v>
      </c>
      <c r="E122" s="19" t="n">
        <v>113</v>
      </c>
      <c r="F122" s="19" t="n">
        <v>1</v>
      </c>
      <c r="G122" s="19" t="n">
        <v>3</v>
      </c>
      <c r="H122" s="19" t="s">
        <v>59</v>
      </c>
      <c r="I122" s="19" t="s">
        <v>167</v>
      </c>
      <c r="J122" s="21" t="s">
        <v>168</v>
      </c>
      <c r="K122" s="15" t="n">
        <v>7</v>
      </c>
      <c r="L122" s="15" t="n">
        <v>2</v>
      </c>
      <c r="M122" s="15" t="n">
        <v>4</v>
      </c>
      <c r="N122" s="15" t="n">
        <v>3</v>
      </c>
      <c r="O122" s="15" t="n">
        <v>4</v>
      </c>
      <c r="P122" s="15" t="n">
        <v>1</v>
      </c>
      <c r="Q122" s="15" t="n">
        <v>9</v>
      </c>
      <c r="R122" s="16" t="n">
        <f aca="false">ROUND(K122*0.55+L122*0.25+M122*0.2,1)</f>
        <v>5.2</v>
      </c>
      <c r="S122" s="16" t="n">
        <f aca="false">ROUND(N122*0.35+O122*0.25+P122*0.25+Q122*0.15,1)</f>
        <v>3.7</v>
      </c>
      <c r="T122" s="17" t="n">
        <f aca="false">ROUND(R122*'Como ler'!$B$5+S122*'Como ler'!$B$6,1)</f>
        <v>4.5</v>
      </c>
      <c r="U122" s="18" t="s">
        <v>62</v>
      </c>
      <c r="V122" s="18" t="s">
        <v>63</v>
      </c>
    </row>
    <row r="123" customFormat="false" ht="15" hidden="false" customHeight="false" outlineLevel="0" collapsed="false">
      <c r="A123" s="19" t="n">
        <v>119</v>
      </c>
      <c r="B123" s="20" t="s">
        <v>336</v>
      </c>
      <c r="C123" s="21" t="s">
        <v>92</v>
      </c>
      <c r="D123" s="21" t="s">
        <v>205</v>
      </c>
      <c r="E123" s="19" t="n">
        <v>112</v>
      </c>
      <c r="F123" s="19" t="n">
        <v>1</v>
      </c>
      <c r="G123" s="19" t="n">
        <v>1</v>
      </c>
      <c r="H123" s="19" t="s">
        <v>66</v>
      </c>
      <c r="I123" s="19" t="s">
        <v>210</v>
      </c>
      <c r="J123" s="21" t="s">
        <v>211</v>
      </c>
      <c r="K123" s="15" t="n">
        <v>7</v>
      </c>
      <c r="L123" s="15" t="n">
        <v>2</v>
      </c>
      <c r="M123" s="15" t="n">
        <v>2</v>
      </c>
      <c r="N123" s="15" t="n">
        <v>3</v>
      </c>
      <c r="O123" s="15" t="n">
        <v>4</v>
      </c>
      <c r="P123" s="15" t="n">
        <v>1</v>
      </c>
      <c r="Q123" s="15" t="n">
        <v>6</v>
      </c>
      <c r="R123" s="16" t="n">
        <f aca="false">ROUND(K123*0.55+L123*0.25+M123*0.2,1)</f>
        <v>4.8</v>
      </c>
      <c r="S123" s="16" t="n">
        <f aca="false">ROUND(N123*0.35+O123*0.25+P123*0.25+Q123*0.15,1)</f>
        <v>3.2</v>
      </c>
      <c r="T123" s="17" t="n">
        <f aca="false">ROUND(R123*'Como ler'!$B$5+S123*'Como ler'!$B$6,1)</f>
        <v>4.1</v>
      </c>
      <c r="U123" s="18" t="s">
        <v>62</v>
      </c>
      <c r="V123" s="22" t="s">
        <v>211</v>
      </c>
    </row>
    <row r="124" customFormat="false" ht="15" hidden="false" customHeight="false" outlineLevel="0" collapsed="false">
      <c r="A124" s="19" t="n">
        <v>120</v>
      </c>
      <c r="B124" s="20" t="s">
        <v>337</v>
      </c>
      <c r="C124" s="21" t="s">
        <v>92</v>
      </c>
      <c r="D124" s="21" t="s">
        <v>205</v>
      </c>
      <c r="E124" s="19" t="n">
        <v>112</v>
      </c>
      <c r="F124" s="19" t="n">
        <v>1</v>
      </c>
      <c r="G124" s="19" t="n">
        <v>1</v>
      </c>
      <c r="H124" s="19" t="s">
        <v>59</v>
      </c>
      <c r="I124" s="19" t="s">
        <v>167</v>
      </c>
      <c r="J124" s="21" t="s">
        <v>168</v>
      </c>
      <c r="K124" s="15" t="n">
        <v>7</v>
      </c>
      <c r="L124" s="15" t="n">
        <v>2</v>
      </c>
      <c r="M124" s="15" t="n">
        <v>2</v>
      </c>
      <c r="N124" s="15" t="n">
        <v>3</v>
      </c>
      <c r="O124" s="15" t="n">
        <v>4</v>
      </c>
      <c r="P124" s="15" t="n">
        <v>1</v>
      </c>
      <c r="Q124" s="15" t="n">
        <v>9</v>
      </c>
      <c r="R124" s="16" t="n">
        <f aca="false">ROUND(K124*0.55+L124*0.25+M124*0.2,1)</f>
        <v>4.8</v>
      </c>
      <c r="S124" s="16" t="n">
        <f aca="false">ROUND(N124*0.35+O124*0.25+P124*0.25+Q124*0.15,1)</f>
        <v>3.7</v>
      </c>
      <c r="T124" s="17" t="n">
        <f aca="false">ROUND(R124*'Como ler'!$B$5+S124*'Como ler'!$B$6,1)</f>
        <v>4.3</v>
      </c>
      <c r="U124" s="18" t="s">
        <v>62</v>
      </c>
      <c r="V124" s="18" t="s">
        <v>63</v>
      </c>
    </row>
    <row r="125" customFormat="false" ht="15" hidden="false" customHeight="false" outlineLevel="0" collapsed="false">
      <c r="A125" s="19" t="n">
        <v>121</v>
      </c>
      <c r="B125" s="20" t="s">
        <v>338</v>
      </c>
      <c r="C125" s="21" t="s">
        <v>92</v>
      </c>
      <c r="D125" s="21" t="s">
        <v>205</v>
      </c>
      <c r="E125" s="19" t="n">
        <v>109</v>
      </c>
      <c r="F125" s="19" t="n">
        <v>1</v>
      </c>
      <c r="G125" s="19" t="n">
        <v>1</v>
      </c>
      <c r="H125" s="19" t="s">
        <v>66</v>
      </c>
      <c r="I125" s="19" t="s">
        <v>167</v>
      </c>
      <c r="J125" s="21" t="s">
        <v>168</v>
      </c>
      <c r="K125" s="15" t="n">
        <v>7</v>
      </c>
      <c r="L125" s="15" t="n">
        <v>2</v>
      </c>
      <c r="M125" s="15" t="n">
        <v>2</v>
      </c>
      <c r="N125" s="15" t="n">
        <v>3</v>
      </c>
      <c r="O125" s="15" t="n">
        <v>4</v>
      </c>
      <c r="P125" s="15" t="n">
        <v>1</v>
      </c>
      <c r="Q125" s="15" t="n">
        <v>6</v>
      </c>
      <c r="R125" s="16" t="n">
        <f aca="false">ROUND(K125*0.55+L125*0.25+M125*0.2,1)</f>
        <v>4.8</v>
      </c>
      <c r="S125" s="16" t="n">
        <f aca="false">ROUND(N125*0.35+O125*0.25+P125*0.25+Q125*0.15,1)</f>
        <v>3.2</v>
      </c>
      <c r="T125" s="17" t="n">
        <f aca="false">ROUND(R125*'Como ler'!$B$5+S125*'Como ler'!$B$6,1)</f>
        <v>4.1</v>
      </c>
      <c r="U125" s="18" t="s">
        <v>62</v>
      </c>
      <c r="V125" s="18" t="s">
        <v>63</v>
      </c>
    </row>
    <row r="126" customFormat="false" ht="15" hidden="false" customHeight="false" outlineLevel="0" collapsed="false">
      <c r="A126" s="19" t="n">
        <v>122</v>
      </c>
      <c r="B126" s="20" t="s">
        <v>148</v>
      </c>
      <c r="C126" s="21" t="s">
        <v>92</v>
      </c>
      <c r="D126" s="21" t="s">
        <v>58</v>
      </c>
      <c r="E126" s="19" t="n">
        <v>107</v>
      </c>
      <c r="F126" s="19" t="n">
        <v>3</v>
      </c>
      <c r="G126" s="19" t="n">
        <v>5</v>
      </c>
      <c r="H126" s="19" t="s">
        <v>115</v>
      </c>
      <c r="I126" s="19" t="s">
        <v>149</v>
      </c>
      <c r="J126" s="21" t="s">
        <v>150</v>
      </c>
      <c r="K126" s="15" t="n">
        <v>7</v>
      </c>
      <c r="L126" s="15" t="n">
        <v>6</v>
      </c>
      <c r="M126" s="15" t="n">
        <v>6</v>
      </c>
      <c r="N126" s="15" t="n">
        <v>3</v>
      </c>
      <c r="O126" s="15" t="n">
        <v>4</v>
      </c>
      <c r="P126" s="15" t="n">
        <v>10</v>
      </c>
      <c r="Q126" s="15" t="n">
        <v>6</v>
      </c>
      <c r="R126" s="16" t="n">
        <f aca="false">ROUND(K126*0.55+L126*0.25+M126*0.2,1)</f>
        <v>6.6</v>
      </c>
      <c r="S126" s="16" t="n">
        <f aca="false">ROUND(N126*0.35+O126*0.25+P126*0.25+Q126*0.15,1)</f>
        <v>5.5</v>
      </c>
      <c r="T126" s="17" t="n">
        <f aca="false">ROUND(R126*'Como ler'!$B$5+S126*'Como ler'!$B$6,1)</f>
        <v>6.1</v>
      </c>
      <c r="U126" s="18" t="s">
        <v>62</v>
      </c>
      <c r="V126" s="18" t="s">
        <v>63</v>
      </c>
    </row>
    <row r="127" customFormat="false" ht="15" hidden="false" customHeight="false" outlineLevel="0" collapsed="false">
      <c r="A127" s="19" t="n">
        <v>123</v>
      </c>
      <c r="B127" s="20" t="s">
        <v>339</v>
      </c>
      <c r="C127" s="21" t="s">
        <v>114</v>
      </c>
      <c r="D127" s="21" t="s">
        <v>205</v>
      </c>
      <c r="E127" s="19" t="n">
        <v>107</v>
      </c>
      <c r="F127" s="19" t="n">
        <v>3</v>
      </c>
      <c r="G127" s="19" t="n">
        <v>3</v>
      </c>
      <c r="H127" s="19" t="s">
        <v>66</v>
      </c>
      <c r="I127" s="19" t="s">
        <v>60</v>
      </c>
      <c r="J127" s="21" t="s">
        <v>340</v>
      </c>
      <c r="K127" s="15" t="n">
        <v>7</v>
      </c>
      <c r="L127" s="15" t="n">
        <v>6</v>
      </c>
      <c r="M127" s="15" t="n">
        <v>4</v>
      </c>
      <c r="N127" s="15" t="n">
        <v>10</v>
      </c>
      <c r="O127" s="15" t="n">
        <v>7</v>
      </c>
      <c r="P127" s="15" t="n">
        <v>1</v>
      </c>
      <c r="Q127" s="15" t="n">
        <v>6</v>
      </c>
      <c r="R127" s="16" t="n">
        <f aca="false">ROUND(K127*0.55+L127*0.25+M127*0.2,1)</f>
        <v>6.2</v>
      </c>
      <c r="S127" s="16" t="n">
        <f aca="false">ROUND(N127*0.35+O127*0.25+P127*0.25+Q127*0.15,1)</f>
        <v>6.4</v>
      </c>
      <c r="T127" s="17" t="n">
        <f aca="false">ROUND(R127*'Como ler'!$B$5+S127*'Como ler'!$B$6,1)</f>
        <v>6.3</v>
      </c>
      <c r="U127" s="18" t="s">
        <v>62</v>
      </c>
      <c r="V127" s="18" t="s">
        <v>63</v>
      </c>
    </row>
    <row r="128" customFormat="false" ht="15" hidden="false" customHeight="false" outlineLevel="0" collapsed="false">
      <c r="A128" s="19" t="n">
        <v>124</v>
      </c>
      <c r="B128" s="20" t="s">
        <v>341</v>
      </c>
      <c r="C128" s="21" t="s">
        <v>92</v>
      </c>
      <c r="D128" s="21" t="s">
        <v>297</v>
      </c>
      <c r="E128" s="19" t="n">
        <v>106</v>
      </c>
      <c r="F128" s="19" t="n">
        <v>1</v>
      </c>
      <c r="G128" s="19" t="n">
        <v>2</v>
      </c>
      <c r="H128" s="19" t="s">
        <v>59</v>
      </c>
      <c r="I128" s="19" t="s">
        <v>167</v>
      </c>
      <c r="J128" s="21" t="s">
        <v>168</v>
      </c>
      <c r="K128" s="15" t="n">
        <v>7</v>
      </c>
      <c r="L128" s="15" t="n">
        <v>2</v>
      </c>
      <c r="M128" s="15" t="n">
        <v>4</v>
      </c>
      <c r="N128" s="15" t="n">
        <v>3</v>
      </c>
      <c r="O128" s="15" t="n">
        <v>4</v>
      </c>
      <c r="P128" s="15" t="n">
        <v>6</v>
      </c>
      <c r="Q128" s="15" t="n">
        <v>9</v>
      </c>
      <c r="R128" s="16" t="n">
        <f aca="false">ROUND(K128*0.55+L128*0.25+M128*0.2,1)</f>
        <v>5.2</v>
      </c>
      <c r="S128" s="16" t="n">
        <f aca="false">ROUND(N128*0.35+O128*0.25+P128*0.25+Q128*0.15,1)</f>
        <v>4.9</v>
      </c>
      <c r="T128" s="17" t="n">
        <f aca="false">ROUND(R128*'Como ler'!$B$5+S128*'Como ler'!$B$6,1)</f>
        <v>5.1</v>
      </c>
      <c r="U128" s="18" t="s">
        <v>62</v>
      </c>
      <c r="V128" s="18" t="s">
        <v>63</v>
      </c>
    </row>
    <row r="129" customFormat="false" ht="15" hidden="false" customHeight="false" outlineLevel="0" collapsed="false">
      <c r="A129" s="19" t="n">
        <v>125</v>
      </c>
      <c r="B129" s="20" t="s">
        <v>342</v>
      </c>
      <c r="C129" s="21" t="s">
        <v>92</v>
      </c>
      <c r="D129" s="21" t="s">
        <v>205</v>
      </c>
      <c r="E129" s="19" t="n">
        <v>106</v>
      </c>
      <c r="F129" s="19" t="n">
        <v>1</v>
      </c>
      <c r="G129" s="19" t="n">
        <v>1</v>
      </c>
      <c r="H129" s="19" t="s">
        <v>66</v>
      </c>
      <c r="I129" s="19" t="s">
        <v>140</v>
      </c>
      <c r="J129" s="21" t="s">
        <v>141</v>
      </c>
      <c r="K129" s="15" t="n">
        <v>7</v>
      </c>
      <c r="L129" s="15" t="n">
        <v>2</v>
      </c>
      <c r="M129" s="15" t="n">
        <v>2</v>
      </c>
      <c r="N129" s="15" t="n">
        <v>3</v>
      </c>
      <c r="O129" s="15" t="n">
        <v>4</v>
      </c>
      <c r="P129" s="15" t="n">
        <v>1</v>
      </c>
      <c r="Q129" s="15" t="n">
        <v>6</v>
      </c>
      <c r="R129" s="16" t="n">
        <f aca="false">ROUND(K129*0.55+L129*0.25+M129*0.2,1)</f>
        <v>4.8</v>
      </c>
      <c r="S129" s="16" t="n">
        <f aca="false">ROUND(N129*0.35+O129*0.25+P129*0.25+Q129*0.15,1)</f>
        <v>3.2</v>
      </c>
      <c r="T129" s="17" t="n">
        <f aca="false">ROUND(R129*'Como ler'!$B$5+S129*'Como ler'!$B$6,1)</f>
        <v>4.1</v>
      </c>
      <c r="U129" s="18" t="s">
        <v>62</v>
      </c>
      <c r="V129" s="18" t="s">
        <v>63</v>
      </c>
    </row>
    <row r="130" customFormat="false" ht="15" hidden="false" customHeight="false" outlineLevel="0" collapsed="false">
      <c r="A130" s="19" t="n">
        <v>126</v>
      </c>
      <c r="B130" s="20" t="s">
        <v>343</v>
      </c>
      <c r="C130" s="21" t="s">
        <v>92</v>
      </c>
      <c r="D130" s="21" t="s">
        <v>205</v>
      </c>
      <c r="E130" s="19" t="n">
        <v>105</v>
      </c>
      <c r="F130" s="19" t="n">
        <v>1</v>
      </c>
      <c r="G130" s="19" t="n">
        <v>1</v>
      </c>
      <c r="H130" s="19" t="s">
        <v>66</v>
      </c>
      <c r="I130" s="19" t="s">
        <v>140</v>
      </c>
      <c r="J130" s="21" t="s">
        <v>141</v>
      </c>
      <c r="K130" s="15" t="n">
        <v>7</v>
      </c>
      <c r="L130" s="15" t="n">
        <v>2</v>
      </c>
      <c r="M130" s="15" t="n">
        <v>2</v>
      </c>
      <c r="N130" s="15" t="n">
        <v>3</v>
      </c>
      <c r="O130" s="15" t="n">
        <v>4</v>
      </c>
      <c r="P130" s="15" t="n">
        <v>1</v>
      </c>
      <c r="Q130" s="15" t="n">
        <v>6</v>
      </c>
      <c r="R130" s="16" t="n">
        <f aca="false">ROUND(K130*0.55+L130*0.25+M130*0.2,1)</f>
        <v>4.8</v>
      </c>
      <c r="S130" s="16" t="n">
        <f aca="false">ROUND(N130*0.35+O130*0.25+P130*0.25+Q130*0.15,1)</f>
        <v>3.2</v>
      </c>
      <c r="T130" s="17" t="n">
        <f aca="false">ROUND(R130*'Como ler'!$B$5+S130*'Como ler'!$B$6,1)</f>
        <v>4.1</v>
      </c>
      <c r="U130" s="18" t="s">
        <v>62</v>
      </c>
      <c r="V130" s="18" t="s">
        <v>63</v>
      </c>
    </row>
    <row r="131" customFormat="false" ht="15" hidden="false" customHeight="false" outlineLevel="0" collapsed="false">
      <c r="A131" s="19" t="n">
        <v>127</v>
      </c>
      <c r="B131" s="20" t="s">
        <v>344</v>
      </c>
      <c r="C131" s="21" t="s">
        <v>92</v>
      </c>
      <c r="D131" s="21" t="s">
        <v>205</v>
      </c>
      <c r="E131" s="19" t="n">
        <v>105</v>
      </c>
      <c r="F131" s="19" t="n">
        <v>1</v>
      </c>
      <c r="G131" s="19" t="n">
        <v>1</v>
      </c>
      <c r="H131" s="19" t="s">
        <v>66</v>
      </c>
      <c r="I131" s="19" t="s">
        <v>140</v>
      </c>
      <c r="J131" s="21" t="s">
        <v>141</v>
      </c>
      <c r="K131" s="15" t="n">
        <v>7</v>
      </c>
      <c r="L131" s="15" t="n">
        <v>2</v>
      </c>
      <c r="M131" s="15" t="n">
        <v>2</v>
      </c>
      <c r="N131" s="15" t="n">
        <v>3</v>
      </c>
      <c r="O131" s="15" t="n">
        <v>4</v>
      </c>
      <c r="P131" s="15" t="n">
        <v>1</v>
      </c>
      <c r="Q131" s="15" t="n">
        <v>6</v>
      </c>
      <c r="R131" s="16" t="n">
        <f aca="false">ROUND(K131*0.55+L131*0.25+M131*0.2,1)</f>
        <v>4.8</v>
      </c>
      <c r="S131" s="16" t="n">
        <f aca="false">ROUND(N131*0.35+O131*0.25+P131*0.25+Q131*0.15,1)</f>
        <v>3.2</v>
      </c>
      <c r="T131" s="17" t="n">
        <f aca="false">ROUND(R131*'Como ler'!$B$5+S131*'Como ler'!$B$6,1)</f>
        <v>4.1</v>
      </c>
      <c r="U131" s="18" t="s">
        <v>62</v>
      </c>
      <c r="V131" s="18" t="s">
        <v>63</v>
      </c>
    </row>
    <row r="132" customFormat="false" ht="15" hidden="false" customHeight="false" outlineLevel="0" collapsed="false">
      <c r="A132" s="19" t="n">
        <v>128</v>
      </c>
      <c r="B132" s="20" t="s">
        <v>101</v>
      </c>
      <c r="C132" s="21" t="s">
        <v>69</v>
      </c>
      <c r="D132" s="21" t="s">
        <v>58</v>
      </c>
      <c r="E132" s="19" t="n">
        <v>104</v>
      </c>
      <c r="F132" s="19" t="n">
        <v>2</v>
      </c>
      <c r="G132" s="19" t="n">
        <v>2</v>
      </c>
      <c r="H132" s="19" t="s">
        <v>59</v>
      </c>
      <c r="I132" s="19" t="s">
        <v>60</v>
      </c>
      <c r="J132" s="21" t="s">
        <v>102</v>
      </c>
      <c r="K132" s="15" t="n">
        <v>7</v>
      </c>
      <c r="L132" s="15" t="n">
        <v>4</v>
      </c>
      <c r="M132" s="15" t="n">
        <v>4</v>
      </c>
      <c r="N132" s="15" t="n">
        <v>10</v>
      </c>
      <c r="O132" s="15" t="n">
        <v>7</v>
      </c>
      <c r="P132" s="15" t="n">
        <v>10</v>
      </c>
      <c r="Q132" s="15" t="n">
        <v>9</v>
      </c>
      <c r="R132" s="16" t="n">
        <f aca="false">ROUND(K132*0.55+L132*0.25+M132*0.2,1)</f>
        <v>5.7</v>
      </c>
      <c r="S132" s="16" t="n">
        <f aca="false">ROUND(N132*0.35+O132*0.25+P132*0.25+Q132*0.15,1)</f>
        <v>9.1</v>
      </c>
      <c r="T132" s="17" t="n">
        <f aca="false">ROUND(R132*'Como ler'!$B$5+S132*'Como ler'!$B$6,1)</f>
        <v>7.2</v>
      </c>
      <c r="U132" s="18" t="s">
        <v>62</v>
      </c>
      <c r="V132" s="18" t="s">
        <v>63</v>
      </c>
    </row>
    <row r="133" customFormat="false" ht="15" hidden="false" customHeight="false" outlineLevel="0" collapsed="false">
      <c r="A133" s="19" t="n">
        <v>129</v>
      </c>
      <c r="B133" s="20" t="s">
        <v>345</v>
      </c>
      <c r="C133" s="21" t="s">
        <v>65</v>
      </c>
      <c r="D133" s="21" t="s">
        <v>233</v>
      </c>
      <c r="E133" s="19" t="n">
        <v>102</v>
      </c>
      <c r="F133" s="19" t="n">
        <v>1</v>
      </c>
      <c r="G133" s="19" t="n">
        <v>1</v>
      </c>
      <c r="H133" s="19" t="s">
        <v>66</v>
      </c>
      <c r="I133" s="19" t="s">
        <v>60</v>
      </c>
      <c r="J133" s="21" t="s">
        <v>346</v>
      </c>
      <c r="K133" s="15" t="n">
        <v>7</v>
      </c>
      <c r="L133" s="15" t="n">
        <v>2</v>
      </c>
      <c r="M133" s="15" t="n">
        <v>2</v>
      </c>
      <c r="N133" s="15" t="n">
        <v>10</v>
      </c>
      <c r="O133" s="15" t="n">
        <v>7</v>
      </c>
      <c r="P133" s="15" t="n">
        <v>3</v>
      </c>
      <c r="Q133" s="15" t="n">
        <v>6</v>
      </c>
      <c r="R133" s="16" t="n">
        <f aca="false">ROUND(K133*0.55+L133*0.25+M133*0.2,1)</f>
        <v>4.8</v>
      </c>
      <c r="S133" s="16" t="n">
        <f aca="false">ROUND(N133*0.35+O133*0.25+P133*0.25+Q133*0.15,1)</f>
        <v>6.9</v>
      </c>
      <c r="T133" s="17" t="n">
        <f aca="false">ROUND(R133*'Como ler'!$B$5+S133*'Como ler'!$B$6,1)</f>
        <v>5.7</v>
      </c>
      <c r="U133" s="18" t="s">
        <v>62</v>
      </c>
      <c r="V133" s="18" t="s">
        <v>63</v>
      </c>
    </row>
    <row r="134" customFormat="false" ht="15" hidden="false" customHeight="false" outlineLevel="0" collapsed="false">
      <c r="A134" s="19" t="n">
        <v>130</v>
      </c>
      <c r="B134" s="20" t="s">
        <v>184</v>
      </c>
      <c r="C134" s="21" t="s">
        <v>69</v>
      </c>
      <c r="D134" s="21" t="s">
        <v>58</v>
      </c>
      <c r="E134" s="19" t="n">
        <v>102</v>
      </c>
      <c r="F134" s="19" t="n">
        <v>1</v>
      </c>
      <c r="G134" s="19" t="n">
        <v>1</v>
      </c>
      <c r="H134" s="19" t="s">
        <v>66</v>
      </c>
      <c r="I134" s="19" t="s">
        <v>140</v>
      </c>
      <c r="J134" s="21" t="s">
        <v>141</v>
      </c>
      <c r="K134" s="15" t="n">
        <v>7</v>
      </c>
      <c r="L134" s="15" t="n">
        <v>2</v>
      </c>
      <c r="M134" s="15" t="n">
        <v>2</v>
      </c>
      <c r="N134" s="15" t="n">
        <v>3</v>
      </c>
      <c r="O134" s="15" t="n">
        <v>4</v>
      </c>
      <c r="P134" s="15" t="n">
        <v>10</v>
      </c>
      <c r="Q134" s="15" t="n">
        <v>6</v>
      </c>
      <c r="R134" s="16" t="n">
        <f aca="false">ROUND(K134*0.55+L134*0.25+M134*0.2,1)</f>
        <v>4.8</v>
      </c>
      <c r="S134" s="16" t="n">
        <f aca="false">ROUND(N134*0.35+O134*0.25+P134*0.25+Q134*0.15,1)</f>
        <v>5.5</v>
      </c>
      <c r="T134" s="17" t="n">
        <f aca="false">ROUND(R134*'Como ler'!$B$5+S134*'Como ler'!$B$6,1)</f>
        <v>5.1</v>
      </c>
      <c r="U134" s="18" t="s">
        <v>62</v>
      </c>
      <c r="V134" s="18" t="s">
        <v>63</v>
      </c>
    </row>
    <row r="135" customFormat="false" ht="15" hidden="false" customHeight="false" outlineLevel="0" collapsed="false">
      <c r="A135" s="19" t="n">
        <v>131</v>
      </c>
      <c r="B135" s="20" t="s">
        <v>347</v>
      </c>
      <c r="C135" s="21" t="s">
        <v>92</v>
      </c>
      <c r="D135" s="21" t="s">
        <v>205</v>
      </c>
      <c r="E135" s="19" t="n">
        <v>102</v>
      </c>
      <c r="F135" s="19" t="n">
        <v>1</v>
      </c>
      <c r="G135" s="19" t="n">
        <v>1</v>
      </c>
      <c r="H135" s="19" t="s">
        <v>66</v>
      </c>
      <c r="I135" s="19" t="s">
        <v>210</v>
      </c>
      <c r="J135" s="21" t="s">
        <v>211</v>
      </c>
      <c r="K135" s="15" t="n">
        <v>7</v>
      </c>
      <c r="L135" s="15" t="n">
        <v>2</v>
      </c>
      <c r="M135" s="15" t="n">
        <v>2</v>
      </c>
      <c r="N135" s="15" t="n">
        <v>3</v>
      </c>
      <c r="O135" s="15" t="n">
        <v>4</v>
      </c>
      <c r="P135" s="15" t="n">
        <v>1</v>
      </c>
      <c r="Q135" s="15" t="n">
        <v>6</v>
      </c>
      <c r="R135" s="16" t="n">
        <f aca="false">ROUND(K135*0.55+L135*0.25+M135*0.2,1)</f>
        <v>4.8</v>
      </c>
      <c r="S135" s="16" t="n">
        <f aca="false">ROUND(N135*0.35+O135*0.25+P135*0.25+Q135*0.15,1)</f>
        <v>3.2</v>
      </c>
      <c r="T135" s="17" t="n">
        <f aca="false">ROUND(R135*'Como ler'!$B$5+S135*'Como ler'!$B$6,1)</f>
        <v>4.1</v>
      </c>
      <c r="U135" s="18" t="s">
        <v>62</v>
      </c>
      <c r="V135" s="22" t="s">
        <v>211</v>
      </c>
    </row>
    <row r="136" customFormat="false" ht="15" hidden="false" customHeight="false" outlineLevel="0" collapsed="false">
      <c r="A136" s="19" t="n">
        <v>132</v>
      </c>
      <c r="B136" s="20" t="s">
        <v>348</v>
      </c>
      <c r="C136" s="21" t="s">
        <v>92</v>
      </c>
      <c r="D136" s="21" t="s">
        <v>205</v>
      </c>
      <c r="E136" s="19" t="n">
        <v>101</v>
      </c>
      <c r="F136" s="19" t="n">
        <v>1</v>
      </c>
      <c r="G136" s="19" t="n">
        <v>1</v>
      </c>
      <c r="H136" s="19" t="s">
        <v>59</v>
      </c>
      <c r="I136" s="19" t="s">
        <v>167</v>
      </c>
      <c r="J136" s="21" t="s">
        <v>168</v>
      </c>
      <c r="K136" s="15" t="n">
        <v>7</v>
      </c>
      <c r="L136" s="15" t="n">
        <v>2</v>
      </c>
      <c r="M136" s="15" t="n">
        <v>2</v>
      </c>
      <c r="N136" s="15" t="n">
        <v>3</v>
      </c>
      <c r="O136" s="15" t="n">
        <v>4</v>
      </c>
      <c r="P136" s="15" t="n">
        <v>1</v>
      </c>
      <c r="Q136" s="15" t="n">
        <v>9</v>
      </c>
      <c r="R136" s="16" t="n">
        <f aca="false">ROUND(K136*0.55+L136*0.25+M136*0.2,1)</f>
        <v>4.8</v>
      </c>
      <c r="S136" s="16" t="n">
        <f aca="false">ROUND(N136*0.35+O136*0.25+P136*0.25+Q136*0.15,1)</f>
        <v>3.7</v>
      </c>
      <c r="T136" s="17" t="n">
        <f aca="false">ROUND(R136*'Como ler'!$B$5+S136*'Como ler'!$B$6,1)</f>
        <v>4.3</v>
      </c>
      <c r="U136" s="18" t="s">
        <v>62</v>
      </c>
      <c r="V136" s="18" t="s">
        <v>63</v>
      </c>
    </row>
    <row r="137" customFormat="false" ht="15" hidden="false" customHeight="false" outlineLevel="0" collapsed="false">
      <c r="A137" s="19" t="n">
        <v>133</v>
      </c>
      <c r="B137" s="20" t="s">
        <v>349</v>
      </c>
      <c r="C137" s="21" t="s">
        <v>92</v>
      </c>
      <c r="D137" s="21" t="s">
        <v>208</v>
      </c>
      <c r="E137" s="19" t="n">
        <v>99</v>
      </c>
      <c r="F137" s="19" t="n">
        <v>1</v>
      </c>
      <c r="G137" s="19" t="n">
        <v>1</v>
      </c>
      <c r="H137" s="19" t="s">
        <v>59</v>
      </c>
      <c r="I137" s="19" t="s">
        <v>60</v>
      </c>
      <c r="J137" s="21" t="s">
        <v>350</v>
      </c>
      <c r="K137" s="15" t="n">
        <v>7</v>
      </c>
      <c r="L137" s="15" t="n">
        <v>2</v>
      </c>
      <c r="M137" s="15" t="n">
        <v>2</v>
      </c>
      <c r="N137" s="15" t="n">
        <v>10</v>
      </c>
      <c r="O137" s="15" t="n">
        <v>7</v>
      </c>
      <c r="P137" s="15" t="n">
        <v>1</v>
      </c>
      <c r="Q137" s="15" t="n">
        <v>9</v>
      </c>
      <c r="R137" s="16" t="n">
        <f aca="false">ROUND(K137*0.55+L137*0.25+M137*0.2,1)</f>
        <v>4.8</v>
      </c>
      <c r="S137" s="16" t="n">
        <f aca="false">ROUND(N137*0.35+O137*0.25+P137*0.25+Q137*0.15,1)</f>
        <v>6.9</v>
      </c>
      <c r="T137" s="17" t="n">
        <f aca="false">ROUND(R137*'Como ler'!$B$5+S137*'Como ler'!$B$6,1)</f>
        <v>5.7</v>
      </c>
      <c r="U137" s="18" t="s">
        <v>62</v>
      </c>
      <c r="V137" s="18" t="s">
        <v>63</v>
      </c>
    </row>
    <row r="138" customFormat="false" ht="15" hidden="false" customHeight="false" outlineLevel="0" collapsed="false">
      <c r="A138" s="19" t="n">
        <v>134</v>
      </c>
      <c r="B138" s="20" t="s">
        <v>351</v>
      </c>
      <c r="C138" s="21" t="s">
        <v>92</v>
      </c>
      <c r="D138" s="21" t="s">
        <v>205</v>
      </c>
      <c r="E138" s="19" t="n">
        <v>95</v>
      </c>
      <c r="F138" s="19" t="n">
        <v>5</v>
      </c>
      <c r="G138" s="19" t="n">
        <v>6</v>
      </c>
      <c r="H138" s="19" t="s">
        <v>66</v>
      </c>
      <c r="I138" s="19" t="s">
        <v>167</v>
      </c>
      <c r="J138" s="21" t="s">
        <v>168</v>
      </c>
      <c r="K138" s="15" t="n">
        <v>7</v>
      </c>
      <c r="L138" s="15" t="n">
        <v>8</v>
      </c>
      <c r="M138" s="15" t="n">
        <v>8</v>
      </c>
      <c r="N138" s="15" t="n">
        <v>3</v>
      </c>
      <c r="O138" s="15" t="n">
        <v>4</v>
      </c>
      <c r="P138" s="15" t="n">
        <v>1</v>
      </c>
      <c r="Q138" s="15" t="n">
        <v>6</v>
      </c>
      <c r="R138" s="16" t="n">
        <f aca="false">ROUND(K138*0.55+L138*0.25+M138*0.2,1)</f>
        <v>7.5</v>
      </c>
      <c r="S138" s="16" t="n">
        <f aca="false">ROUND(N138*0.35+O138*0.25+P138*0.25+Q138*0.15,1)</f>
        <v>3.2</v>
      </c>
      <c r="T138" s="17" t="n">
        <f aca="false">ROUND(R138*'Como ler'!$B$5+S138*'Como ler'!$B$6,1)</f>
        <v>5.6</v>
      </c>
      <c r="U138" s="18" t="s">
        <v>62</v>
      </c>
      <c r="V138" s="18" t="s">
        <v>63</v>
      </c>
    </row>
    <row r="139" customFormat="false" ht="15" hidden="false" customHeight="false" outlineLevel="0" collapsed="false">
      <c r="A139" s="19" t="n">
        <v>135</v>
      </c>
      <c r="B139" s="20" t="s">
        <v>352</v>
      </c>
      <c r="C139" s="21" t="s">
        <v>92</v>
      </c>
      <c r="D139" s="21" t="s">
        <v>205</v>
      </c>
      <c r="E139" s="19" t="n">
        <v>95</v>
      </c>
      <c r="F139" s="19" t="n">
        <v>1</v>
      </c>
      <c r="G139" s="19" t="n">
        <v>1</v>
      </c>
      <c r="H139" s="19" t="s">
        <v>59</v>
      </c>
      <c r="I139" s="19" t="s">
        <v>167</v>
      </c>
      <c r="J139" s="21" t="s">
        <v>168</v>
      </c>
      <c r="K139" s="15" t="n">
        <v>7</v>
      </c>
      <c r="L139" s="15" t="n">
        <v>2</v>
      </c>
      <c r="M139" s="15" t="n">
        <v>2</v>
      </c>
      <c r="N139" s="15" t="n">
        <v>3</v>
      </c>
      <c r="O139" s="15" t="n">
        <v>4</v>
      </c>
      <c r="P139" s="15" t="n">
        <v>1</v>
      </c>
      <c r="Q139" s="15" t="n">
        <v>9</v>
      </c>
      <c r="R139" s="16" t="n">
        <f aca="false">ROUND(K139*0.55+L139*0.25+M139*0.2,1)</f>
        <v>4.8</v>
      </c>
      <c r="S139" s="16" t="n">
        <f aca="false">ROUND(N139*0.35+O139*0.25+P139*0.25+Q139*0.15,1)</f>
        <v>3.7</v>
      </c>
      <c r="T139" s="17" t="n">
        <f aca="false">ROUND(R139*'Como ler'!$B$5+S139*'Como ler'!$B$6,1)</f>
        <v>4.3</v>
      </c>
      <c r="U139" s="18" t="s">
        <v>62</v>
      </c>
      <c r="V139" s="18" t="s">
        <v>63</v>
      </c>
    </row>
    <row r="140" customFormat="false" ht="15" hidden="false" customHeight="false" outlineLevel="0" collapsed="false">
      <c r="A140" s="19" t="n">
        <v>136</v>
      </c>
      <c r="B140" s="20" t="s">
        <v>353</v>
      </c>
      <c r="C140" s="21" t="s">
        <v>92</v>
      </c>
      <c r="D140" s="21" t="s">
        <v>205</v>
      </c>
      <c r="E140" s="19" t="n">
        <v>94</v>
      </c>
      <c r="F140" s="19" t="n">
        <v>2</v>
      </c>
      <c r="G140" s="19" t="n">
        <v>2</v>
      </c>
      <c r="H140" s="19" t="s">
        <v>66</v>
      </c>
      <c r="I140" s="19" t="s">
        <v>60</v>
      </c>
      <c r="J140" s="21" t="s">
        <v>354</v>
      </c>
      <c r="K140" s="15" t="n">
        <v>7</v>
      </c>
      <c r="L140" s="15" t="n">
        <v>4</v>
      </c>
      <c r="M140" s="15" t="n">
        <v>4</v>
      </c>
      <c r="N140" s="15" t="n">
        <v>10</v>
      </c>
      <c r="O140" s="15" t="n">
        <v>7</v>
      </c>
      <c r="P140" s="15" t="n">
        <v>1</v>
      </c>
      <c r="Q140" s="15" t="n">
        <v>6</v>
      </c>
      <c r="R140" s="16" t="n">
        <f aca="false">ROUND(K140*0.55+L140*0.25+M140*0.2,1)</f>
        <v>5.7</v>
      </c>
      <c r="S140" s="16" t="n">
        <f aca="false">ROUND(N140*0.35+O140*0.25+P140*0.25+Q140*0.15,1)</f>
        <v>6.4</v>
      </c>
      <c r="T140" s="17" t="n">
        <f aca="false">ROUND(R140*'Como ler'!$B$5+S140*'Como ler'!$B$6,1)</f>
        <v>6</v>
      </c>
      <c r="U140" s="18" t="s">
        <v>62</v>
      </c>
      <c r="V140" s="18" t="s">
        <v>63</v>
      </c>
    </row>
    <row r="141" customFormat="false" ht="15" hidden="false" customHeight="false" outlineLevel="0" collapsed="false">
      <c r="A141" s="19" t="n">
        <v>137</v>
      </c>
      <c r="B141" s="20" t="s">
        <v>355</v>
      </c>
      <c r="C141" s="21" t="s">
        <v>92</v>
      </c>
      <c r="D141" s="21" t="s">
        <v>208</v>
      </c>
      <c r="E141" s="19" t="n">
        <v>93</v>
      </c>
      <c r="F141" s="19" t="n">
        <v>1</v>
      </c>
      <c r="G141" s="19" t="n">
        <v>1</v>
      </c>
      <c r="H141" s="19" t="s">
        <v>66</v>
      </c>
      <c r="I141" s="19" t="s">
        <v>60</v>
      </c>
      <c r="J141" s="21" t="s">
        <v>350</v>
      </c>
      <c r="K141" s="15" t="n">
        <v>7</v>
      </c>
      <c r="L141" s="15" t="n">
        <v>2</v>
      </c>
      <c r="M141" s="15" t="n">
        <v>2</v>
      </c>
      <c r="N141" s="15" t="n">
        <v>10</v>
      </c>
      <c r="O141" s="15" t="n">
        <v>7</v>
      </c>
      <c r="P141" s="15" t="n">
        <v>1</v>
      </c>
      <c r="Q141" s="15" t="n">
        <v>6</v>
      </c>
      <c r="R141" s="16" t="n">
        <f aca="false">ROUND(K141*0.55+L141*0.25+M141*0.2,1)</f>
        <v>4.8</v>
      </c>
      <c r="S141" s="16" t="n">
        <f aca="false">ROUND(N141*0.35+O141*0.25+P141*0.25+Q141*0.15,1)</f>
        <v>6.4</v>
      </c>
      <c r="T141" s="17" t="n">
        <f aca="false">ROUND(R141*'Como ler'!$B$5+S141*'Como ler'!$B$6,1)</f>
        <v>5.5</v>
      </c>
      <c r="U141" s="18" t="s">
        <v>62</v>
      </c>
      <c r="V141" s="18" t="s">
        <v>63</v>
      </c>
    </row>
    <row r="142" customFormat="false" ht="15" hidden="false" customHeight="false" outlineLevel="0" collapsed="false">
      <c r="A142" s="19" t="n">
        <v>138</v>
      </c>
      <c r="B142" s="20" t="s">
        <v>356</v>
      </c>
      <c r="C142" s="21" t="s">
        <v>92</v>
      </c>
      <c r="D142" s="21" t="s">
        <v>205</v>
      </c>
      <c r="E142" s="19" t="n">
        <v>93</v>
      </c>
      <c r="F142" s="19" t="n">
        <v>1</v>
      </c>
      <c r="G142" s="19" t="n">
        <v>1</v>
      </c>
      <c r="H142" s="19" t="s">
        <v>66</v>
      </c>
      <c r="I142" s="19" t="s">
        <v>140</v>
      </c>
      <c r="J142" s="21" t="s">
        <v>141</v>
      </c>
      <c r="K142" s="15" t="n">
        <v>7</v>
      </c>
      <c r="L142" s="15" t="n">
        <v>2</v>
      </c>
      <c r="M142" s="15" t="n">
        <v>2</v>
      </c>
      <c r="N142" s="15" t="n">
        <v>3</v>
      </c>
      <c r="O142" s="15" t="n">
        <v>4</v>
      </c>
      <c r="P142" s="15" t="n">
        <v>1</v>
      </c>
      <c r="Q142" s="15" t="n">
        <v>6</v>
      </c>
      <c r="R142" s="16" t="n">
        <f aca="false">ROUND(K142*0.55+L142*0.25+M142*0.2,1)</f>
        <v>4.8</v>
      </c>
      <c r="S142" s="16" t="n">
        <f aca="false">ROUND(N142*0.35+O142*0.25+P142*0.25+Q142*0.15,1)</f>
        <v>3.2</v>
      </c>
      <c r="T142" s="17" t="n">
        <f aca="false">ROUND(R142*'Como ler'!$B$5+S142*'Como ler'!$B$6,1)</f>
        <v>4.1</v>
      </c>
      <c r="U142" s="18" t="s">
        <v>62</v>
      </c>
      <c r="V142" s="18" t="s">
        <v>63</v>
      </c>
    </row>
    <row r="143" customFormat="false" ht="15" hidden="false" customHeight="false" outlineLevel="0" collapsed="false">
      <c r="A143" s="19" t="n">
        <v>139</v>
      </c>
      <c r="B143" s="20" t="s">
        <v>125</v>
      </c>
      <c r="C143" s="21" t="s">
        <v>92</v>
      </c>
      <c r="D143" s="21" t="s">
        <v>58</v>
      </c>
      <c r="E143" s="19" t="n">
        <v>91</v>
      </c>
      <c r="F143" s="19" t="n">
        <v>1</v>
      </c>
      <c r="G143" s="19" t="n">
        <v>1</v>
      </c>
      <c r="H143" s="19" t="s">
        <v>66</v>
      </c>
      <c r="I143" s="19" t="s">
        <v>60</v>
      </c>
      <c r="J143" s="21" t="s">
        <v>126</v>
      </c>
      <c r="K143" s="15" t="n">
        <v>7</v>
      </c>
      <c r="L143" s="15" t="n">
        <v>2</v>
      </c>
      <c r="M143" s="15" t="n">
        <v>2</v>
      </c>
      <c r="N143" s="15" t="n">
        <v>10</v>
      </c>
      <c r="O143" s="15" t="n">
        <v>7</v>
      </c>
      <c r="P143" s="15" t="n">
        <v>10</v>
      </c>
      <c r="Q143" s="15" t="n">
        <v>6</v>
      </c>
      <c r="R143" s="16" t="n">
        <f aca="false">ROUND(K143*0.55+L143*0.25+M143*0.2,1)</f>
        <v>4.8</v>
      </c>
      <c r="S143" s="16" t="n">
        <f aca="false">ROUND(N143*0.35+O143*0.25+P143*0.25+Q143*0.15,1)</f>
        <v>8.7</v>
      </c>
      <c r="T143" s="17" t="n">
        <f aca="false">ROUND(R143*'Como ler'!$B$5+S143*'Como ler'!$B$6,1)</f>
        <v>6.6</v>
      </c>
      <c r="U143" s="18" t="s">
        <v>62</v>
      </c>
      <c r="V143" s="18" t="s">
        <v>63</v>
      </c>
    </row>
    <row r="144" customFormat="false" ht="15" hidden="false" customHeight="false" outlineLevel="0" collapsed="false">
      <c r="A144" s="19" t="n">
        <v>140</v>
      </c>
      <c r="B144" s="20" t="s">
        <v>119</v>
      </c>
      <c r="C144" s="21" t="s">
        <v>92</v>
      </c>
      <c r="D144" s="21" t="s">
        <v>58</v>
      </c>
      <c r="E144" s="19" t="n">
        <v>89</v>
      </c>
      <c r="F144" s="19" t="n">
        <v>2</v>
      </c>
      <c r="G144" s="19" t="n">
        <v>2</v>
      </c>
      <c r="H144" s="19" t="s">
        <v>66</v>
      </c>
      <c r="I144" s="19" t="s">
        <v>60</v>
      </c>
      <c r="J144" s="21" t="s">
        <v>120</v>
      </c>
      <c r="K144" s="15" t="n">
        <v>6</v>
      </c>
      <c r="L144" s="15" t="n">
        <v>4</v>
      </c>
      <c r="M144" s="15" t="n">
        <v>4</v>
      </c>
      <c r="N144" s="15" t="n">
        <v>10</v>
      </c>
      <c r="O144" s="15" t="n">
        <v>7</v>
      </c>
      <c r="P144" s="15" t="n">
        <v>10</v>
      </c>
      <c r="Q144" s="15" t="n">
        <v>6</v>
      </c>
      <c r="R144" s="16" t="n">
        <f aca="false">ROUND(K144*0.55+L144*0.25+M144*0.2,1)</f>
        <v>5.1</v>
      </c>
      <c r="S144" s="16" t="n">
        <f aca="false">ROUND(N144*0.35+O144*0.25+P144*0.25+Q144*0.15,1)</f>
        <v>8.7</v>
      </c>
      <c r="T144" s="17" t="n">
        <f aca="false">ROUND(R144*'Como ler'!$B$5+S144*'Como ler'!$B$6,1)</f>
        <v>6.7</v>
      </c>
      <c r="U144" s="18" t="s">
        <v>62</v>
      </c>
      <c r="V144" s="18" t="s">
        <v>63</v>
      </c>
    </row>
    <row r="145" customFormat="false" ht="15" hidden="false" customHeight="false" outlineLevel="0" collapsed="false">
      <c r="A145" s="19" t="n">
        <v>141</v>
      </c>
      <c r="B145" s="20" t="s">
        <v>357</v>
      </c>
      <c r="C145" s="21" t="s">
        <v>92</v>
      </c>
      <c r="D145" s="21" t="s">
        <v>205</v>
      </c>
      <c r="E145" s="19" t="n">
        <v>89</v>
      </c>
      <c r="F145" s="19" t="n">
        <v>1</v>
      </c>
      <c r="G145" s="19" t="n">
        <v>1</v>
      </c>
      <c r="H145" s="19" t="s">
        <v>59</v>
      </c>
      <c r="I145" s="19" t="s">
        <v>167</v>
      </c>
      <c r="J145" s="21" t="s">
        <v>168</v>
      </c>
      <c r="K145" s="15" t="n">
        <v>6</v>
      </c>
      <c r="L145" s="15" t="n">
        <v>2</v>
      </c>
      <c r="M145" s="15" t="n">
        <v>2</v>
      </c>
      <c r="N145" s="15" t="n">
        <v>3</v>
      </c>
      <c r="O145" s="15" t="n">
        <v>4</v>
      </c>
      <c r="P145" s="15" t="n">
        <v>1</v>
      </c>
      <c r="Q145" s="15" t="n">
        <v>9</v>
      </c>
      <c r="R145" s="16" t="n">
        <f aca="false">ROUND(K145*0.55+L145*0.25+M145*0.2,1)</f>
        <v>4.2</v>
      </c>
      <c r="S145" s="16" t="n">
        <f aca="false">ROUND(N145*0.35+O145*0.25+P145*0.25+Q145*0.15,1)</f>
        <v>3.7</v>
      </c>
      <c r="T145" s="17" t="n">
        <f aca="false">ROUND(R145*'Como ler'!$B$5+S145*'Como ler'!$B$6,1)</f>
        <v>4</v>
      </c>
      <c r="U145" s="18" t="s">
        <v>62</v>
      </c>
      <c r="V145" s="18" t="s">
        <v>63</v>
      </c>
    </row>
    <row r="146" customFormat="false" ht="15" hidden="false" customHeight="false" outlineLevel="0" collapsed="false">
      <c r="A146" s="19" t="n">
        <v>142</v>
      </c>
      <c r="B146" s="20" t="s">
        <v>358</v>
      </c>
      <c r="C146" s="21" t="s">
        <v>92</v>
      </c>
      <c r="D146" s="21" t="s">
        <v>297</v>
      </c>
      <c r="E146" s="19" t="n">
        <v>88</v>
      </c>
      <c r="F146" s="19" t="n">
        <v>1</v>
      </c>
      <c r="G146" s="19" t="n">
        <v>1</v>
      </c>
      <c r="H146" s="19" t="s">
        <v>59</v>
      </c>
      <c r="I146" s="19" t="s">
        <v>140</v>
      </c>
      <c r="J146" s="21" t="s">
        <v>143</v>
      </c>
      <c r="K146" s="15" t="n">
        <v>6</v>
      </c>
      <c r="L146" s="15" t="n">
        <v>2</v>
      </c>
      <c r="M146" s="15" t="n">
        <v>2</v>
      </c>
      <c r="N146" s="15" t="n">
        <v>3</v>
      </c>
      <c r="O146" s="15" t="n">
        <v>4</v>
      </c>
      <c r="P146" s="15" t="n">
        <v>6</v>
      </c>
      <c r="Q146" s="15" t="n">
        <v>9</v>
      </c>
      <c r="R146" s="16" t="n">
        <f aca="false">ROUND(K146*0.55+L146*0.25+M146*0.2,1)</f>
        <v>4.2</v>
      </c>
      <c r="S146" s="16" t="n">
        <f aca="false">ROUND(N146*0.35+O146*0.25+P146*0.25+Q146*0.15,1)</f>
        <v>4.9</v>
      </c>
      <c r="T146" s="17" t="n">
        <f aca="false">ROUND(R146*'Como ler'!$B$5+S146*'Como ler'!$B$6,1)</f>
        <v>4.5</v>
      </c>
      <c r="U146" s="18" t="s">
        <v>62</v>
      </c>
      <c r="V146" s="18" t="s">
        <v>63</v>
      </c>
    </row>
    <row r="147" customFormat="false" ht="15" hidden="false" customHeight="false" outlineLevel="0" collapsed="false">
      <c r="A147" s="19" t="n">
        <v>143</v>
      </c>
      <c r="B147" s="20" t="s">
        <v>359</v>
      </c>
      <c r="C147" s="21" t="s">
        <v>92</v>
      </c>
      <c r="D147" s="21" t="s">
        <v>208</v>
      </c>
      <c r="E147" s="19" t="n">
        <v>87</v>
      </c>
      <c r="F147" s="19" t="n">
        <v>1</v>
      </c>
      <c r="G147" s="19" t="n">
        <v>1</v>
      </c>
      <c r="H147" s="19" t="s">
        <v>66</v>
      </c>
      <c r="I147" s="19" t="s">
        <v>140</v>
      </c>
      <c r="J147" s="21" t="s">
        <v>141</v>
      </c>
      <c r="K147" s="15" t="n">
        <v>6</v>
      </c>
      <c r="L147" s="15" t="n">
        <v>2</v>
      </c>
      <c r="M147" s="15" t="n">
        <v>2</v>
      </c>
      <c r="N147" s="15" t="n">
        <v>3</v>
      </c>
      <c r="O147" s="15" t="n">
        <v>4</v>
      </c>
      <c r="P147" s="15" t="n">
        <v>1</v>
      </c>
      <c r="Q147" s="15" t="n">
        <v>6</v>
      </c>
      <c r="R147" s="16" t="n">
        <f aca="false">ROUND(K147*0.55+L147*0.25+M147*0.2,1)</f>
        <v>4.2</v>
      </c>
      <c r="S147" s="16" t="n">
        <f aca="false">ROUND(N147*0.35+O147*0.25+P147*0.25+Q147*0.15,1)</f>
        <v>3.2</v>
      </c>
      <c r="T147" s="17" t="n">
        <f aca="false">ROUND(R147*'Como ler'!$B$5+S147*'Como ler'!$B$6,1)</f>
        <v>3.8</v>
      </c>
      <c r="U147" s="18" t="s">
        <v>62</v>
      </c>
      <c r="V147" s="18" t="s">
        <v>63</v>
      </c>
    </row>
    <row r="148" customFormat="false" ht="15" hidden="false" customHeight="false" outlineLevel="0" collapsed="false">
      <c r="A148" s="19" t="n">
        <v>144</v>
      </c>
      <c r="B148" s="20" t="s">
        <v>97</v>
      </c>
      <c r="C148" s="21" t="s">
        <v>65</v>
      </c>
      <c r="D148" s="21" t="s">
        <v>58</v>
      </c>
      <c r="E148" s="19" t="n">
        <v>86</v>
      </c>
      <c r="F148" s="19" t="n">
        <v>3</v>
      </c>
      <c r="G148" s="19" t="n">
        <v>5</v>
      </c>
      <c r="H148" s="19" t="s">
        <v>66</v>
      </c>
      <c r="I148" s="19" t="s">
        <v>60</v>
      </c>
      <c r="J148" s="21" t="s">
        <v>98</v>
      </c>
      <c r="K148" s="15" t="n">
        <v>6</v>
      </c>
      <c r="L148" s="15" t="n">
        <v>6</v>
      </c>
      <c r="M148" s="15" t="n">
        <v>6</v>
      </c>
      <c r="N148" s="15" t="n">
        <v>10</v>
      </c>
      <c r="O148" s="15" t="n">
        <v>7</v>
      </c>
      <c r="P148" s="15" t="n">
        <v>10</v>
      </c>
      <c r="Q148" s="15" t="n">
        <v>6</v>
      </c>
      <c r="R148" s="16" t="n">
        <f aca="false">ROUND(K148*0.55+L148*0.25+M148*0.2,1)</f>
        <v>6</v>
      </c>
      <c r="S148" s="16" t="n">
        <f aca="false">ROUND(N148*0.35+O148*0.25+P148*0.25+Q148*0.15,1)</f>
        <v>8.7</v>
      </c>
      <c r="T148" s="17" t="n">
        <f aca="false">ROUND(R148*'Como ler'!$B$5+S148*'Como ler'!$B$6,1)</f>
        <v>7.2</v>
      </c>
      <c r="U148" s="18" t="s">
        <v>62</v>
      </c>
      <c r="V148" s="18" t="s">
        <v>63</v>
      </c>
    </row>
    <row r="149" customFormat="false" ht="15" hidden="false" customHeight="false" outlineLevel="0" collapsed="false">
      <c r="A149" s="19" t="n">
        <v>145</v>
      </c>
      <c r="B149" s="20" t="s">
        <v>360</v>
      </c>
      <c r="C149" s="21" t="s">
        <v>92</v>
      </c>
      <c r="D149" s="21" t="s">
        <v>297</v>
      </c>
      <c r="E149" s="19" t="n">
        <v>86</v>
      </c>
      <c r="F149" s="19" t="n">
        <v>1</v>
      </c>
      <c r="G149" s="19" t="n">
        <v>3</v>
      </c>
      <c r="H149" s="19" t="s">
        <v>59</v>
      </c>
      <c r="I149" s="19" t="s">
        <v>140</v>
      </c>
      <c r="J149" s="21" t="s">
        <v>143</v>
      </c>
      <c r="K149" s="15" t="n">
        <v>6</v>
      </c>
      <c r="L149" s="15" t="n">
        <v>2</v>
      </c>
      <c r="M149" s="15" t="n">
        <v>4</v>
      </c>
      <c r="N149" s="15" t="n">
        <v>3</v>
      </c>
      <c r="O149" s="15" t="n">
        <v>4</v>
      </c>
      <c r="P149" s="15" t="n">
        <v>6</v>
      </c>
      <c r="Q149" s="15" t="n">
        <v>9</v>
      </c>
      <c r="R149" s="16" t="n">
        <f aca="false">ROUND(K149*0.55+L149*0.25+M149*0.2,1)</f>
        <v>4.6</v>
      </c>
      <c r="S149" s="16" t="n">
        <f aca="false">ROUND(N149*0.35+O149*0.25+P149*0.25+Q149*0.15,1)</f>
        <v>4.9</v>
      </c>
      <c r="T149" s="17" t="n">
        <f aca="false">ROUND(R149*'Como ler'!$B$5+S149*'Como ler'!$B$6,1)</f>
        <v>4.7</v>
      </c>
      <c r="U149" s="18" t="s">
        <v>62</v>
      </c>
      <c r="V149" s="18" t="s">
        <v>63</v>
      </c>
    </row>
    <row r="150" customFormat="false" ht="15" hidden="false" customHeight="false" outlineLevel="0" collapsed="false">
      <c r="A150" s="19" t="n">
        <v>146</v>
      </c>
      <c r="B150" s="20" t="s">
        <v>361</v>
      </c>
      <c r="C150" s="21" t="s">
        <v>92</v>
      </c>
      <c r="D150" s="21" t="s">
        <v>205</v>
      </c>
      <c r="E150" s="19" t="n">
        <v>85</v>
      </c>
      <c r="F150" s="19" t="n">
        <v>2</v>
      </c>
      <c r="G150" s="19" t="n">
        <v>3</v>
      </c>
      <c r="H150" s="19" t="s">
        <v>66</v>
      </c>
      <c r="I150" s="19" t="s">
        <v>167</v>
      </c>
      <c r="J150" s="21" t="s">
        <v>168</v>
      </c>
      <c r="K150" s="15" t="n">
        <v>6</v>
      </c>
      <c r="L150" s="15" t="n">
        <v>4</v>
      </c>
      <c r="M150" s="15" t="n">
        <v>4</v>
      </c>
      <c r="N150" s="15" t="n">
        <v>3</v>
      </c>
      <c r="O150" s="15" t="n">
        <v>4</v>
      </c>
      <c r="P150" s="15" t="n">
        <v>1</v>
      </c>
      <c r="Q150" s="15" t="n">
        <v>6</v>
      </c>
      <c r="R150" s="16" t="n">
        <f aca="false">ROUND(K150*0.55+L150*0.25+M150*0.2,1)</f>
        <v>5.1</v>
      </c>
      <c r="S150" s="16" t="n">
        <f aca="false">ROUND(N150*0.35+O150*0.25+P150*0.25+Q150*0.15,1)</f>
        <v>3.2</v>
      </c>
      <c r="T150" s="17" t="n">
        <f aca="false">ROUND(R150*'Como ler'!$B$5+S150*'Como ler'!$B$6,1)</f>
        <v>4.2</v>
      </c>
      <c r="U150" s="18" t="s">
        <v>62</v>
      </c>
      <c r="V150" s="18" t="s">
        <v>63</v>
      </c>
    </row>
    <row r="151" customFormat="false" ht="15" hidden="false" customHeight="false" outlineLevel="0" collapsed="false">
      <c r="A151" s="19" t="n">
        <v>147</v>
      </c>
      <c r="B151" s="20" t="s">
        <v>362</v>
      </c>
      <c r="C151" s="21" t="s">
        <v>92</v>
      </c>
      <c r="D151" s="21" t="s">
        <v>233</v>
      </c>
      <c r="E151" s="19" t="n">
        <v>85</v>
      </c>
      <c r="F151" s="19" t="n">
        <v>2</v>
      </c>
      <c r="G151" s="19" t="n">
        <v>6</v>
      </c>
      <c r="H151" s="19" t="s">
        <v>66</v>
      </c>
      <c r="I151" s="19" t="s">
        <v>60</v>
      </c>
      <c r="J151" s="21" t="s">
        <v>363</v>
      </c>
      <c r="K151" s="15" t="n">
        <v>6</v>
      </c>
      <c r="L151" s="15" t="n">
        <v>4</v>
      </c>
      <c r="M151" s="15" t="n">
        <v>8</v>
      </c>
      <c r="N151" s="15" t="n">
        <v>10</v>
      </c>
      <c r="O151" s="15" t="n">
        <v>10</v>
      </c>
      <c r="P151" s="15" t="n">
        <v>3</v>
      </c>
      <c r="Q151" s="15" t="n">
        <v>6</v>
      </c>
      <c r="R151" s="16" t="n">
        <f aca="false">ROUND(K151*0.55+L151*0.25+M151*0.2,1)</f>
        <v>5.9</v>
      </c>
      <c r="S151" s="16" t="n">
        <f aca="false">ROUND(N151*0.35+O151*0.25+P151*0.25+Q151*0.15,1)</f>
        <v>7.7</v>
      </c>
      <c r="T151" s="17" t="n">
        <f aca="false">ROUND(R151*'Como ler'!$B$5+S151*'Como ler'!$B$6,1)</f>
        <v>6.7</v>
      </c>
      <c r="U151" s="18" t="s">
        <v>62</v>
      </c>
      <c r="V151" s="18" t="s">
        <v>63</v>
      </c>
    </row>
    <row r="152" customFormat="false" ht="15" hidden="false" customHeight="false" outlineLevel="0" collapsed="false">
      <c r="A152" s="19" t="n">
        <v>148</v>
      </c>
      <c r="B152" s="20" t="s">
        <v>364</v>
      </c>
      <c r="C152" s="21" t="s">
        <v>92</v>
      </c>
      <c r="D152" s="21" t="s">
        <v>297</v>
      </c>
      <c r="E152" s="19" t="n">
        <v>85</v>
      </c>
      <c r="F152" s="19" t="n">
        <v>1</v>
      </c>
      <c r="G152" s="19" t="n">
        <v>1</v>
      </c>
      <c r="H152" s="19" t="s">
        <v>59</v>
      </c>
      <c r="I152" s="19" t="s">
        <v>167</v>
      </c>
      <c r="J152" s="21" t="s">
        <v>168</v>
      </c>
      <c r="K152" s="15" t="n">
        <v>6</v>
      </c>
      <c r="L152" s="15" t="n">
        <v>2</v>
      </c>
      <c r="M152" s="15" t="n">
        <v>2</v>
      </c>
      <c r="N152" s="15" t="n">
        <v>3</v>
      </c>
      <c r="O152" s="15" t="n">
        <v>4</v>
      </c>
      <c r="P152" s="15" t="n">
        <v>6</v>
      </c>
      <c r="Q152" s="15" t="n">
        <v>9</v>
      </c>
      <c r="R152" s="16" t="n">
        <f aca="false">ROUND(K152*0.55+L152*0.25+M152*0.2,1)</f>
        <v>4.2</v>
      </c>
      <c r="S152" s="16" t="n">
        <f aca="false">ROUND(N152*0.35+O152*0.25+P152*0.25+Q152*0.15,1)</f>
        <v>4.9</v>
      </c>
      <c r="T152" s="17" t="n">
        <f aca="false">ROUND(R152*'Como ler'!$B$5+S152*'Como ler'!$B$6,1)</f>
        <v>4.5</v>
      </c>
      <c r="U152" s="18" t="s">
        <v>62</v>
      </c>
      <c r="V152" s="18" t="s">
        <v>63</v>
      </c>
    </row>
    <row r="153" customFormat="false" ht="15" hidden="false" customHeight="false" outlineLevel="0" collapsed="false">
      <c r="A153" s="19" t="n">
        <v>149</v>
      </c>
      <c r="B153" s="20" t="s">
        <v>365</v>
      </c>
      <c r="C153" s="21" t="s">
        <v>92</v>
      </c>
      <c r="D153" s="21" t="s">
        <v>205</v>
      </c>
      <c r="E153" s="19" t="n">
        <v>85</v>
      </c>
      <c r="F153" s="19" t="n">
        <v>1</v>
      </c>
      <c r="G153" s="19" t="n">
        <v>1</v>
      </c>
      <c r="H153" s="19" t="s">
        <v>59</v>
      </c>
      <c r="I153" s="19" t="s">
        <v>140</v>
      </c>
      <c r="J153" s="21" t="s">
        <v>143</v>
      </c>
      <c r="K153" s="15" t="n">
        <v>6</v>
      </c>
      <c r="L153" s="15" t="n">
        <v>2</v>
      </c>
      <c r="M153" s="15" t="n">
        <v>2</v>
      </c>
      <c r="N153" s="15" t="n">
        <v>3</v>
      </c>
      <c r="O153" s="15" t="n">
        <v>4</v>
      </c>
      <c r="P153" s="15" t="n">
        <v>1</v>
      </c>
      <c r="Q153" s="15" t="n">
        <v>9</v>
      </c>
      <c r="R153" s="16" t="n">
        <f aca="false">ROUND(K153*0.55+L153*0.25+M153*0.2,1)</f>
        <v>4.2</v>
      </c>
      <c r="S153" s="16" t="n">
        <f aca="false">ROUND(N153*0.35+O153*0.25+P153*0.25+Q153*0.15,1)</f>
        <v>3.7</v>
      </c>
      <c r="T153" s="17" t="n">
        <f aca="false">ROUND(R153*'Como ler'!$B$5+S153*'Como ler'!$B$6,1)</f>
        <v>4</v>
      </c>
      <c r="U153" s="18" t="s">
        <v>62</v>
      </c>
      <c r="V153" s="18" t="s">
        <v>63</v>
      </c>
    </row>
    <row r="154" customFormat="false" ht="15" hidden="false" customHeight="false" outlineLevel="0" collapsed="false">
      <c r="A154" s="19" t="n">
        <v>150</v>
      </c>
      <c r="B154" s="20" t="s">
        <v>366</v>
      </c>
      <c r="C154" s="21" t="s">
        <v>92</v>
      </c>
      <c r="D154" s="21" t="s">
        <v>205</v>
      </c>
      <c r="E154" s="19" t="n">
        <v>85</v>
      </c>
      <c r="F154" s="19" t="n">
        <v>1</v>
      </c>
      <c r="G154" s="19" t="n">
        <v>1</v>
      </c>
      <c r="H154" s="19" t="s">
        <v>115</v>
      </c>
      <c r="I154" s="19" t="s">
        <v>140</v>
      </c>
      <c r="J154" s="21" t="s">
        <v>141</v>
      </c>
      <c r="K154" s="15" t="n">
        <v>6</v>
      </c>
      <c r="L154" s="15" t="n">
        <v>2</v>
      </c>
      <c r="M154" s="15" t="n">
        <v>2</v>
      </c>
      <c r="N154" s="15" t="n">
        <v>3</v>
      </c>
      <c r="O154" s="15" t="n">
        <v>4</v>
      </c>
      <c r="P154" s="15" t="n">
        <v>1</v>
      </c>
      <c r="Q154" s="15" t="n">
        <v>6</v>
      </c>
      <c r="R154" s="16" t="n">
        <f aca="false">ROUND(K154*0.55+L154*0.25+M154*0.2,1)</f>
        <v>4.2</v>
      </c>
      <c r="S154" s="16" t="n">
        <f aca="false">ROUND(N154*0.35+O154*0.25+P154*0.25+Q154*0.15,1)</f>
        <v>3.2</v>
      </c>
      <c r="T154" s="17" t="n">
        <f aca="false">ROUND(R154*'Como ler'!$B$5+S154*'Como ler'!$B$6,1)</f>
        <v>3.8</v>
      </c>
      <c r="U154" s="18" t="s">
        <v>62</v>
      </c>
      <c r="V154" s="18" t="s">
        <v>63</v>
      </c>
    </row>
    <row r="155" customFormat="false" ht="15" hidden="false" customHeight="false" outlineLevel="0" collapsed="false">
      <c r="A155" s="19" t="n">
        <v>151</v>
      </c>
      <c r="B155" s="20" t="s">
        <v>367</v>
      </c>
      <c r="C155" s="21" t="s">
        <v>69</v>
      </c>
      <c r="D155" s="21" t="s">
        <v>233</v>
      </c>
      <c r="E155" s="19" t="n">
        <v>84</v>
      </c>
      <c r="F155" s="19" t="n">
        <v>2</v>
      </c>
      <c r="G155" s="19" t="n">
        <v>2</v>
      </c>
      <c r="H155" s="19" t="s">
        <v>115</v>
      </c>
      <c r="I155" s="19" t="s">
        <v>60</v>
      </c>
      <c r="J155" s="21" t="s">
        <v>368</v>
      </c>
      <c r="K155" s="15" t="n">
        <v>6</v>
      </c>
      <c r="L155" s="15" t="n">
        <v>4</v>
      </c>
      <c r="M155" s="15" t="n">
        <v>4</v>
      </c>
      <c r="N155" s="15" t="n">
        <v>10</v>
      </c>
      <c r="O155" s="15" t="n">
        <v>7</v>
      </c>
      <c r="P155" s="15" t="n">
        <v>3</v>
      </c>
      <c r="Q155" s="15" t="n">
        <v>6</v>
      </c>
      <c r="R155" s="16" t="n">
        <f aca="false">ROUND(K155*0.55+L155*0.25+M155*0.2,1)</f>
        <v>5.1</v>
      </c>
      <c r="S155" s="16" t="n">
        <f aca="false">ROUND(N155*0.35+O155*0.25+P155*0.25+Q155*0.15,1)</f>
        <v>6.9</v>
      </c>
      <c r="T155" s="17" t="n">
        <f aca="false">ROUND(R155*'Como ler'!$B$5+S155*'Como ler'!$B$6,1)</f>
        <v>5.9</v>
      </c>
      <c r="U155" s="18" t="s">
        <v>62</v>
      </c>
      <c r="V155" s="18" t="s">
        <v>63</v>
      </c>
    </row>
    <row r="156" customFormat="false" ht="15" hidden="false" customHeight="false" outlineLevel="0" collapsed="false">
      <c r="A156" s="19" t="n">
        <v>152</v>
      </c>
      <c r="B156" s="20" t="s">
        <v>369</v>
      </c>
      <c r="C156" s="21" t="s">
        <v>92</v>
      </c>
      <c r="D156" s="21" t="s">
        <v>205</v>
      </c>
      <c r="E156" s="19" t="n">
        <v>84</v>
      </c>
      <c r="F156" s="19" t="n">
        <v>1</v>
      </c>
      <c r="G156" s="19" t="n">
        <v>1</v>
      </c>
      <c r="H156" s="19" t="s">
        <v>59</v>
      </c>
      <c r="I156" s="19" t="s">
        <v>60</v>
      </c>
      <c r="J156" s="21" t="s">
        <v>370</v>
      </c>
      <c r="K156" s="15" t="n">
        <v>6</v>
      </c>
      <c r="L156" s="15" t="n">
        <v>2</v>
      </c>
      <c r="M156" s="15" t="n">
        <v>2</v>
      </c>
      <c r="N156" s="15" t="n">
        <v>10</v>
      </c>
      <c r="O156" s="15" t="n">
        <v>7</v>
      </c>
      <c r="P156" s="15" t="n">
        <v>1</v>
      </c>
      <c r="Q156" s="15" t="n">
        <v>9</v>
      </c>
      <c r="R156" s="16" t="n">
        <f aca="false">ROUND(K156*0.55+L156*0.25+M156*0.2,1)</f>
        <v>4.2</v>
      </c>
      <c r="S156" s="16" t="n">
        <f aca="false">ROUND(N156*0.35+O156*0.25+P156*0.25+Q156*0.15,1)</f>
        <v>6.9</v>
      </c>
      <c r="T156" s="17" t="n">
        <f aca="false">ROUND(R156*'Como ler'!$B$5+S156*'Como ler'!$B$6,1)</f>
        <v>5.4</v>
      </c>
      <c r="U156" s="18" t="s">
        <v>62</v>
      </c>
      <c r="V156" s="18" t="s">
        <v>63</v>
      </c>
    </row>
    <row r="157" customFormat="false" ht="15" hidden="false" customHeight="false" outlineLevel="0" collapsed="false">
      <c r="A157" s="19" t="n">
        <v>153</v>
      </c>
      <c r="B157" s="20" t="s">
        <v>371</v>
      </c>
      <c r="C157" s="21" t="s">
        <v>92</v>
      </c>
      <c r="D157" s="21" t="s">
        <v>205</v>
      </c>
      <c r="E157" s="19" t="n">
        <v>82</v>
      </c>
      <c r="F157" s="19" t="n">
        <v>1</v>
      </c>
      <c r="G157" s="19" t="n">
        <v>1</v>
      </c>
      <c r="H157" s="19" t="s">
        <v>115</v>
      </c>
      <c r="I157" s="19" t="s">
        <v>60</v>
      </c>
      <c r="J157" s="21" t="s">
        <v>372</v>
      </c>
      <c r="K157" s="15" t="n">
        <v>6</v>
      </c>
      <c r="L157" s="15" t="n">
        <v>2</v>
      </c>
      <c r="M157" s="15" t="n">
        <v>2</v>
      </c>
      <c r="N157" s="15" t="n">
        <v>10</v>
      </c>
      <c r="O157" s="15" t="n">
        <v>7</v>
      </c>
      <c r="P157" s="15" t="n">
        <v>1</v>
      </c>
      <c r="Q157" s="15" t="n">
        <v>6</v>
      </c>
      <c r="R157" s="16" t="n">
        <f aca="false">ROUND(K157*0.55+L157*0.25+M157*0.2,1)</f>
        <v>4.2</v>
      </c>
      <c r="S157" s="16" t="n">
        <f aca="false">ROUND(N157*0.35+O157*0.25+P157*0.25+Q157*0.15,1)</f>
        <v>6.4</v>
      </c>
      <c r="T157" s="17" t="n">
        <f aca="false">ROUND(R157*'Como ler'!$B$5+S157*'Como ler'!$B$6,1)</f>
        <v>5.2</v>
      </c>
      <c r="U157" s="18" t="s">
        <v>62</v>
      </c>
      <c r="V157" s="18" t="s">
        <v>63</v>
      </c>
    </row>
    <row r="158" customFormat="false" ht="15" hidden="false" customHeight="false" outlineLevel="0" collapsed="false">
      <c r="A158" s="19" t="n">
        <v>154</v>
      </c>
      <c r="B158" s="20" t="s">
        <v>99</v>
      </c>
      <c r="C158" s="21" t="s">
        <v>65</v>
      </c>
      <c r="D158" s="21" t="s">
        <v>58</v>
      </c>
      <c r="E158" s="19" t="n">
        <v>81</v>
      </c>
      <c r="F158" s="19" t="n">
        <v>3</v>
      </c>
      <c r="G158" s="19" t="n">
        <v>4</v>
      </c>
      <c r="H158" s="19" t="s">
        <v>66</v>
      </c>
      <c r="I158" s="19" t="s">
        <v>60</v>
      </c>
      <c r="J158" s="21" t="s">
        <v>100</v>
      </c>
      <c r="K158" s="15" t="n">
        <v>6</v>
      </c>
      <c r="L158" s="15" t="n">
        <v>6</v>
      </c>
      <c r="M158" s="15" t="n">
        <v>6</v>
      </c>
      <c r="N158" s="15" t="n">
        <v>10</v>
      </c>
      <c r="O158" s="15" t="n">
        <v>7</v>
      </c>
      <c r="P158" s="15" t="n">
        <v>10</v>
      </c>
      <c r="Q158" s="15" t="n">
        <v>6</v>
      </c>
      <c r="R158" s="16" t="n">
        <f aca="false">ROUND(K158*0.55+L158*0.25+M158*0.2,1)</f>
        <v>6</v>
      </c>
      <c r="S158" s="16" t="n">
        <f aca="false">ROUND(N158*0.35+O158*0.25+P158*0.25+Q158*0.15,1)</f>
        <v>8.7</v>
      </c>
      <c r="T158" s="17" t="n">
        <f aca="false">ROUND(R158*'Como ler'!$B$5+S158*'Como ler'!$B$6,1)</f>
        <v>7.2</v>
      </c>
      <c r="U158" s="18" t="s">
        <v>62</v>
      </c>
      <c r="V158" s="18" t="s">
        <v>63</v>
      </c>
    </row>
    <row r="159" customFormat="false" ht="15" hidden="false" customHeight="false" outlineLevel="0" collapsed="false">
      <c r="A159" s="19" t="n">
        <v>155</v>
      </c>
      <c r="B159" s="20" t="s">
        <v>373</v>
      </c>
      <c r="C159" s="21" t="s">
        <v>92</v>
      </c>
      <c r="D159" s="21" t="s">
        <v>205</v>
      </c>
      <c r="E159" s="19" t="n">
        <v>81</v>
      </c>
      <c r="F159" s="19" t="n">
        <v>3</v>
      </c>
      <c r="G159" s="19" t="n">
        <v>8</v>
      </c>
      <c r="H159" s="19" t="s">
        <v>59</v>
      </c>
      <c r="I159" s="19" t="s">
        <v>60</v>
      </c>
      <c r="J159" s="21" t="s">
        <v>374</v>
      </c>
      <c r="K159" s="15" t="n">
        <v>6</v>
      </c>
      <c r="L159" s="15" t="n">
        <v>6</v>
      </c>
      <c r="M159" s="15" t="n">
        <v>8</v>
      </c>
      <c r="N159" s="15" t="n">
        <v>10</v>
      </c>
      <c r="O159" s="15" t="n">
        <v>7</v>
      </c>
      <c r="P159" s="15" t="n">
        <v>1</v>
      </c>
      <c r="Q159" s="15" t="n">
        <v>9</v>
      </c>
      <c r="R159" s="16" t="n">
        <f aca="false">ROUND(K159*0.55+L159*0.25+M159*0.2,1)</f>
        <v>6.4</v>
      </c>
      <c r="S159" s="16" t="n">
        <f aca="false">ROUND(N159*0.35+O159*0.25+P159*0.25+Q159*0.15,1)</f>
        <v>6.9</v>
      </c>
      <c r="T159" s="17" t="n">
        <f aca="false">ROUND(R159*'Como ler'!$B$5+S159*'Como ler'!$B$6,1)</f>
        <v>6.6</v>
      </c>
      <c r="U159" s="18" t="s">
        <v>62</v>
      </c>
      <c r="V159" s="18" t="s">
        <v>63</v>
      </c>
    </row>
    <row r="160" customFormat="false" ht="15" hidden="false" customHeight="false" outlineLevel="0" collapsed="false">
      <c r="A160" s="19" t="n">
        <v>156</v>
      </c>
      <c r="B160" s="20" t="s">
        <v>375</v>
      </c>
      <c r="C160" s="21" t="s">
        <v>132</v>
      </c>
      <c r="D160" s="21" t="s">
        <v>205</v>
      </c>
      <c r="E160" s="19" t="n">
        <v>81</v>
      </c>
      <c r="F160" s="19" t="n">
        <v>2</v>
      </c>
      <c r="G160" s="19" t="n">
        <v>3</v>
      </c>
      <c r="H160" s="19" t="s">
        <v>66</v>
      </c>
      <c r="I160" s="19" t="s">
        <v>60</v>
      </c>
      <c r="J160" s="21" t="s">
        <v>376</v>
      </c>
      <c r="K160" s="15" t="n">
        <v>6</v>
      </c>
      <c r="L160" s="15" t="n">
        <v>4</v>
      </c>
      <c r="M160" s="15" t="n">
        <v>4</v>
      </c>
      <c r="N160" s="15" t="n">
        <v>10</v>
      </c>
      <c r="O160" s="15" t="n">
        <v>7</v>
      </c>
      <c r="P160" s="15" t="n">
        <v>1</v>
      </c>
      <c r="Q160" s="15" t="n">
        <v>6</v>
      </c>
      <c r="R160" s="16" t="n">
        <f aca="false">ROUND(K160*0.55+L160*0.25+M160*0.2,1)</f>
        <v>5.1</v>
      </c>
      <c r="S160" s="16" t="n">
        <f aca="false">ROUND(N160*0.35+O160*0.25+P160*0.25+Q160*0.15,1)</f>
        <v>6.4</v>
      </c>
      <c r="T160" s="17" t="n">
        <f aca="false">ROUND(R160*'Como ler'!$B$5+S160*'Como ler'!$B$6,1)</f>
        <v>5.7</v>
      </c>
      <c r="U160" s="18" t="s">
        <v>62</v>
      </c>
      <c r="V160" s="18" t="s">
        <v>63</v>
      </c>
    </row>
    <row r="161" customFormat="false" ht="15" hidden="false" customHeight="false" outlineLevel="0" collapsed="false">
      <c r="A161" s="19" t="n">
        <v>157</v>
      </c>
      <c r="B161" s="20" t="s">
        <v>377</v>
      </c>
      <c r="C161" s="21" t="s">
        <v>114</v>
      </c>
      <c r="D161" s="21" t="s">
        <v>205</v>
      </c>
      <c r="E161" s="19" t="n">
        <v>81</v>
      </c>
      <c r="F161" s="19" t="n">
        <v>1</v>
      </c>
      <c r="G161" s="19" t="n">
        <v>1</v>
      </c>
      <c r="H161" s="19" t="s">
        <v>66</v>
      </c>
      <c r="I161" s="19" t="s">
        <v>60</v>
      </c>
      <c r="J161" s="21" t="s">
        <v>378</v>
      </c>
      <c r="K161" s="15" t="n">
        <v>6</v>
      </c>
      <c r="L161" s="15" t="n">
        <v>2</v>
      </c>
      <c r="M161" s="15" t="n">
        <v>2</v>
      </c>
      <c r="N161" s="15" t="n">
        <v>10</v>
      </c>
      <c r="O161" s="15" t="n">
        <v>7</v>
      </c>
      <c r="P161" s="15" t="n">
        <v>1</v>
      </c>
      <c r="Q161" s="15" t="n">
        <v>6</v>
      </c>
      <c r="R161" s="16" t="n">
        <f aca="false">ROUND(K161*0.55+L161*0.25+M161*0.2,1)</f>
        <v>4.2</v>
      </c>
      <c r="S161" s="16" t="n">
        <f aca="false">ROUND(N161*0.35+O161*0.25+P161*0.25+Q161*0.15,1)</f>
        <v>6.4</v>
      </c>
      <c r="T161" s="17" t="n">
        <f aca="false">ROUND(R161*'Como ler'!$B$5+S161*'Como ler'!$B$6,1)</f>
        <v>5.2</v>
      </c>
      <c r="U161" s="18" t="s">
        <v>62</v>
      </c>
      <c r="V161" s="18" t="s">
        <v>63</v>
      </c>
    </row>
    <row r="162" customFormat="false" ht="15" hidden="false" customHeight="false" outlineLevel="0" collapsed="false">
      <c r="A162" s="19" t="n">
        <v>158</v>
      </c>
      <c r="B162" s="20" t="s">
        <v>379</v>
      </c>
      <c r="C162" s="21" t="s">
        <v>92</v>
      </c>
      <c r="D162" s="21" t="s">
        <v>205</v>
      </c>
      <c r="E162" s="19" t="n">
        <v>81</v>
      </c>
      <c r="F162" s="19" t="n">
        <v>1</v>
      </c>
      <c r="G162" s="19" t="n">
        <v>1</v>
      </c>
      <c r="H162" s="19" t="s">
        <v>66</v>
      </c>
      <c r="I162" s="19" t="s">
        <v>60</v>
      </c>
      <c r="J162" s="21" t="s">
        <v>380</v>
      </c>
      <c r="K162" s="15" t="n">
        <v>6</v>
      </c>
      <c r="L162" s="15" t="n">
        <v>2</v>
      </c>
      <c r="M162" s="15" t="n">
        <v>2</v>
      </c>
      <c r="N162" s="15" t="n">
        <v>10</v>
      </c>
      <c r="O162" s="15" t="n">
        <v>7</v>
      </c>
      <c r="P162" s="15" t="n">
        <v>1</v>
      </c>
      <c r="Q162" s="15" t="n">
        <v>6</v>
      </c>
      <c r="R162" s="16" t="n">
        <f aca="false">ROUND(K162*0.55+L162*0.25+M162*0.2,1)</f>
        <v>4.2</v>
      </c>
      <c r="S162" s="16" t="n">
        <f aca="false">ROUND(N162*0.35+O162*0.25+P162*0.25+Q162*0.15,1)</f>
        <v>6.4</v>
      </c>
      <c r="T162" s="17" t="n">
        <f aca="false">ROUND(R162*'Como ler'!$B$5+S162*'Como ler'!$B$6,1)</f>
        <v>5.2</v>
      </c>
      <c r="U162" s="18" t="s">
        <v>62</v>
      </c>
      <c r="V162" s="18" t="s">
        <v>63</v>
      </c>
    </row>
    <row r="163" customFormat="false" ht="15" hidden="false" customHeight="false" outlineLevel="0" collapsed="false">
      <c r="A163" s="19" t="n">
        <v>159</v>
      </c>
      <c r="B163" s="20" t="s">
        <v>381</v>
      </c>
      <c r="C163" s="21" t="s">
        <v>69</v>
      </c>
      <c r="D163" s="21" t="s">
        <v>297</v>
      </c>
      <c r="E163" s="19" t="n">
        <v>81</v>
      </c>
      <c r="F163" s="19" t="n">
        <v>1</v>
      </c>
      <c r="G163" s="19" t="n">
        <v>1</v>
      </c>
      <c r="H163" s="19" t="s">
        <v>66</v>
      </c>
      <c r="I163" s="19" t="s">
        <v>167</v>
      </c>
      <c r="J163" s="21" t="s">
        <v>168</v>
      </c>
      <c r="K163" s="15" t="n">
        <v>6</v>
      </c>
      <c r="L163" s="15" t="n">
        <v>2</v>
      </c>
      <c r="M163" s="15" t="n">
        <v>2</v>
      </c>
      <c r="N163" s="15" t="n">
        <v>3</v>
      </c>
      <c r="O163" s="15" t="n">
        <v>4</v>
      </c>
      <c r="P163" s="15" t="n">
        <v>6</v>
      </c>
      <c r="Q163" s="15" t="n">
        <v>6</v>
      </c>
      <c r="R163" s="16" t="n">
        <f aca="false">ROUND(K163*0.55+L163*0.25+M163*0.2,1)</f>
        <v>4.2</v>
      </c>
      <c r="S163" s="16" t="n">
        <f aca="false">ROUND(N163*0.35+O163*0.25+P163*0.25+Q163*0.15,1)</f>
        <v>4.5</v>
      </c>
      <c r="T163" s="17" t="n">
        <f aca="false">ROUND(R163*'Como ler'!$B$5+S163*'Como ler'!$B$6,1)</f>
        <v>4.3</v>
      </c>
      <c r="U163" s="18" t="s">
        <v>62</v>
      </c>
      <c r="V163" s="18" t="s">
        <v>63</v>
      </c>
    </row>
    <row r="164" customFormat="false" ht="15" hidden="false" customHeight="false" outlineLevel="0" collapsed="false">
      <c r="A164" s="19" t="n">
        <v>160</v>
      </c>
      <c r="B164" s="20" t="s">
        <v>382</v>
      </c>
      <c r="C164" s="21" t="s">
        <v>92</v>
      </c>
      <c r="D164" s="21" t="s">
        <v>208</v>
      </c>
      <c r="E164" s="19" t="n">
        <v>80</v>
      </c>
      <c r="F164" s="19" t="n">
        <v>1</v>
      </c>
      <c r="G164" s="19" t="n">
        <v>2</v>
      </c>
      <c r="H164" s="19" t="s">
        <v>66</v>
      </c>
      <c r="I164" s="19" t="s">
        <v>60</v>
      </c>
      <c r="J164" s="21" t="s">
        <v>350</v>
      </c>
      <c r="K164" s="15" t="n">
        <v>6</v>
      </c>
      <c r="L164" s="15" t="n">
        <v>2</v>
      </c>
      <c r="M164" s="15" t="n">
        <v>4</v>
      </c>
      <c r="N164" s="15" t="n">
        <v>10</v>
      </c>
      <c r="O164" s="15" t="n">
        <v>7</v>
      </c>
      <c r="P164" s="15" t="n">
        <v>1</v>
      </c>
      <c r="Q164" s="15" t="n">
        <v>6</v>
      </c>
      <c r="R164" s="16" t="n">
        <f aca="false">ROUND(K164*0.55+L164*0.25+M164*0.2,1)</f>
        <v>4.6</v>
      </c>
      <c r="S164" s="16" t="n">
        <f aca="false">ROUND(N164*0.35+O164*0.25+P164*0.25+Q164*0.15,1)</f>
        <v>6.4</v>
      </c>
      <c r="T164" s="17" t="n">
        <f aca="false">ROUND(R164*'Como ler'!$B$5+S164*'Como ler'!$B$6,1)</f>
        <v>5.4</v>
      </c>
      <c r="U164" s="18" t="s">
        <v>62</v>
      </c>
      <c r="V164" s="18" t="s">
        <v>63</v>
      </c>
    </row>
    <row r="165" customFormat="false" ht="15" hidden="false" customHeight="false" outlineLevel="0" collapsed="false">
      <c r="A165" s="19" t="n">
        <v>161</v>
      </c>
      <c r="B165" s="20" t="s">
        <v>383</v>
      </c>
      <c r="C165" s="21" t="s">
        <v>114</v>
      </c>
      <c r="D165" s="21" t="s">
        <v>205</v>
      </c>
      <c r="E165" s="19" t="n">
        <v>79</v>
      </c>
      <c r="F165" s="19" t="n">
        <v>2</v>
      </c>
      <c r="G165" s="19" t="n">
        <v>2</v>
      </c>
      <c r="H165" s="19" t="s">
        <v>66</v>
      </c>
      <c r="I165" s="19" t="s">
        <v>60</v>
      </c>
      <c r="J165" s="21" t="s">
        <v>378</v>
      </c>
      <c r="K165" s="15" t="n">
        <v>6</v>
      </c>
      <c r="L165" s="15" t="n">
        <v>4</v>
      </c>
      <c r="M165" s="15" t="n">
        <v>4</v>
      </c>
      <c r="N165" s="15" t="n">
        <v>10</v>
      </c>
      <c r="O165" s="15" t="n">
        <v>7</v>
      </c>
      <c r="P165" s="15" t="n">
        <v>1</v>
      </c>
      <c r="Q165" s="15" t="n">
        <v>6</v>
      </c>
      <c r="R165" s="16" t="n">
        <f aca="false">ROUND(K165*0.55+L165*0.25+M165*0.2,1)</f>
        <v>5.1</v>
      </c>
      <c r="S165" s="16" t="n">
        <f aca="false">ROUND(N165*0.35+O165*0.25+P165*0.25+Q165*0.15,1)</f>
        <v>6.4</v>
      </c>
      <c r="T165" s="17" t="n">
        <f aca="false">ROUND(R165*'Como ler'!$B$5+S165*'Como ler'!$B$6,1)</f>
        <v>5.7</v>
      </c>
      <c r="U165" s="18" t="s">
        <v>62</v>
      </c>
      <c r="V165" s="18" t="s">
        <v>63</v>
      </c>
    </row>
    <row r="166" customFormat="false" ht="15" hidden="false" customHeight="false" outlineLevel="0" collapsed="false">
      <c r="A166" s="19" t="n">
        <v>162</v>
      </c>
      <c r="B166" s="20" t="s">
        <v>109</v>
      </c>
      <c r="C166" s="21" t="s">
        <v>57</v>
      </c>
      <c r="D166" s="21" t="s">
        <v>58</v>
      </c>
      <c r="E166" s="19" t="n">
        <v>73</v>
      </c>
      <c r="F166" s="19" t="n">
        <v>2</v>
      </c>
      <c r="G166" s="19" t="n">
        <v>4</v>
      </c>
      <c r="H166" s="19" t="s">
        <v>66</v>
      </c>
      <c r="I166" s="19" t="s">
        <v>60</v>
      </c>
      <c r="J166" s="21" t="s">
        <v>110</v>
      </c>
      <c r="K166" s="15" t="n">
        <v>6</v>
      </c>
      <c r="L166" s="15" t="n">
        <v>4</v>
      </c>
      <c r="M166" s="15" t="n">
        <v>6</v>
      </c>
      <c r="N166" s="15" t="n">
        <v>10</v>
      </c>
      <c r="O166" s="15" t="n">
        <v>7</v>
      </c>
      <c r="P166" s="15" t="n">
        <v>10</v>
      </c>
      <c r="Q166" s="15" t="n">
        <v>6</v>
      </c>
      <c r="R166" s="16" t="n">
        <f aca="false">ROUND(K166*0.55+L166*0.25+M166*0.2,1)</f>
        <v>5.5</v>
      </c>
      <c r="S166" s="16" t="n">
        <f aca="false">ROUND(N166*0.35+O166*0.25+P166*0.25+Q166*0.15,1)</f>
        <v>8.7</v>
      </c>
      <c r="T166" s="17" t="n">
        <f aca="false">ROUND(R166*'Como ler'!$B$5+S166*'Como ler'!$B$6,1)</f>
        <v>6.9</v>
      </c>
      <c r="U166" s="18" t="s">
        <v>62</v>
      </c>
      <c r="V166" s="18" t="s">
        <v>63</v>
      </c>
    </row>
    <row r="167" customFormat="false" ht="15" hidden="false" customHeight="false" outlineLevel="0" collapsed="false">
      <c r="A167" s="19" t="n">
        <v>163</v>
      </c>
      <c r="B167" s="20" t="s">
        <v>384</v>
      </c>
      <c r="C167" s="21" t="s">
        <v>92</v>
      </c>
      <c r="D167" s="21" t="s">
        <v>233</v>
      </c>
      <c r="E167" s="19" t="n">
        <v>73</v>
      </c>
      <c r="F167" s="19" t="n">
        <v>1</v>
      </c>
      <c r="G167" s="19" t="n">
        <v>1</v>
      </c>
      <c r="H167" s="19" t="s">
        <v>59</v>
      </c>
      <c r="I167" s="19" t="s">
        <v>60</v>
      </c>
      <c r="J167" s="21" t="s">
        <v>385</v>
      </c>
      <c r="K167" s="15" t="n">
        <v>6</v>
      </c>
      <c r="L167" s="15" t="n">
        <v>2</v>
      </c>
      <c r="M167" s="15" t="n">
        <v>2</v>
      </c>
      <c r="N167" s="15" t="n">
        <v>10</v>
      </c>
      <c r="O167" s="15" t="n">
        <v>7</v>
      </c>
      <c r="P167" s="15" t="n">
        <v>3</v>
      </c>
      <c r="Q167" s="15" t="n">
        <v>9</v>
      </c>
      <c r="R167" s="16" t="n">
        <f aca="false">ROUND(K167*0.55+L167*0.25+M167*0.2,1)</f>
        <v>4.2</v>
      </c>
      <c r="S167" s="16" t="n">
        <f aca="false">ROUND(N167*0.35+O167*0.25+P167*0.25+Q167*0.15,1)</f>
        <v>7.4</v>
      </c>
      <c r="T167" s="17" t="n">
        <f aca="false">ROUND(R167*'Como ler'!$B$5+S167*'Como ler'!$B$6,1)</f>
        <v>5.6</v>
      </c>
      <c r="U167" s="18" t="s">
        <v>62</v>
      </c>
      <c r="V167" s="18" t="s">
        <v>63</v>
      </c>
    </row>
    <row r="168" customFormat="false" ht="15" hidden="false" customHeight="false" outlineLevel="0" collapsed="false">
      <c r="A168" s="19" t="n">
        <v>164</v>
      </c>
      <c r="B168" s="20" t="s">
        <v>386</v>
      </c>
      <c r="C168" s="21" t="s">
        <v>92</v>
      </c>
      <c r="D168" s="21" t="s">
        <v>205</v>
      </c>
      <c r="E168" s="19" t="n">
        <v>72</v>
      </c>
      <c r="F168" s="19" t="n">
        <v>1</v>
      </c>
      <c r="G168" s="19" t="n">
        <v>2</v>
      </c>
      <c r="H168" s="19" t="s">
        <v>66</v>
      </c>
      <c r="I168" s="19" t="s">
        <v>60</v>
      </c>
      <c r="J168" s="21" t="s">
        <v>387</v>
      </c>
      <c r="K168" s="15" t="n">
        <v>6</v>
      </c>
      <c r="L168" s="15" t="n">
        <v>2</v>
      </c>
      <c r="M168" s="15" t="n">
        <v>4</v>
      </c>
      <c r="N168" s="15" t="n">
        <v>10</v>
      </c>
      <c r="O168" s="15" t="n">
        <v>7</v>
      </c>
      <c r="P168" s="15" t="n">
        <v>1</v>
      </c>
      <c r="Q168" s="15" t="n">
        <v>6</v>
      </c>
      <c r="R168" s="16" t="n">
        <f aca="false">ROUND(K168*0.55+L168*0.25+M168*0.2,1)</f>
        <v>4.6</v>
      </c>
      <c r="S168" s="16" t="n">
        <f aca="false">ROUND(N168*0.35+O168*0.25+P168*0.25+Q168*0.15,1)</f>
        <v>6.4</v>
      </c>
      <c r="T168" s="17" t="n">
        <f aca="false">ROUND(R168*'Como ler'!$B$5+S168*'Como ler'!$B$6,1)</f>
        <v>5.4</v>
      </c>
      <c r="U168" s="18" t="s">
        <v>62</v>
      </c>
      <c r="V168" s="18" t="s">
        <v>63</v>
      </c>
    </row>
    <row r="169" customFormat="false" ht="15" hidden="false" customHeight="false" outlineLevel="0" collapsed="false">
      <c r="A169" s="19" t="n">
        <v>165</v>
      </c>
      <c r="B169" s="20" t="s">
        <v>105</v>
      </c>
      <c r="C169" s="21" t="s">
        <v>65</v>
      </c>
      <c r="D169" s="21" t="s">
        <v>58</v>
      </c>
      <c r="E169" s="19" t="n">
        <v>70</v>
      </c>
      <c r="F169" s="19" t="n">
        <v>2</v>
      </c>
      <c r="G169" s="19" t="n">
        <v>3</v>
      </c>
      <c r="H169" s="19" t="s">
        <v>66</v>
      </c>
      <c r="I169" s="19" t="s">
        <v>60</v>
      </c>
      <c r="J169" s="21" t="s">
        <v>106</v>
      </c>
      <c r="K169" s="15" t="n">
        <v>6</v>
      </c>
      <c r="L169" s="15" t="n">
        <v>4</v>
      </c>
      <c r="M169" s="15" t="n">
        <v>4</v>
      </c>
      <c r="N169" s="15" t="n">
        <v>10</v>
      </c>
      <c r="O169" s="15" t="n">
        <v>10</v>
      </c>
      <c r="P169" s="15" t="n">
        <v>10</v>
      </c>
      <c r="Q169" s="15" t="n">
        <v>6</v>
      </c>
      <c r="R169" s="16" t="n">
        <f aca="false">ROUND(K169*0.55+L169*0.25+M169*0.2,1)</f>
        <v>5.1</v>
      </c>
      <c r="S169" s="16" t="n">
        <f aca="false">ROUND(N169*0.35+O169*0.25+P169*0.25+Q169*0.15,1)</f>
        <v>9.4</v>
      </c>
      <c r="T169" s="17" t="n">
        <f aca="false">ROUND(R169*'Como ler'!$B$5+S169*'Como ler'!$B$6,1)</f>
        <v>7</v>
      </c>
      <c r="U169" s="18" t="s">
        <v>62</v>
      </c>
      <c r="V169" s="18" t="s">
        <v>63</v>
      </c>
    </row>
    <row r="170" customFormat="false" ht="15" hidden="false" customHeight="false" outlineLevel="0" collapsed="false">
      <c r="A170" s="19" t="n">
        <v>166</v>
      </c>
      <c r="B170" s="20" t="s">
        <v>388</v>
      </c>
      <c r="C170" s="21" t="s">
        <v>92</v>
      </c>
      <c r="D170" s="21" t="s">
        <v>205</v>
      </c>
      <c r="E170" s="19" t="n">
        <v>69</v>
      </c>
      <c r="F170" s="19" t="n">
        <v>1</v>
      </c>
      <c r="G170" s="19" t="n">
        <v>1</v>
      </c>
      <c r="H170" s="19" t="s">
        <v>59</v>
      </c>
      <c r="I170" s="19" t="s">
        <v>167</v>
      </c>
      <c r="J170" s="21" t="s">
        <v>168</v>
      </c>
      <c r="K170" s="15" t="n">
        <v>6</v>
      </c>
      <c r="L170" s="15" t="n">
        <v>2</v>
      </c>
      <c r="M170" s="15" t="n">
        <v>2</v>
      </c>
      <c r="N170" s="15" t="n">
        <v>3</v>
      </c>
      <c r="O170" s="15" t="n">
        <v>4</v>
      </c>
      <c r="P170" s="15" t="n">
        <v>1</v>
      </c>
      <c r="Q170" s="15" t="n">
        <v>9</v>
      </c>
      <c r="R170" s="16" t="n">
        <f aca="false">ROUND(K170*0.55+L170*0.25+M170*0.2,1)</f>
        <v>4.2</v>
      </c>
      <c r="S170" s="16" t="n">
        <f aca="false">ROUND(N170*0.35+O170*0.25+P170*0.25+Q170*0.15,1)</f>
        <v>3.7</v>
      </c>
      <c r="T170" s="17" t="n">
        <f aca="false">ROUND(R170*'Como ler'!$B$5+S170*'Como ler'!$B$6,1)</f>
        <v>4</v>
      </c>
      <c r="U170" s="18" t="s">
        <v>62</v>
      </c>
      <c r="V170" s="18" t="s">
        <v>63</v>
      </c>
    </row>
    <row r="171" customFormat="false" ht="15" hidden="false" customHeight="false" outlineLevel="0" collapsed="false">
      <c r="A171" s="19" t="n">
        <v>167</v>
      </c>
      <c r="B171" s="20" t="s">
        <v>189</v>
      </c>
      <c r="C171" s="21" t="s">
        <v>69</v>
      </c>
      <c r="D171" s="21" t="s">
        <v>58</v>
      </c>
      <c r="E171" s="19" t="n">
        <v>67</v>
      </c>
      <c r="F171" s="19" t="n">
        <v>1</v>
      </c>
      <c r="G171" s="19" t="n">
        <v>1</v>
      </c>
      <c r="H171" s="19" t="s">
        <v>66</v>
      </c>
      <c r="I171" s="19" t="s">
        <v>140</v>
      </c>
      <c r="J171" s="21" t="s">
        <v>141</v>
      </c>
      <c r="K171" s="15" t="n">
        <v>6</v>
      </c>
      <c r="L171" s="15" t="n">
        <v>2</v>
      </c>
      <c r="M171" s="15" t="n">
        <v>2</v>
      </c>
      <c r="N171" s="15" t="n">
        <v>3</v>
      </c>
      <c r="O171" s="15" t="n">
        <v>4</v>
      </c>
      <c r="P171" s="15" t="n">
        <v>10</v>
      </c>
      <c r="Q171" s="15" t="n">
        <v>6</v>
      </c>
      <c r="R171" s="16" t="n">
        <f aca="false">ROUND(K171*0.55+L171*0.25+M171*0.2,1)</f>
        <v>4.2</v>
      </c>
      <c r="S171" s="16" t="n">
        <f aca="false">ROUND(N171*0.35+O171*0.25+P171*0.25+Q171*0.15,1)</f>
        <v>5.5</v>
      </c>
      <c r="T171" s="17" t="n">
        <f aca="false">ROUND(R171*'Como ler'!$B$5+S171*'Como ler'!$B$6,1)</f>
        <v>4.8</v>
      </c>
      <c r="U171" s="18" t="s">
        <v>62</v>
      </c>
      <c r="V171" s="18" t="s">
        <v>63</v>
      </c>
    </row>
    <row r="172" customFormat="false" ht="15" hidden="false" customHeight="false" outlineLevel="0" collapsed="false">
      <c r="A172" s="19" t="n">
        <v>168</v>
      </c>
      <c r="B172" s="20" t="s">
        <v>144</v>
      </c>
      <c r="C172" s="21" t="s">
        <v>69</v>
      </c>
      <c r="D172" s="21" t="s">
        <v>58</v>
      </c>
      <c r="E172" s="19" t="n">
        <v>67</v>
      </c>
      <c r="F172" s="19" t="n">
        <v>1</v>
      </c>
      <c r="G172" s="19" t="n">
        <v>1</v>
      </c>
      <c r="H172" s="19" t="s">
        <v>115</v>
      </c>
      <c r="I172" s="19" t="s">
        <v>60</v>
      </c>
      <c r="J172" s="21" t="s">
        <v>145</v>
      </c>
      <c r="K172" s="15" t="n">
        <v>6</v>
      </c>
      <c r="L172" s="15" t="n">
        <v>2</v>
      </c>
      <c r="M172" s="15" t="n">
        <v>2</v>
      </c>
      <c r="N172" s="15" t="n">
        <v>10</v>
      </c>
      <c r="O172" s="15" t="n">
        <v>7</v>
      </c>
      <c r="P172" s="15" t="n">
        <v>10</v>
      </c>
      <c r="Q172" s="15" t="n">
        <v>6</v>
      </c>
      <c r="R172" s="16" t="n">
        <f aca="false">ROUND(K172*0.55+L172*0.25+M172*0.2,1)</f>
        <v>4.2</v>
      </c>
      <c r="S172" s="16" t="n">
        <f aca="false">ROUND(N172*0.35+O172*0.25+P172*0.25+Q172*0.15,1)</f>
        <v>8.7</v>
      </c>
      <c r="T172" s="17" t="n">
        <f aca="false">ROUND(R172*'Como ler'!$B$5+S172*'Como ler'!$B$6,1)</f>
        <v>6.2</v>
      </c>
      <c r="U172" s="18" t="s">
        <v>62</v>
      </c>
      <c r="V172" s="18" t="s">
        <v>63</v>
      </c>
    </row>
    <row r="173" customFormat="false" ht="15" hidden="false" customHeight="false" outlineLevel="0" collapsed="false">
      <c r="A173" s="19" t="n">
        <v>169</v>
      </c>
      <c r="B173" s="20" t="s">
        <v>175</v>
      </c>
      <c r="C173" s="21" t="s">
        <v>69</v>
      </c>
      <c r="D173" s="21" t="s">
        <v>58</v>
      </c>
      <c r="E173" s="19" t="n">
        <v>66</v>
      </c>
      <c r="F173" s="19" t="n">
        <v>3</v>
      </c>
      <c r="G173" s="19" t="n">
        <v>3</v>
      </c>
      <c r="H173" s="19" t="s">
        <v>66</v>
      </c>
      <c r="I173" s="19" t="s">
        <v>167</v>
      </c>
      <c r="J173" s="21" t="s">
        <v>168</v>
      </c>
      <c r="K173" s="15" t="n">
        <v>6</v>
      </c>
      <c r="L173" s="15" t="n">
        <v>6</v>
      </c>
      <c r="M173" s="15" t="n">
        <v>4</v>
      </c>
      <c r="N173" s="15" t="n">
        <v>3</v>
      </c>
      <c r="O173" s="15" t="n">
        <v>4</v>
      </c>
      <c r="P173" s="15" t="n">
        <v>10</v>
      </c>
      <c r="Q173" s="15" t="n">
        <v>6</v>
      </c>
      <c r="R173" s="16" t="n">
        <f aca="false">ROUND(K173*0.55+L173*0.25+M173*0.2,1)</f>
        <v>5.6</v>
      </c>
      <c r="S173" s="16" t="n">
        <f aca="false">ROUND(N173*0.35+O173*0.25+P173*0.25+Q173*0.15,1)</f>
        <v>5.5</v>
      </c>
      <c r="T173" s="17" t="n">
        <f aca="false">ROUND(R173*'Como ler'!$B$5+S173*'Como ler'!$B$6,1)</f>
        <v>5.6</v>
      </c>
      <c r="U173" s="18" t="s">
        <v>62</v>
      </c>
      <c r="V173" s="18" t="s">
        <v>63</v>
      </c>
    </row>
    <row r="174" customFormat="false" ht="15" hidden="false" customHeight="false" outlineLevel="0" collapsed="false">
      <c r="A174" s="19" t="n">
        <v>170</v>
      </c>
      <c r="B174" s="20" t="s">
        <v>389</v>
      </c>
      <c r="C174" s="21" t="s">
        <v>92</v>
      </c>
      <c r="D174" s="21" t="s">
        <v>208</v>
      </c>
      <c r="E174" s="19" t="n">
        <v>66</v>
      </c>
      <c r="F174" s="19" t="n">
        <v>1</v>
      </c>
      <c r="G174" s="19" t="n">
        <v>1</v>
      </c>
      <c r="H174" s="19" t="s">
        <v>66</v>
      </c>
      <c r="I174" s="19" t="s">
        <v>210</v>
      </c>
      <c r="J174" s="21" t="s">
        <v>211</v>
      </c>
      <c r="K174" s="15" t="n">
        <v>6</v>
      </c>
      <c r="L174" s="15" t="n">
        <v>2</v>
      </c>
      <c r="M174" s="15" t="n">
        <v>2</v>
      </c>
      <c r="N174" s="15" t="n">
        <v>3</v>
      </c>
      <c r="O174" s="15" t="n">
        <v>4</v>
      </c>
      <c r="P174" s="15" t="n">
        <v>1</v>
      </c>
      <c r="Q174" s="15" t="n">
        <v>6</v>
      </c>
      <c r="R174" s="16" t="n">
        <f aca="false">ROUND(K174*0.55+L174*0.25+M174*0.2,1)</f>
        <v>4.2</v>
      </c>
      <c r="S174" s="16" t="n">
        <f aca="false">ROUND(N174*0.35+O174*0.25+P174*0.25+Q174*0.15,1)</f>
        <v>3.2</v>
      </c>
      <c r="T174" s="17" t="n">
        <f aca="false">ROUND(R174*'Como ler'!$B$5+S174*'Como ler'!$B$6,1)</f>
        <v>3.8</v>
      </c>
      <c r="U174" s="18" t="s">
        <v>62</v>
      </c>
      <c r="V174" s="22" t="s">
        <v>211</v>
      </c>
    </row>
    <row r="175" customFormat="false" ht="15" hidden="false" customHeight="false" outlineLevel="0" collapsed="false">
      <c r="A175" s="19" t="n">
        <v>171</v>
      </c>
      <c r="B175" s="20" t="s">
        <v>131</v>
      </c>
      <c r="C175" s="21" t="s">
        <v>132</v>
      </c>
      <c r="D175" s="21" t="s">
        <v>58</v>
      </c>
      <c r="E175" s="19" t="n">
        <v>66</v>
      </c>
      <c r="F175" s="19" t="n">
        <v>1</v>
      </c>
      <c r="G175" s="19" t="n">
        <v>1</v>
      </c>
      <c r="H175" s="19" t="s">
        <v>59</v>
      </c>
      <c r="I175" s="19" t="s">
        <v>60</v>
      </c>
      <c r="J175" s="21" t="s">
        <v>133</v>
      </c>
      <c r="K175" s="15" t="n">
        <v>6</v>
      </c>
      <c r="L175" s="15" t="n">
        <v>2</v>
      </c>
      <c r="M175" s="15" t="n">
        <v>2</v>
      </c>
      <c r="N175" s="15" t="n">
        <v>10</v>
      </c>
      <c r="O175" s="15" t="n">
        <v>7</v>
      </c>
      <c r="P175" s="15" t="n">
        <v>10</v>
      </c>
      <c r="Q175" s="15" t="n">
        <v>9</v>
      </c>
      <c r="R175" s="16" t="n">
        <f aca="false">ROUND(K175*0.55+L175*0.25+M175*0.2,1)</f>
        <v>4.2</v>
      </c>
      <c r="S175" s="16" t="n">
        <f aca="false">ROUND(N175*0.35+O175*0.25+P175*0.25+Q175*0.15,1)</f>
        <v>9.1</v>
      </c>
      <c r="T175" s="17" t="n">
        <f aca="false">ROUND(R175*'Como ler'!$B$5+S175*'Como ler'!$B$6,1)</f>
        <v>6.4</v>
      </c>
      <c r="U175" s="18" t="s">
        <v>62</v>
      </c>
      <c r="V175" s="18" t="s">
        <v>63</v>
      </c>
    </row>
    <row r="176" customFormat="false" ht="15" hidden="false" customHeight="false" outlineLevel="0" collapsed="false">
      <c r="A176" s="19" t="n">
        <v>172</v>
      </c>
      <c r="B176" s="20" t="s">
        <v>390</v>
      </c>
      <c r="C176" s="21" t="s">
        <v>92</v>
      </c>
      <c r="D176" s="21" t="s">
        <v>205</v>
      </c>
      <c r="E176" s="19" t="n">
        <v>66</v>
      </c>
      <c r="F176" s="19" t="n">
        <v>1</v>
      </c>
      <c r="G176" s="19" t="n">
        <v>1</v>
      </c>
      <c r="H176" s="19" t="s">
        <v>66</v>
      </c>
      <c r="I176" s="19" t="s">
        <v>167</v>
      </c>
      <c r="J176" s="21" t="s">
        <v>168</v>
      </c>
      <c r="K176" s="15" t="n">
        <v>6</v>
      </c>
      <c r="L176" s="15" t="n">
        <v>2</v>
      </c>
      <c r="M176" s="15" t="n">
        <v>2</v>
      </c>
      <c r="N176" s="15" t="n">
        <v>3</v>
      </c>
      <c r="O176" s="15" t="n">
        <v>4</v>
      </c>
      <c r="P176" s="15" t="n">
        <v>1</v>
      </c>
      <c r="Q176" s="15" t="n">
        <v>6</v>
      </c>
      <c r="R176" s="16" t="n">
        <f aca="false">ROUND(K176*0.55+L176*0.25+M176*0.2,1)</f>
        <v>4.2</v>
      </c>
      <c r="S176" s="16" t="n">
        <f aca="false">ROUND(N176*0.35+O176*0.25+P176*0.25+Q176*0.15,1)</f>
        <v>3.2</v>
      </c>
      <c r="T176" s="17" t="n">
        <f aca="false">ROUND(R176*'Como ler'!$B$5+S176*'Como ler'!$B$6,1)</f>
        <v>3.8</v>
      </c>
      <c r="U176" s="18" t="s">
        <v>62</v>
      </c>
      <c r="V176" s="18" t="s">
        <v>63</v>
      </c>
    </row>
    <row r="177" customFormat="false" ht="15" hidden="false" customHeight="false" outlineLevel="0" collapsed="false">
      <c r="A177" s="19" t="n">
        <v>173</v>
      </c>
      <c r="B177" s="20" t="s">
        <v>391</v>
      </c>
      <c r="C177" s="21" t="s">
        <v>69</v>
      </c>
      <c r="D177" s="21" t="s">
        <v>233</v>
      </c>
      <c r="E177" s="19" t="n">
        <v>65</v>
      </c>
      <c r="F177" s="19" t="n">
        <v>1</v>
      </c>
      <c r="G177" s="19" t="n">
        <v>1</v>
      </c>
      <c r="H177" s="19" t="s">
        <v>115</v>
      </c>
      <c r="I177" s="19" t="s">
        <v>60</v>
      </c>
      <c r="J177" s="21" t="s">
        <v>392</v>
      </c>
      <c r="K177" s="15" t="n">
        <v>6</v>
      </c>
      <c r="L177" s="15" t="n">
        <v>2</v>
      </c>
      <c r="M177" s="15" t="n">
        <v>2</v>
      </c>
      <c r="N177" s="15" t="n">
        <v>10</v>
      </c>
      <c r="O177" s="15" t="n">
        <v>7</v>
      </c>
      <c r="P177" s="15" t="n">
        <v>3</v>
      </c>
      <c r="Q177" s="15" t="n">
        <v>6</v>
      </c>
      <c r="R177" s="16" t="n">
        <f aca="false">ROUND(K177*0.55+L177*0.25+M177*0.2,1)</f>
        <v>4.2</v>
      </c>
      <c r="S177" s="16" t="n">
        <f aca="false">ROUND(N177*0.35+O177*0.25+P177*0.25+Q177*0.15,1)</f>
        <v>6.9</v>
      </c>
      <c r="T177" s="17" t="n">
        <f aca="false">ROUND(R177*'Como ler'!$B$5+S177*'Como ler'!$B$6,1)</f>
        <v>5.4</v>
      </c>
      <c r="U177" s="18" t="s">
        <v>62</v>
      </c>
      <c r="V177" s="18" t="s">
        <v>63</v>
      </c>
    </row>
    <row r="178" customFormat="false" ht="15" hidden="false" customHeight="false" outlineLevel="0" collapsed="false">
      <c r="A178" s="19" t="n">
        <v>174</v>
      </c>
      <c r="B178" s="20" t="s">
        <v>393</v>
      </c>
      <c r="C178" s="21" t="s">
        <v>92</v>
      </c>
      <c r="D178" s="21" t="s">
        <v>205</v>
      </c>
      <c r="E178" s="19" t="n">
        <v>61</v>
      </c>
      <c r="F178" s="19" t="n">
        <v>1</v>
      </c>
      <c r="G178" s="19" t="n">
        <v>1</v>
      </c>
      <c r="H178" s="19" t="s">
        <v>59</v>
      </c>
      <c r="I178" s="19" t="s">
        <v>60</v>
      </c>
      <c r="J178" s="21" t="s">
        <v>394</v>
      </c>
      <c r="K178" s="15" t="n">
        <v>6</v>
      </c>
      <c r="L178" s="15" t="n">
        <v>2</v>
      </c>
      <c r="M178" s="15" t="n">
        <v>2</v>
      </c>
      <c r="N178" s="15" t="n">
        <v>10</v>
      </c>
      <c r="O178" s="15" t="n">
        <v>7</v>
      </c>
      <c r="P178" s="15" t="n">
        <v>1</v>
      </c>
      <c r="Q178" s="15" t="n">
        <v>9</v>
      </c>
      <c r="R178" s="16" t="n">
        <f aca="false">ROUND(K178*0.55+L178*0.25+M178*0.2,1)</f>
        <v>4.2</v>
      </c>
      <c r="S178" s="16" t="n">
        <f aca="false">ROUND(N178*0.35+O178*0.25+P178*0.25+Q178*0.15,1)</f>
        <v>6.9</v>
      </c>
      <c r="T178" s="17" t="n">
        <f aca="false">ROUND(R178*'Como ler'!$B$5+S178*'Como ler'!$B$6,1)</f>
        <v>5.4</v>
      </c>
      <c r="U178" s="18" t="s">
        <v>62</v>
      </c>
      <c r="V178" s="18" t="s">
        <v>63</v>
      </c>
    </row>
    <row r="179" customFormat="false" ht="15" hidden="false" customHeight="false" outlineLevel="0" collapsed="false">
      <c r="A179" s="19" t="n">
        <v>175</v>
      </c>
      <c r="B179" s="20" t="s">
        <v>395</v>
      </c>
      <c r="C179" s="21" t="s">
        <v>92</v>
      </c>
      <c r="D179" s="21" t="s">
        <v>205</v>
      </c>
      <c r="E179" s="19" t="n">
        <v>61</v>
      </c>
      <c r="F179" s="19" t="n">
        <v>1</v>
      </c>
      <c r="G179" s="19" t="n">
        <v>1</v>
      </c>
      <c r="H179" s="19" t="s">
        <v>59</v>
      </c>
      <c r="I179" s="19" t="s">
        <v>167</v>
      </c>
      <c r="J179" s="21" t="s">
        <v>168</v>
      </c>
      <c r="K179" s="15" t="n">
        <v>6</v>
      </c>
      <c r="L179" s="15" t="n">
        <v>2</v>
      </c>
      <c r="M179" s="15" t="n">
        <v>2</v>
      </c>
      <c r="N179" s="15" t="n">
        <v>3</v>
      </c>
      <c r="O179" s="15" t="n">
        <v>4</v>
      </c>
      <c r="P179" s="15" t="n">
        <v>1</v>
      </c>
      <c r="Q179" s="15" t="n">
        <v>9</v>
      </c>
      <c r="R179" s="16" t="n">
        <f aca="false">ROUND(K179*0.55+L179*0.25+M179*0.2,1)</f>
        <v>4.2</v>
      </c>
      <c r="S179" s="16" t="n">
        <f aca="false">ROUND(N179*0.35+O179*0.25+P179*0.25+Q179*0.15,1)</f>
        <v>3.7</v>
      </c>
      <c r="T179" s="17" t="n">
        <f aca="false">ROUND(R179*'Como ler'!$B$5+S179*'Como ler'!$B$6,1)</f>
        <v>4</v>
      </c>
      <c r="U179" s="18" t="s">
        <v>62</v>
      </c>
      <c r="V179" s="18" t="s">
        <v>63</v>
      </c>
    </row>
    <row r="180" customFormat="false" ht="15" hidden="false" customHeight="false" outlineLevel="0" collapsed="false">
      <c r="A180" s="19" t="n">
        <v>176</v>
      </c>
      <c r="B180" s="20" t="s">
        <v>396</v>
      </c>
      <c r="C180" s="21" t="s">
        <v>92</v>
      </c>
      <c r="D180" s="21" t="s">
        <v>205</v>
      </c>
      <c r="E180" s="19" t="n">
        <v>60</v>
      </c>
      <c r="F180" s="19" t="n">
        <v>1</v>
      </c>
      <c r="G180" s="19" t="n">
        <v>1</v>
      </c>
      <c r="H180" s="19" t="s">
        <v>66</v>
      </c>
      <c r="I180" s="19" t="s">
        <v>140</v>
      </c>
      <c r="J180" s="21" t="s">
        <v>143</v>
      </c>
      <c r="K180" s="15" t="n">
        <v>6</v>
      </c>
      <c r="L180" s="15" t="n">
        <v>2</v>
      </c>
      <c r="M180" s="15" t="n">
        <v>2</v>
      </c>
      <c r="N180" s="15" t="n">
        <v>3</v>
      </c>
      <c r="O180" s="15" t="n">
        <v>4</v>
      </c>
      <c r="P180" s="15" t="n">
        <v>1</v>
      </c>
      <c r="Q180" s="15" t="n">
        <v>6</v>
      </c>
      <c r="R180" s="16" t="n">
        <f aca="false">ROUND(K180*0.55+L180*0.25+M180*0.2,1)</f>
        <v>4.2</v>
      </c>
      <c r="S180" s="16" t="n">
        <f aca="false">ROUND(N180*0.35+O180*0.25+P180*0.25+Q180*0.15,1)</f>
        <v>3.2</v>
      </c>
      <c r="T180" s="17" t="n">
        <f aca="false">ROUND(R180*'Como ler'!$B$5+S180*'Como ler'!$B$6,1)</f>
        <v>3.8</v>
      </c>
      <c r="U180" s="18" t="s">
        <v>62</v>
      </c>
      <c r="V180" s="18" t="s">
        <v>63</v>
      </c>
    </row>
    <row r="181" customFormat="false" ht="15" hidden="false" customHeight="false" outlineLevel="0" collapsed="false">
      <c r="A181" s="19" t="n">
        <v>177</v>
      </c>
      <c r="B181" s="20" t="s">
        <v>117</v>
      </c>
      <c r="C181" s="21" t="s">
        <v>92</v>
      </c>
      <c r="D181" s="21" t="s">
        <v>58</v>
      </c>
      <c r="E181" s="19" t="n">
        <v>60</v>
      </c>
      <c r="F181" s="19" t="n">
        <v>1</v>
      </c>
      <c r="G181" s="19" t="n">
        <v>1</v>
      </c>
      <c r="H181" s="19" t="s">
        <v>59</v>
      </c>
      <c r="I181" s="19" t="s">
        <v>60</v>
      </c>
      <c r="J181" s="21" t="s">
        <v>118</v>
      </c>
      <c r="K181" s="15" t="n">
        <v>6</v>
      </c>
      <c r="L181" s="15" t="n">
        <v>2</v>
      </c>
      <c r="M181" s="15" t="n">
        <v>2</v>
      </c>
      <c r="N181" s="15" t="n">
        <v>10</v>
      </c>
      <c r="O181" s="15" t="n">
        <v>10</v>
      </c>
      <c r="P181" s="15" t="n">
        <v>10</v>
      </c>
      <c r="Q181" s="15" t="n">
        <v>9</v>
      </c>
      <c r="R181" s="16" t="n">
        <f aca="false">ROUND(K181*0.55+L181*0.25+M181*0.2,1)</f>
        <v>4.2</v>
      </c>
      <c r="S181" s="16" t="n">
        <f aca="false">ROUND(N181*0.35+O181*0.25+P181*0.25+Q181*0.15,1)</f>
        <v>9.9</v>
      </c>
      <c r="T181" s="17" t="n">
        <f aca="false">ROUND(R181*'Como ler'!$B$5+S181*'Como ler'!$B$6,1)</f>
        <v>6.8</v>
      </c>
      <c r="U181" s="18" t="s">
        <v>62</v>
      </c>
      <c r="V181" s="18" t="s">
        <v>63</v>
      </c>
    </row>
    <row r="182" customFormat="false" ht="15" hidden="false" customHeight="false" outlineLevel="0" collapsed="false">
      <c r="A182" s="19" t="n">
        <v>178</v>
      </c>
      <c r="B182" s="20" t="s">
        <v>397</v>
      </c>
      <c r="C182" s="21" t="s">
        <v>92</v>
      </c>
      <c r="D182" s="21" t="s">
        <v>205</v>
      </c>
      <c r="E182" s="19" t="n">
        <v>59</v>
      </c>
      <c r="F182" s="19" t="n">
        <v>2</v>
      </c>
      <c r="G182" s="19" t="n">
        <v>2</v>
      </c>
      <c r="H182" s="19" t="s">
        <v>59</v>
      </c>
      <c r="I182" s="19" t="s">
        <v>60</v>
      </c>
      <c r="J182" s="21" t="s">
        <v>398</v>
      </c>
      <c r="K182" s="15" t="n">
        <v>5</v>
      </c>
      <c r="L182" s="15" t="n">
        <v>4</v>
      </c>
      <c r="M182" s="15" t="n">
        <v>4</v>
      </c>
      <c r="N182" s="15" t="n">
        <v>10</v>
      </c>
      <c r="O182" s="15" t="n">
        <v>7</v>
      </c>
      <c r="P182" s="15" t="n">
        <v>1</v>
      </c>
      <c r="Q182" s="15" t="n">
        <v>9</v>
      </c>
      <c r="R182" s="16" t="n">
        <f aca="false">ROUND(K182*0.55+L182*0.25+M182*0.2,1)</f>
        <v>4.6</v>
      </c>
      <c r="S182" s="16" t="n">
        <f aca="false">ROUND(N182*0.35+O182*0.25+P182*0.25+Q182*0.15,1)</f>
        <v>6.9</v>
      </c>
      <c r="T182" s="17" t="n">
        <f aca="false">ROUND(R182*'Como ler'!$B$5+S182*'Como ler'!$B$6,1)</f>
        <v>5.6</v>
      </c>
      <c r="U182" s="18" t="s">
        <v>62</v>
      </c>
      <c r="V182" s="18" t="s">
        <v>63</v>
      </c>
    </row>
    <row r="183" customFormat="false" ht="15" hidden="false" customHeight="false" outlineLevel="0" collapsed="false">
      <c r="A183" s="19" t="n">
        <v>179</v>
      </c>
      <c r="B183" s="20" t="s">
        <v>195</v>
      </c>
      <c r="C183" s="21" t="s">
        <v>69</v>
      </c>
      <c r="D183" s="21" t="s">
        <v>58</v>
      </c>
      <c r="E183" s="19" t="n">
        <v>59</v>
      </c>
      <c r="F183" s="19" t="n">
        <v>1</v>
      </c>
      <c r="G183" s="19" t="n">
        <v>1</v>
      </c>
      <c r="H183" s="19" t="s">
        <v>115</v>
      </c>
      <c r="I183" s="19" t="s">
        <v>167</v>
      </c>
      <c r="J183" s="21" t="s">
        <v>168</v>
      </c>
      <c r="K183" s="15" t="n">
        <v>5</v>
      </c>
      <c r="L183" s="15" t="n">
        <v>2</v>
      </c>
      <c r="M183" s="15" t="n">
        <v>2</v>
      </c>
      <c r="N183" s="15" t="n">
        <v>3</v>
      </c>
      <c r="O183" s="15" t="n">
        <v>4</v>
      </c>
      <c r="P183" s="15" t="n">
        <v>10</v>
      </c>
      <c r="Q183" s="15" t="n">
        <v>6</v>
      </c>
      <c r="R183" s="16" t="n">
        <f aca="false">ROUND(K183*0.55+L183*0.25+M183*0.2,1)</f>
        <v>3.7</v>
      </c>
      <c r="S183" s="16" t="n">
        <f aca="false">ROUND(N183*0.35+O183*0.25+P183*0.25+Q183*0.15,1)</f>
        <v>5.5</v>
      </c>
      <c r="T183" s="17" t="n">
        <f aca="false">ROUND(R183*'Como ler'!$B$5+S183*'Como ler'!$B$6,1)</f>
        <v>4.5</v>
      </c>
      <c r="U183" s="18" t="s">
        <v>62</v>
      </c>
      <c r="V183" s="18" t="s">
        <v>63</v>
      </c>
    </row>
    <row r="184" customFormat="false" ht="15" hidden="false" customHeight="false" outlineLevel="0" collapsed="false">
      <c r="A184" s="19" t="n">
        <v>180</v>
      </c>
      <c r="B184" s="20" t="s">
        <v>399</v>
      </c>
      <c r="C184" s="21" t="s">
        <v>92</v>
      </c>
      <c r="D184" s="21" t="s">
        <v>233</v>
      </c>
      <c r="E184" s="19" t="n">
        <v>58</v>
      </c>
      <c r="F184" s="19" t="n">
        <v>3</v>
      </c>
      <c r="G184" s="19" t="n">
        <v>3</v>
      </c>
      <c r="H184" s="19" t="s">
        <v>59</v>
      </c>
      <c r="I184" s="19" t="s">
        <v>60</v>
      </c>
      <c r="J184" s="21" t="s">
        <v>400</v>
      </c>
      <c r="K184" s="15" t="n">
        <v>5</v>
      </c>
      <c r="L184" s="15" t="n">
        <v>6</v>
      </c>
      <c r="M184" s="15" t="n">
        <v>4</v>
      </c>
      <c r="N184" s="15" t="n">
        <v>10</v>
      </c>
      <c r="O184" s="15" t="n">
        <v>7</v>
      </c>
      <c r="P184" s="15" t="n">
        <v>3</v>
      </c>
      <c r="Q184" s="15" t="n">
        <v>9</v>
      </c>
      <c r="R184" s="16" t="n">
        <f aca="false">ROUND(K184*0.55+L184*0.25+M184*0.2,1)</f>
        <v>5.1</v>
      </c>
      <c r="S184" s="16" t="n">
        <f aca="false">ROUND(N184*0.35+O184*0.25+P184*0.25+Q184*0.15,1)</f>
        <v>7.4</v>
      </c>
      <c r="T184" s="17" t="n">
        <f aca="false">ROUND(R184*'Como ler'!$B$5+S184*'Como ler'!$B$6,1)</f>
        <v>6.1</v>
      </c>
      <c r="U184" s="18" t="s">
        <v>62</v>
      </c>
      <c r="V184" s="18" t="s">
        <v>63</v>
      </c>
    </row>
    <row r="185" customFormat="false" ht="15" hidden="false" customHeight="false" outlineLevel="0" collapsed="false">
      <c r="A185" s="19" t="n">
        <v>181</v>
      </c>
      <c r="B185" s="20" t="s">
        <v>401</v>
      </c>
      <c r="C185" s="21" t="s">
        <v>92</v>
      </c>
      <c r="D185" s="21" t="s">
        <v>205</v>
      </c>
      <c r="E185" s="19" t="n">
        <v>58</v>
      </c>
      <c r="F185" s="19" t="n">
        <v>1</v>
      </c>
      <c r="G185" s="19" t="n">
        <v>1</v>
      </c>
      <c r="H185" s="19" t="s">
        <v>59</v>
      </c>
      <c r="I185" s="19" t="s">
        <v>140</v>
      </c>
      <c r="J185" s="21" t="s">
        <v>143</v>
      </c>
      <c r="K185" s="15" t="n">
        <v>5</v>
      </c>
      <c r="L185" s="15" t="n">
        <v>2</v>
      </c>
      <c r="M185" s="15" t="n">
        <v>2</v>
      </c>
      <c r="N185" s="15" t="n">
        <v>3</v>
      </c>
      <c r="O185" s="15" t="n">
        <v>4</v>
      </c>
      <c r="P185" s="15" t="n">
        <v>1</v>
      </c>
      <c r="Q185" s="15" t="n">
        <v>9</v>
      </c>
      <c r="R185" s="16" t="n">
        <f aca="false">ROUND(K185*0.55+L185*0.25+M185*0.2,1)</f>
        <v>3.7</v>
      </c>
      <c r="S185" s="16" t="n">
        <f aca="false">ROUND(N185*0.35+O185*0.25+P185*0.25+Q185*0.15,1)</f>
        <v>3.7</v>
      </c>
      <c r="T185" s="17" t="n">
        <f aca="false">ROUND(R185*'Como ler'!$B$5+S185*'Como ler'!$B$6,1)</f>
        <v>3.7</v>
      </c>
      <c r="U185" s="18" t="s">
        <v>62</v>
      </c>
      <c r="V185" s="18" t="s">
        <v>63</v>
      </c>
    </row>
    <row r="186" customFormat="false" ht="15" hidden="false" customHeight="false" outlineLevel="0" collapsed="false">
      <c r="A186" s="19" t="n">
        <v>182</v>
      </c>
      <c r="B186" s="20" t="s">
        <v>161</v>
      </c>
      <c r="C186" s="21" t="s">
        <v>92</v>
      </c>
      <c r="D186" s="21" t="s">
        <v>58</v>
      </c>
      <c r="E186" s="19" t="n">
        <v>58</v>
      </c>
      <c r="F186" s="19" t="n">
        <v>1</v>
      </c>
      <c r="G186" s="19" t="n">
        <v>1</v>
      </c>
      <c r="H186" s="19" t="s">
        <v>66</v>
      </c>
      <c r="I186" s="19" t="s">
        <v>60</v>
      </c>
      <c r="J186" s="21" t="s">
        <v>162</v>
      </c>
      <c r="K186" s="15" t="n">
        <v>5</v>
      </c>
      <c r="L186" s="15" t="n">
        <v>2</v>
      </c>
      <c r="M186" s="15" t="n">
        <v>2</v>
      </c>
      <c r="N186" s="15" t="n">
        <v>10</v>
      </c>
      <c r="O186" s="15" t="n">
        <v>7</v>
      </c>
      <c r="P186" s="15" t="n">
        <v>10</v>
      </c>
      <c r="Q186" s="15" t="n">
        <v>6</v>
      </c>
      <c r="R186" s="16" t="n">
        <f aca="false">ROUND(K186*0.55+L186*0.25+M186*0.2,1)</f>
        <v>3.7</v>
      </c>
      <c r="S186" s="16" t="n">
        <f aca="false">ROUND(N186*0.35+O186*0.25+P186*0.25+Q186*0.15,1)</f>
        <v>8.7</v>
      </c>
      <c r="T186" s="17" t="n">
        <f aca="false">ROUND(R186*'Como ler'!$B$5+S186*'Como ler'!$B$6,1)</f>
        <v>6</v>
      </c>
      <c r="U186" s="18" t="s">
        <v>62</v>
      </c>
      <c r="V186" s="18" t="s">
        <v>63</v>
      </c>
    </row>
    <row r="187" customFormat="false" ht="15" hidden="false" customHeight="false" outlineLevel="0" collapsed="false">
      <c r="A187" s="19" t="n">
        <v>183</v>
      </c>
      <c r="B187" s="20" t="s">
        <v>402</v>
      </c>
      <c r="C187" s="21" t="s">
        <v>92</v>
      </c>
      <c r="D187" s="21" t="s">
        <v>205</v>
      </c>
      <c r="E187" s="19" t="n">
        <v>58</v>
      </c>
      <c r="F187" s="19" t="n">
        <v>1</v>
      </c>
      <c r="G187" s="19" t="n">
        <v>1</v>
      </c>
      <c r="H187" s="19" t="s">
        <v>115</v>
      </c>
      <c r="I187" s="19" t="s">
        <v>210</v>
      </c>
      <c r="J187" s="21" t="s">
        <v>211</v>
      </c>
      <c r="K187" s="15" t="n">
        <v>5</v>
      </c>
      <c r="L187" s="15" t="n">
        <v>2</v>
      </c>
      <c r="M187" s="15" t="n">
        <v>2</v>
      </c>
      <c r="N187" s="15" t="n">
        <v>3</v>
      </c>
      <c r="O187" s="15" t="n">
        <v>4</v>
      </c>
      <c r="P187" s="15" t="n">
        <v>1</v>
      </c>
      <c r="Q187" s="15" t="n">
        <v>6</v>
      </c>
      <c r="R187" s="16" t="n">
        <f aca="false">ROUND(K187*0.55+L187*0.25+M187*0.2,1)</f>
        <v>3.7</v>
      </c>
      <c r="S187" s="16" t="n">
        <f aca="false">ROUND(N187*0.35+O187*0.25+P187*0.25+Q187*0.15,1)</f>
        <v>3.2</v>
      </c>
      <c r="T187" s="17" t="n">
        <f aca="false">ROUND(R187*'Como ler'!$B$5+S187*'Como ler'!$B$6,1)</f>
        <v>3.5</v>
      </c>
      <c r="U187" s="18" t="s">
        <v>62</v>
      </c>
      <c r="V187" s="22" t="s">
        <v>211</v>
      </c>
    </row>
    <row r="188" customFormat="false" ht="15" hidden="false" customHeight="false" outlineLevel="0" collapsed="false">
      <c r="A188" s="19" t="n">
        <v>184</v>
      </c>
      <c r="B188" s="20" t="s">
        <v>403</v>
      </c>
      <c r="C188" s="21" t="s">
        <v>92</v>
      </c>
      <c r="D188" s="21" t="s">
        <v>205</v>
      </c>
      <c r="E188" s="19" t="n">
        <v>58</v>
      </c>
      <c r="F188" s="19" t="n">
        <v>1</v>
      </c>
      <c r="G188" s="19" t="n">
        <v>1</v>
      </c>
      <c r="H188" s="19" t="s">
        <v>59</v>
      </c>
      <c r="I188" s="19" t="s">
        <v>167</v>
      </c>
      <c r="J188" s="21" t="s">
        <v>168</v>
      </c>
      <c r="K188" s="15" t="n">
        <v>5</v>
      </c>
      <c r="L188" s="15" t="n">
        <v>2</v>
      </c>
      <c r="M188" s="15" t="n">
        <v>2</v>
      </c>
      <c r="N188" s="15" t="n">
        <v>3</v>
      </c>
      <c r="O188" s="15" t="n">
        <v>4</v>
      </c>
      <c r="P188" s="15" t="n">
        <v>1</v>
      </c>
      <c r="Q188" s="15" t="n">
        <v>9</v>
      </c>
      <c r="R188" s="16" t="n">
        <f aca="false">ROUND(K188*0.55+L188*0.25+M188*0.2,1)</f>
        <v>3.7</v>
      </c>
      <c r="S188" s="16" t="n">
        <f aca="false">ROUND(N188*0.35+O188*0.25+P188*0.25+Q188*0.15,1)</f>
        <v>3.7</v>
      </c>
      <c r="T188" s="17" t="n">
        <f aca="false">ROUND(R188*'Como ler'!$B$5+S188*'Como ler'!$B$6,1)</f>
        <v>3.7</v>
      </c>
      <c r="U188" s="18" t="s">
        <v>62</v>
      </c>
      <c r="V188" s="18" t="s">
        <v>63</v>
      </c>
    </row>
    <row r="189" customFormat="false" ht="15" hidden="false" customHeight="false" outlineLevel="0" collapsed="false">
      <c r="A189" s="19" t="n">
        <v>185</v>
      </c>
      <c r="B189" s="20" t="s">
        <v>404</v>
      </c>
      <c r="C189" s="21" t="s">
        <v>92</v>
      </c>
      <c r="D189" s="21" t="s">
        <v>205</v>
      </c>
      <c r="E189" s="19" t="n">
        <v>58</v>
      </c>
      <c r="F189" s="19" t="n">
        <v>1</v>
      </c>
      <c r="G189" s="19" t="n">
        <v>1</v>
      </c>
      <c r="H189" s="19" t="s">
        <v>115</v>
      </c>
      <c r="I189" s="19" t="s">
        <v>210</v>
      </c>
      <c r="J189" s="21" t="s">
        <v>211</v>
      </c>
      <c r="K189" s="15" t="n">
        <v>5</v>
      </c>
      <c r="L189" s="15" t="n">
        <v>2</v>
      </c>
      <c r="M189" s="15" t="n">
        <v>2</v>
      </c>
      <c r="N189" s="15" t="n">
        <v>3</v>
      </c>
      <c r="O189" s="15" t="n">
        <v>4</v>
      </c>
      <c r="P189" s="15" t="n">
        <v>1</v>
      </c>
      <c r="Q189" s="15" t="n">
        <v>6</v>
      </c>
      <c r="R189" s="16" t="n">
        <f aca="false">ROUND(K189*0.55+L189*0.25+M189*0.2,1)</f>
        <v>3.7</v>
      </c>
      <c r="S189" s="16" t="n">
        <f aca="false">ROUND(N189*0.35+O189*0.25+P189*0.25+Q189*0.15,1)</f>
        <v>3.2</v>
      </c>
      <c r="T189" s="17" t="n">
        <f aca="false">ROUND(R189*'Como ler'!$B$5+S189*'Como ler'!$B$6,1)</f>
        <v>3.5</v>
      </c>
      <c r="U189" s="18" t="s">
        <v>62</v>
      </c>
      <c r="V189" s="22" t="s">
        <v>211</v>
      </c>
    </row>
    <row r="190" customFormat="false" ht="15" hidden="false" customHeight="false" outlineLevel="0" collapsed="false">
      <c r="A190" s="19" t="n">
        <v>186</v>
      </c>
      <c r="B190" s="20" t="s">
        <v>405</v>
      </c>
      <c r="C190" s="21" t="s">
        <v>92</v>
      </c>
      <c r="D190" s="21" t="s">
        <v>205</v>
      </c>
      <c r="E190" s="19" t="n">
        <v>57</v>
      </c>
      <c r="F190" s="19" t="n">
        <v>1</v>
      </c>
      <c r="G190" s="19" t="n">
        <v>1</v>
      </c>
      <c r="H190" s="19" t="s">
        <v>59</v>
      </c>
      <c r="I190" s="19" t="s">
        <v>60</v>
      </c>
      <c r="J190" s="21" t="s">
        <v>406</v>
      </c>
      <c r="K190" s="15" t="n">
        <v>5</v>
      </c>
      <c r="L190" s="15" t="n">
        <v>2</v>
      </c>
      <c r="M190" s="15" t="n">
        <v>2</v>
      </c>
      <c r="N190" s="15" t="n">
        <v>10</v>
      </c>
      <c r="O190" s="15" t="n">
        <v>7</v>
      </c>
      <c r="P190" s="15" t="n">
        <v>1</v>
      </c>
      <c r="Q190" s="15" t="n">
        <v>9</v>
      </c>
      <c r="R190" s="16" t="n">
        <f aca="false">ROUND(K190*0.55+L190*0.25+M190*0.2,1)</f>
        <v>3.7</v>
      </c>
      <c r="S190" s="16" t="n">
        <f aca="false">ROUND(N190*0.35+O190*0.25+P190*0.25+Q190*0.15,1)</f>
        <v>6.9</v>
      </c>
      <c r="T190" s="17" t="n">
        <f aca="false">ROUND(R190*'Como ler'!$B$5+S190*'Como ler'!$B$6,1)</f>
        <v>5.1</v>
      </c>
      <c r="U190" s="18" t="s">
        <v>62</v>
      </c>
      <c r="V190" s="18" t="s">
        <v>63</v>
      </c>
    </row>
    <row r="191" customFormat="false" ht="15" hidden="false" customHeight="false" outlineLevel="0" collapsed="false">
      <c r="A191" s="19" t="n">
        <v>187</v>
      </c>
      <c r="B191" s="20" t="s">
        <v>407</v>
      </c>
      <c r="C191" s="21" t="s">
        <v>92</v>
      </c>
      <c r="D191" s="21" t="s">
        <v>205</v>
      </c>
      <c r="E191" s="19" t="n">
        <v>57</v>
      </c>
      <c r="F191" s="19" t="n">
        <v>1</v>
      </c>
      <c r="G191" s="19" t="n">
        <v>1</v>
      </c>
      <c r="H191" s="19" t="s">
        <v>59</v>
      </c>
      <c r="I191" s="19" t="s">
        <v>60</v>
      </c>
      <c r="J191" s="21" t="s">
        <v>408</v>
      </c>
      <c r="K191" s="15" t="n">
        <v>5</v>
      </c>
      <c r="L191" s="15" t="n">
        <v>2</v>
      </c>
      <c r="M191" s="15" t="n">
        <v>2</v>
      </c>
      <c r="N191" s="15" t="n">
        <v>10</v>
      </c>
      <c r="O191" s="15" t="n">
        <v>7</v>
      </c>
      <c r="P191" s="15" t="n">
        <v>1</v>
      </c>
      <c r="Q191" s="15" t="n">
        <v>9</v>
      </c>
      <c r="R191" s="16" t="n">
        <f aca="false">ROUND(K191*0.55+L191*0.25+M191*0.2,1)</f>
        <v>3.7</v>
      </c>
      <c r="S191" s="16" t="n">
        <f aca="false">ROUND(N191*0.35+O191*0.25+P191*0.25+Q191*0.15,1)</f>
        <v>6.9</v>
      </c>
      <c r="T191" s="17" t="n">
        <f aca="false">ROUND(R191*'Como ler'!$B$5+S191*'Como ler'!$B$6,1)</f>
        <v>5.1</v>
      </c>
      <c r="U191" s="18" t="s">
        <v>62</v>
      </c>
      <c r="V191" s="18" t="s">
        <v>63</v>
      </c>
    </row>
    <row r="192" customFormat="false" ht="15" hidden="false" customHeight="false" outlineLevel="0" collapsed="false">
      <c r="A192" s="19" t="n">
        <v>188</v>
      </c>
      <c r="B192" s="20" t="s">
        <v>409</v>
      </c>
      <c r="C192" s="21" t="s">
        <v>92</v>
      </c>
      <c r="D192" s="21" t="s">
        <v>205</v>
      </c>
      <c r="E192" s="19" t="n">
        <v>56</v>
      </c>
      <c r="F192" s="19" t="n">
        <v>2</v>
      </c>
      <c r="G192" s="19" t="n">
        <v>7</v>
      </c>
      <c r="H192" s="19" t="s">
        <v>59</v>
      </c>
      <c r="I192" s="19" t="s">
        <v>140</v>
      </c>
      <c r="J192" s="21" t="s">
        <v>143</v>
      </c>
      <c r="K192" s="15" t="n">
        <v>5</v>
      </c>
      <c r="L192" s="15" t="n">
        <v>4</v>
      </c>
      <c r="M192" s="15" t="n">
        <v>8</v>
      </c>
      <c r="N192" s="15" t="n">
        <v>3</v>
      </c>
      <c r="O192" s="15" t="n">
        <v>4</v>
      </c>
      <c r="P192" s="15" t="n">
        <v>1</v>
      </c>
      <c r="Q192" s="15" t="n">
        <v>9</v>
      </c>
      <c r="R192" s="16" t="n">
        <f aca="false">ROUND(K192*0.55+L192*0.25+M192*0.2,1)</f>
        <v>5.4</v>
      </c>
      <c r="S192" s="16" t="n">
        <f aca="false">ROUND(N192*0.35+O192*0.25+P192*0.25+Q192*0.15,1)</f>
        <v>3.7</v>
      </c>
      <c r="T192" s="17" t="n">
        <f aca="false">ROUND(R192*'Como ler'!$B$5+S192*'Como ler'!$B$6,1)</f>
        <v>4.6</v>
      </c>
      <c r="U192" s="18" t="s">
        <v>62</v>
      </c>
      <c r="V192" s="18" t="s">
        <v>63</v>
      </c>
    </row>
    <row r="193" customFormat="false" ht="15" hidden="false" customHeight="false" outlineLevel="0" collapsed="false">
      <c r="A193" s="19" t="n">
        <v>189</v>
      </c>
      <c r="B193" s="20" t="s">
        <v>146</v>
      </c>
      <c r="C193" s="21" t="s">
        <v>69</v>
      </c>
      <c r="D193" s="21" t="s">
        <v>58</v>
      </c>
      <c r="E193" s="19" t="n">
        <v>56</v>
      </c>
      <c r="F193" s="19" t="n">
        <v>1</v>
      </c>
      <c r="G193" s="19" t="n">
        <v>2</v>
      </c>
      <c r="H193" s="19" t="s">
        <v>115</v>
      </c>
      <c r="I193" s="19" t="s">
        <v>60</v>
      </c>
      <c r="J193" s="21" t="s">
        <v>147</v>
      </c>
      <c r="K193" s="15" t="n">
        <v>5</v>
      </c>
      <c r="L193" s="15" t="n">
        <v>2</v>
      </c>
      <c r="M193" s="15" t="n">
        <v>4</v>
      </c>
      <c r="N193" s="15" t="n">
        <v>10</v>
      </c>
      <c r="O193" s="15" t="n">
        <v>7</v>
      </c>
      <c r="P193" s="15" t="n">
        <v>10</v>
      </c>
      <c r="Q193" s="15" t="n">
        <v>6</v>
      </c>
      <c r="R193" s="16" t="n">
        <f aca="false">ROUND(K193*0.55+L193*0.25+M193*0.2,1)</f>
        <v>4.1</v>
      </c>
      <c r="S193" s="16" t="n">
        <f aca="false">ROUND(N193*0.35+O193*0.25+P193*0.25+Q193*0.15,1)</f>
        <v>8.7</v>
      </c>
      <c r="T193" s="17" t="n">
        <f aca="false">ROUND(R193*'Como ler'!$B$5+S193*'Como ler'!$B$6,1)</f>
        <v>6.2</v>
      </c>
      <c r="U193" s="18" t="s">
        <v>62</v>
      </c>
      <c r="V193" s="18" t="s">
        <v>63</v>
      </c>
    </row>
    <row r="194" customFormat="false" ht="15" hidden="false" customHeight="false" outlineLevel="0" collapsed="false">
      <c r="A194" s="19" t="n">
        <v>190</v>
      </c>
      <c r="B194" s="20" t="s">
        <v>410</v>
      </c>
      <c r="C194" s="21" t="s">
        <v>92</v>
      </c>
      <c r="D194" s="21" t="s">
        <v>205</v>
      </c>
      <c r="E194" s="19" t="n">
        <v>56</v>
      </c>
      <c r="F194" s="19" t="n">
        <v>1</v>
      </c>
      <c r="G194" s="19" t="n">
        <v>1</v>
      </c>
      <c r="H194" s="19" t="s">
        <v>59</v>
      </c>
      <c r="I194" s="19" t="s">
        <v>149</v>
      </c>
      <c r="J194" s="21" t="s">
        <v>411</v>
      </c>
      <c r="K194" s="15" t="n">
        <v>5</v>
      </c>
      <c r="L194" s="15" t="n">
        <v>2</v>
      </c>
      <c r="M194" s="15" t="n">
        <v>2</v>
      </c>
      <c r="N194" s="15" t="n">
        <v>3</v>
      </c>
      <c r="O194" s="15" t="n">
        <v>4</v>
      </c>
      <c r="P194" s="15" t="n">
        <v>1</v>
      </c>
      <c r="Q194" s="15" t="n">
        <v>9</v>
      </c>
      <c r="R194" s="16" t="n">
        <f aca="false">ROUND(K194*0.55+L194*0.25+M194*0.2,1)</f>
        <v>3.7</v>
      </c>
      <c r="S194" s="16" t="n">
        <f aca="false">ROUND(N194*0.35+O194*0.25+P194*0.25+Q194*0.15,1)</f>
        <v>3.7</v>
      </c>
      <c r="T194" s="17" t="n">
        <f aca="false">ROUND(R194*'Como ler'!$B$5+S194*'Como ler'!$B$6,1)</f>
        <v>3.7</v>
      </c>
      <c r="U194" s="18" t="s">
        <v>62</v>
      </c>
      <c r="V194" s="18" t="s">
        <v>63</v>
      </c>
    </row>
    <row r="195" customFormat="false" ht="15" hidden="false" customHeight="false" outlineLevel="0" collapsed="false">
      <c r="A195" s="19" t="n">
        <v>191</v>
      </c>
      <c r="B195" s="20" t="s">
        <v>412</v>
      </c>
      <c r="C195" s="21" t="s">
        <v>92</v>
      </c>
      <c r="D195" s="21" t="s">
        <v>205</v>
      </c>
      <c r="E195" s="19" t="n">
        <v>56</v>
      </c>
      <c r="F195" s="19" t="n">
        <v>1</v>
      </c>
      <c r="G195" s="19" t="n">
        <v>1</v>
      </c>
      <c r="H195" s="19" t="s">
        <v>66</v>
      </c>
      <c r="I195" s="19" t="s">
        <v>167</v>
      </c>
      <c r="J195" s="21" t="s">
        <v>168</v>
      </c>
      <c r="K195" s="15" t="n">
        <v>5</v>
      </c>
      <c r="L195" s="15" t="n">
        <v>2</v>
      </c>
      <c r="M195" s="15" t="n">
        <v>2</v>
      </c>
      <c r="N195" s="15" t="n">
        <v>3</v>
      </c>
      <c r="O195" s="15" t="n">
        <v>4</v>
      </c>
      <c r="P195" s="15" t="n">
        <v>1</v>
      </c>
      <c r="Q195" s="15" t="n">
        <v>6</v>
      </c>
      <c r="R195" s="16" t="n">
        <f aca="false">ROUND(K195*0.55+L195*0.25+M195*0.2,1)</f>
        <v>3.7</v>
      </c>
      <c r="S195" s="16" t="n">
        <f aca="false">ROUND(N195*0.35+O195*0.25+P195*0.25+Q195*0.15,1)</f>
        <v>3.2</v>
      </c>
      <c r="T195" s="17" t="n">
        <f aca="false">ROUND(R195*'Como ler'!$B$5+S195*'Como ler'!$B$6,1)</f>
        <v>3.5</v>
      </c>
      <c r="U195" s="18" t="s">
        <v>62</v>
      </c>
      <c r="V195" s="18" t="s">
        <v>63</v>
      </c>
    </row>
    <row r="196" customFormat="false" ht="15" hidden="false" customHeight="false" outlineLevel="0" collapsed="false">
      <c r="A196" s="19" t="n">
        <v>192</v>
      </c>
      <c r="B196" s="20" t="s">
        <v>107</v>
      </c>
      <c r="C196" s="21" t="s">
        <v>69</v>
      </c>
      <c r="D196" s="21" t="s">
        <v>58</v>
      </c>
      <c r="E196" s="19" t="n">
        <v>55</v>
      </c>
      <c r="F196" s="19" t="n">
        <v>2</v>
      </c>
      <c r="G196" s="19" t="n">
        <v>2</v>
      </c>
      <c r="H196" s="19" t="s">
        <v>59</v>
      </c>
      <c r="I196" s="19" t="s">
        <v>60</v>
      </c>
      <c r="J196" s="21" t="s">
        <v>108</v>
      </c>
      <c r="K196" s="15" t="n">
        <v>5</v>
      </c>
      <c r="L196" s="15" t="n">
        <v>4</v>
      </c>
      <c r="M196" s="15" t="n">
        <v>4</v>
      </c>
      <c r="N196" s="15" t="n">
        <v>10</v>
      </c>
      <c r="O196" s="15" t="n">
        <v>10</v>
      </c>
      <c r="P196" s="15" t="n">
        <v>10</v>
      </c>
      <c r="Q196" s="15" t="n">
        <v>9</v>
      </c>
      <c r="R196" s="16" t="n">
        <f aca="false">ROUND(K196*0.55+L196*0.25+M196*0.2,1)</f>
        <v>4.6</v>
      </c>
      <c r="S196" s="16" t="n">
        <f aca="false">ROUND(N196*0.35+O196*0.25+P196*0.25+Q196*0.15,1)</f>
        <v>9.9</v>
      </c>
      <c r="T196" s="17" t="n">
        <f aca="false">ROUND(R196*'Como ler'!$B$5+S196*'Como ler'!$B$6,1)</f>
        <v>7</v>
      </c>
      <c r="U196" s="18" t="s">
        <v>62</v>
      </c>
      <c r="V196" s="18" t="s">
        <v>63</v>
      </c>
    </row>
    <row r="197" customFormat="false" ht="15" hidden="false" customHeight="false" outlineLevel="0" collapsed="false">
      <c r="A197" s="19" t="n">
        <v>193</v>
      </c>
      <c r="B197" s="20" t="s">
        <v>413</v>
      </c>
      <c r="C197" s="21" t="s">
        <v>92</v>
      </c>
      <c r="D197" s="21" t="s">
        <v>208</v>
      </c>
      <c r="E197" s="19" t="n">
        <v>53</v>
      </c>
      <c r="F197" s="19" t="n">
        <v>2</v>
      </c>
      <c r="G197" s="19" t="n">
        <v>2</v>
      </c>
      <c r="H197" s="19" t="s">
        <v>115</v>
      </c>
      <c r="I197" s="19" t="s">
        <v>140</v>
      </c>
      <c r="J197" s="21" t="s">
        <v>141</v>
      </c>
      <c r="K197" s="15" t="n">
        <v>5</v>
      </c>
      <c r="L197" s="15" t="n">
        <v>4</v>
      </c>
      <c r="M197" s="15" t="n">
        <v>4</v>
      </c>
      <c r="N197" s="15" t="n">
        <v>3</v>
      </c>
      <c r="O197" s="15" t="n">
        <v>4</v>
      </c>
      <c r="P197" s="15" t="n">
        <v>1</v>
      </c>
      <c r="Q197" s="15" t="n">
        <v>6</v>
      </c>
      <c r="R197" s="16" t="n">
        <f aca="false">ROUND(K197*0.55+L197*0.25+M197*0.2,1)</f>
        <v>4.6</v>
      </c>
      <c r="S197" s="16" t="n">
        <f aca="false">ROUND(N197*0.35+O197*0.25+P197*0.25+Q197*0.15,1)</f>
        <v>3.2</v>
      </c>
      <c r="T197" s="17" t="n">
        <f aca="false">ROUND(R197*'Como ler'!$B$5+S197*'Como ler'!$B$6,1)</f>
        <v>4</v>
      </c>
      <c r="U197" s="18" t="s">
        <v>62</v>
      </c>
      <c r="V197" s="18" t="s">
        <v>63</v>
      </c>
    </row>
    <row r="198" customFormat="false" ht="15" hidden="false" customHeight="false" outlineLevel="0" collapsed="false">
      <c r="A198" s="19" t="n">
        <v>194</v>
      </c>
      <c r="B198" s="20" t="s">
        <v>414</v>
      </c>
      <c r="C198" s="21" t="s">
        <v>92</v>
      </c>
      <c r="D198" s="21" t="s">
        <v>205</v>
      </c>
      <c r="E198" s="19" t="n">
        <v>53</v>
      </c>
      <c r="F198" s="19" t="n">
        <v>1</v>
      </c>
      <c r="G198" s="19" t="n">
        <v>1</v>
      </c>
      <c r="H198" s="19" t="s">
        <v>59</v>
      </c>
      <c r="I198" s="19" t="s">
        <v>140</v>
      </c>
      <c r="J198" s="21" t="s">
        <v>141</v>
      </c>
      <c r="K198" s="15" t="n">
        <v>5</v>
      </c>
      <c r="L198" s="15" t="n">
        <v>2</v>
      </c>
      <c r="M198" s="15" t="n">
        <v>2</v>
      </c>
      <c r="N198" s="15" t="n">
        <v>3</v>
      </c>
      <c r="O198" s="15" t="n">
        <v>4</v>
      </c>
      <c r="P198" s="15" t="n">
        <v>1</v>
      </c>
      <c r="Q198" s="15" t="n">
        <v>9</v>
      </c>
      <c r="R198" s="16" t="n">
        <f aca="false">ROUND(K198*0.55+L198*0.25+M198*0.2,1)</f>
        <v>3.7</v>
      </c>
      <c r="S198" s="16" t="n">
        <f aca="false">ROUND(N198*0.35+O198*0.25+P198*0.25+Q198*0.15,1)</f>
        <v>3.7</v>
      </c>
      <c r="T198" s="17" t="n">
        <f aca="false">ROUND(R198*'Como ler'!$B$5+S198*'Como ler'!$B$6,1)</f>
        <v>3.7</v>
      </c>
      <c r="U198" s="18" t="s">
        <v>62</v>
      </c>
      <c r="V198" s="18" t="s">
        <v>63</v>
      </c>
    </row>
    <row r="199" customFormat="false" ht="15" hidden="false" customHeight="false" outlineLevel="0" collapsed="false">
      <c r="A199" s="19" t="n">
        <v>195</v>
      </c>
      <c r="B199" s="20" t="s">
        <v>415</v>
      </c>
      <c r="C199" s="21" t="s">
        <v>92</v>
      </c>
      <c r="D199" s="21" t="s">
        <v>205</v>
      </c>
      <c r="E199" s="19" t="n">
        <v>53</v>
      </c>
      <c r="F199" s="19" t="n">
        <v>1</v>
      </c>
      <c r="G199" s="19" t="n">
        <v>1</v>
      </c>
      <c r="H199" s="19" t="s">
        <v>66</v>
      </c>
      <c r="I199" s="19" t="s">
        <v>140</v>
      </c>
      <c r="J199" s="21" t="s">
        <v>141</v>
      </c>
      <c r="K199" s="15" t="n">
        <v>5</v>
      </c>
      <c r="L199" s="15" t="n">
        <v>2</v>
      </c>
      <c r="M199" s="15" t="n">
        <v>2</v>
      </c>
      <c r="N199" s="15" t="n">
        <v>3</v>
      </c>
      <c r="O199" s="15" t="n">
        <v>4</v>
      </c>
      <c r="P199" s="15" t="n">
        <v>1</v>
      </c>
      <c r="Q199" s="15" t="n">
        <v>6</v>
      </c>
      <c r="R199" s="16" t="n">
        <f aca="false">ROUND(K199*0.55+L199*0.25+M199*0.2,1)</f>
        <v>3.7</v>
      </c>
      <c r="S199" s="16" t="n">
        <f aca="false">ROUND(N199*0.35+O199*0.25+P199*0.25+Q199*0.15,1)</f>
        <v>3.2</v>
      </c>
      <c r="T199" s="17" t="n">
        <f aca="false">ROUND(R199*'Como ler'!$B$5+S199*'Como ler'!$B$6,1)</f>
        <v>3.5</v>
      </c>
      <c r="U199" s="18" t="s">
        <v>62</v>
      </c>
      <c r="V199" s="18" t="s">
        <v>63</v>
      </c>
    </row>
    <row r="200" customFormat="false" ht="15" hidden="false" customHeight="false" outlineLevel="0" collapsed="false">
      <c r="A200" s="19" t="n">
        <v>196</v>
      </c>
      <c r="B200" s="20" t="s">
        <v>416</v>
      </c>
      <c r="C200" s="21" t="s">
        <v>92</v>
      </c>
      <c r="D200" s="21" t="s">
        <v>229</v>
      </c>
      <c r="E200" s="19" t="n">
        <v>53</v>
      </c>
      <c r="F200" s="19" t="n">
        <v>1</v>
      </c>
      <c r="G200" s="19" t="n">
        <v>1</v>
      </c>
      <c r="H200" s="19" t="s">
        <v>66</v>
      </c>
      <c r="I200" s="19" t="s">
        <v>210</v>
      </c>
      <c r="J200" s="21" t="s">
        <v>211</v>
      </c>
      <c r="K200" s="15" t="n">
        <v>5</v>
      </c>
      <c r="L200" s="15" t="n">
        <v>2</v>
      </c>
      <c r="M200" s="15" t="n">
        <v>2</v>
      </c>
      <c r="N200" s="15" t="n">
        <v>3</v>
      </c>
      <c r="O200" s="15" t="n">
        <v>4</v>
      </c>
      <c r="P200" s="15" t="n">
        <v>1</v>
      </c>
      <c r="Q200" s="15" t="n">
        <v>6</v>
      </c>
      <c r="R200" s="16" t="n">
        <f aca="false">ROUND(K200*0.55+L200*0.25+M200*0.2,1)</f>
        <v>3.7</v>
      </c>
      <c r="S200" s="16" t="n">
        <f aca="false">ROUND(N200*0.35+O200*0.25+P200*0.25+Q200*0.15,1)</f>
        <v>3.2</v>
      </c>
      <c r="T200" s="17" t="n">
        <f aca="false">ROUND(R200*'Como ler'!$B$5+S200*'Como ler'!$B$6,1)</f>
        <v>3.5</v>
      </c>
      <c r="U200" s="18" t="s">
        <v>62</v>
      </c>
      <c r="V200" s="22" t="s">
        <v>211</v>
      </c>
    </row>
    <row r="201" customFormat="false" ht="15" hidden="false" customHeight="false" outlineLevel="0" collapsed="false">
      <c r="A201" s="19" t="n">
        <v>197</v>
      </c>
      <c r="B201" s="20" t="s">
        <v>153</v>
      </c>
      <c r="C201" s="21" t="s">
        <v>69</v>
      </c>
      <c r="D201" s="21" t="s">
        <v>58</v>
      </c>
      <c r="E201" s="19" t="n">
        <v>53</v>
      </c>
      <c r="F201" s="19" t="n">
        <v>1</v>
      </c>
      <c r="G201" s="19" t="n">
        <v>1</v>
      </c>
      <c r="H201" s="19" t="s">
        <v>59</v>
      </c>
      <c r="I201" s="19" t="s">
        <v>60</v>
      </c>
      <c r="J201" s="21" t="s">
        <v>154</v>
      </c>
      <c r="K201" s="15" t="n">
        <v>5</v>
      </c>
      <c r="L201" s="15" t="n">
        <v>2</v>
      </c>
      <c r="M201" s="15" t="n">
        <v>2</v>
      </c>
      <c r="N201" s="15" t="n">
        <v>10</v>
      </c>
      <c r="O201" s="15" t="n">
        <v>7</v>
      </c>
      <c r="P201" s="15" t="n">
        <v>10</v>
      </c>
      <c r="Q201" s="15" t="n">
        <v>9</v>
      </c>
      <c r="R201" s="16" t="n">
        <f aca="false">ROUND(K201*0.55+L201*0.25+M201*0.2,1)</f>
        <v>3.7</v>
      </c>
      <c r="S201" s="16" t="n">
        <f aca="false">ROUND(N201*0.35+O201*0.25+P201*0.25+Q201*0.15,1)</f>
        <v>9.1</v>
      </c>
      <c r="T201" s="17" t="n">
        <f aca="false">ROUND(R201*'Como ler'!$B$5+S201*'Como ler'!$B$6,1)</f>
        <v>6.1</v>
      </c>
      <c r="U201" s="18" t="s">
        <v>62</v>
      </c>
      <c r="V201" s="18" t="s">
        <v>63</v>
      </c>
    </row>
    <row r="202" customFormat="false" ht="15" hidden="false" customHeight="false" outlineLevel="0" collapsed="false">
      <c r="A202" s="19" t="n">
        <v>198</v>
      </c>
      <c r="B202" s="20" t="s">
        <v>166</v>
      </c>
      <c r="C202" s="21" t="s">
        <v>65</v>
      </c>
      <c r="D202" s="21" t="s">
        <v>58</v>
      </c>
      <c r="E202" s="19" t="n">
        <v>52</v>
      </c>
      <c r="F202" s="19" t="n">
        <v>4</v>
      </c>
      <c r="G202" s="19" t="n">
        <v>4</v>
      </c>
      <c r="H202" s="19" t="s">
        <v>59</v>
      </c>
      <c r="I202" s="19" t="s">
        <v>167</v>
      </c>
      <c r="J202" s="21" t="s">
        <v>168</v>
      </c>
      <c r="K202" s="15" t="n">
        <v>5</v>
      </c>
      <c r="L202" s="15" t="n">
        <v>6</v>
      </c>
      <c r="M202" s="15" t="n">
        <v>6</v>
      </c>
      <c r="N202" s="15" t="n">
        <v>3</v>
      </c>
      <c r="O202" s="15" t="n">
        <v>4</v>
      </c>
      <c r="P202" s="15" t="n">
        <v>10</v>
      </c>
      <c r="Q202" s="15" t="n">
        <v>9</v>
      </c>
      <c r="R202" s="16" t="n">
        <f aca="false">ROUND(K202*0.55+L202*0.25+M202*0.2,1)</f>
        <v>5.5</v>
      </c>
      <c r="S202" s="16" t="n">
        <f aca="false">ROUND(N202*0.35+O202*0.25+P202*0.25+Q202*0.15,1)</f>
        <v>5.9</v>
      </c>
      <c r="T202" s="17" t="n">
        <f aca="false">ROUND(R202*'Como ler'!$B$5+S202*'Como ler'!$B$6,1)</f>
        <v>5.7</v>
      </c>
      <c r="U202" s="18" t="s">
        <v>62</v>
      </c>
      <c r="V202" s="18" t="s">
        <v>63</v>
      </c>
    </row>
    <row r="203" customFormat="false" ht="15" hidden="false" customHeight="false" outlineLevel="0" collapsed="false">
      <c r="A203" s="19" t="n">
        <v>199</v>
      </c>
      <c r="B203" s="20" t="s">
        <v>417</v>
      </c>
      <c r="C203" s="21" t="s">
        <v>92</v>
      </c>
      <c r="D203" s="21" t="s">
        <v>205</v>
      </c>
      <c r="E203" s="19" t="n">
        <v>52</v>
      </c>
      <c r="F203" s="19" t="n">
        <v>1</v>
      </c>
      <c r="G203" s="19" t="n">
        <v>1</v>
      </c>
      <c r="H203" s="19" t="s">
        <v>66</v>
      </c>
      <c r="I203" s="19" t="s">
        <v>140</v>
      </c>
      <c r="J203" s="21" t="s">
        <v>141</v>
      </c>
      <c r="K203" s="15" t="n">
        <v>5</v>
      </c>
      <c r="L203" s="15" t="n">
        <v>2</v>
      </c>
      <c r="M203" s="15" t="n">
        <v>2</v>
      </c>
      <c r="N203" s="15" t="n">
        <v>3</v>
      </c>
      <c r="O203" s="15" t="n">
        <v>4</v>
      </c>
      <c r="P203" s="15" t="n">
        <v>1</v>
      </c>
      <c r="Q203" s="15" t="n">
        <v>6</v>
      </c>
      <c r="R203" s="16" t="n">
        <f aca="false">ROUND(K203*0.55+L203*0.25+M203*0.2,1)</f>
        <v>3.7</v>
      </c>
      <c r="S203" s="16" t="n">
        <f aca="false">ROUND(N203*0.35+O203*0.25+P203*0.25+Q203*0.15,1)</f>
        <v>3.2</v>
      </c>
      <c r="T203" s="17" t="n">
        <f aca="false">ROUND(R203*'Como ler'!$B$5+S203*'Como ler'!$B$6,1)</f>
        <v>3.5</v>
      </c>
      <c r="U203" s="18" t="s">
        <v>62</v>
      </c>
      <c r="V203" s="18" t="s">
        <v>63</v>
      </c>
    </row>
    <row r="204" customFormat="false" ht="15" hidden="false" customHeight="false" outlineLevel="0" collapsed="false">
      <c r="A204" s="19" t="n">
        <v>200</v>
      </c>
      <c r="B204" s="20" t="s">
        <v>121</v>
      </c>
      <c r="C204" s="21" t="s">
        <v>87</v>
      </c>
      <c r="D204" s="21" t="s">
        <v>58</v>
      </c>
      <c r="E204" s="19" t="n">
        <v>51</v>
      </c>
      <c r="F204" s="19" t="n">
        <v>3</v>
      </c>
      <c r="G204" s="19" t="n">
        <v>3</v>
      </c>
      <c r="H204" s="19" t="s">
        <v>66</v>
      </c>
      <c r="I204" s="19" t="s">
        <v>60</v>
      </c>
      <c r="J204" s="21" t="s">
        <v>122</v>
      </c>
      <c r="K204" s="15" t="n">
        <v>5</v>
      </c>
      <c r="L204" s="15" t="n">
        <v>6</v>
      </c>
      <c r="M204" s="15" t="n">
        <v>4</v>
      </c>
      <c r="N204" s="15" t="n">
        <v>10</v>
      </c>
      <c r="O204" s="15" t="n">
        <v>7</v>
      </c>
      <c r="P204" s="15" t="n">
        <v>10</v>
      </c>
      <c r="Q204" s="15" t="n">
        <v>6</v>
      </c>
      <c r="R204" s="16" t="n">
        <f aca="false">ROUND(K204*0.55+L204*0.25+M204*0.2,1)</f>
        <v>5.1</v>
      </c>
      <c r="S204" s="16" t="n">
        <f aca="false">ROUND(N204*0.35+O204*0.25+P204*0.25+Q204*0.15,1)</f>
        <v>8.7</v>
      </c>
      <c r="T204" s="17" t="n">
        <f aca="false">ROUND(R204*'Como ler'!$B$5+S204*'Como ler'!$B$6,1)</f>
        <v>6.7</v>
      </c>
      <c r="U204" s="18" t="s">
        <v>62</v>
      </c>
      <c r="V204" s="18" t="s">
        <v>63</v>
      </c>
    </row>
    <row r="205" customFormat="false" ht="15" hidden="false" customHeight="false" outlineLevel="0" collapsed="false">
      <c r="A205" s="19" t="n">
        <v>201</v>
      </c>
      <c r="B205" s="20" t="s">
        <v>418</v>
      </c>
      <c r="C205" s="21" t="s">
        <v>92</v>
      </c>
      <c r="D205" s="21" t="s">
        <v>205</v>
      </c>
      <c r="E205" s="19" t="n">
        <v>51</v>
      </c>
      <c r="F205" s="19" t="n">
        <v>1</v>
      </c>
      <c r="G205" s="19" t="n">
        <v>1</v>
      </c>
      <c r="H205" s="19" t="s">
        <v>66</v>
      </c>
      <c r="I205" s="19" t="s">
        <v>140</v>
      </c>
      <c r="J205" s="21" t="s">
        <v>141</v>
      </c>
      <c r="K205" s="15" t="n">
        <v>5</v>
      </c>
      <c r="L205" s="15" t="n">
        <v>2</v>
      </c>
      <c r="M205" s="15" t="n">
        <v>2</v>
      </c>
      <c r="N205" s="15" t="n">
        <v>3</v>
      </c>
      <c r="O205" s="15" t="n">
        <v>4</v>
      </c>
      <c r="P205" s="15" t="n">
        <v>1</v>
      </c>
      <c r="Q205" s="15" t="n">
        <v>6</v>
      </c>
      <c r="R205" s="16" t="n">
        <f aca="false">ROUND(K205*0.55+L205*0.25+M205*0.2,1)</f>
        <v>3.7</v>
      </c>
      <c r="S205" s="16" t="n">
        <f aca="false">ROUND(N205*0.35+O205*0.25+P205*0.25+Q205*0.15,1)</f>
        <v>3.2</v>
      </c>
      <c r="T205" s="17" t="n">
        <f aca="false">ROUND(R205*'Como ler'!$B$5+S205*'Como ler'!$B$6,1)</f>
        <v>3.5</v>
      </c>
      <c r="U205" s="18" t="s">
        <v>62</v>
      </c>
      <c r="V205" s="18" t="s">
        <v>63</v>
      </c>
    </row>
    <row r="206" customFormat="false" ht="15" hidden="false" customHeight="false" outlineLevel="0" collapsed="false">
      <c r="A206" s="19" t="n">
        <v>202</v>
      </c>
      <c r="B206" s="20" t="s">
        <v>419</v>
      </c>
      <c r="C206" s="21" t="s">
        <v>92</v>
      </c>
      <c r="D206" s="21" t="s">
        <v>205</v>
      </c>
      <c r="E206" s="19" t="n">
        <v>51</v>
      </c>
      <c r="F206" s="19" t="n">
        <v>1</v>
      </c>
      <c r="G206" s="19" t="n">
        <v>1</v>
      </c>
      <c r="H206" s="19" t="s">
        <v>59</v>
      </c>
      <c r="I206" s="19" t="s">
        <v>167</v>
      </c>
      <c r="J206" s="21" t="s">
        <v>168</v>
      </c>
      <c r="K206" s="15" t="n">
        <v>5</v>
      </c>
      <c r="L206" s="15" t="n">
        <v>2</v>
      </c>
      <c r="M206" s="15" t="n">
        <v>2</v>
      </c>
      <c r="N206" s="15" t="n">
        <v>3</v>
      </c>
      <c r="O206" s="15" t="n">
        <v>4</v>
      </c>
      <c r="P206" s="15" t="n">
        <v>1</v>
      </c>
      <c r="Q206" s="15" t="n">
        <v>9</v>
      </c>
      <c r="R206" s="16" t="n">
        <f aca="false">ROUND(K206*0.55+L206*0.25+M206*0.2,1)</f>
        <v>3.7</v>
      </c>
      <c r="S206" s="16" t="n">
        <f aca="false">ROUND(N206*0.35+O206*0.25+P206*0.25+Q206*0.15,1)</f>
        <v>3.7</v>
      </c>
      <c r="T206" s="17" t="n">
        <f aca="false">ROUND(R206*'Como ler'!$B$5+S206*'Como ler'!$B$6,1)</f>
        <v>3.7</v>
      </c>
      <c r="U206" s="18" t="s">
        <v>62</v>
      </c>
      <c r="V206" s="18" t="s">
        <v>63</v>
      </c>
    </row>
    <row r="207" customFormat="false" ht="15" hidden="false" customHeight="false" outlineLevel="0" collapsed="false">
      <c r="A207" s="19" t="n">
        <v>203</v>
      </c>
      <c r="B207" s="20" t="s">
        <v>129</v>
      </c>
      <c r="C207" s="21" t="s">
        <v>69</v>
      </c>
      <c r="D207" s="21" t="s">
        <v>58</v>
      </c>
      <c r="E207" s="19" t="n">
        <v>50</v>
      </c>
      <c r="F207" s="19" t="n">
        <v>2</v>
      </c>
      <c r="G207" s="19" t="n">
        <v>2</v>
      </c>
      <c r="H207" s="19" t="s">
        <v>66</v>
      </c>
      <c r="I207" s="19" t="s">
        <v>60</v>
      </c>
      <c r="J207" s="21" t="s">
        <v>130</v>
      </c>
      <c r="K207" s="15" t="n">
        <v>5</v>
      </c>
      <c r="L207" s="15" t="n">
        <v>4</v>
      </c>
      <c r="M207" s="15" t="n">
        <v>4</v>
      </c>
      <c r="N207" s="15" t="n">
        <v>10</v>
      </c>
      <c r="O207" s="15" t="n">
        <v>7</v>
      </c>
      <c r="P207" s="15" t="n">
        <v>10</v>
      </c>
      <c r="Q207" s="15" t="n">
        <v>6</v>
      </c>
      <c r="R207" s="16" t="n">
        <f aca="false">ROUND(K207*0.55+L207*0.25+M207*0.2,1)</f>
        <v>4.6</v>
      </c>
      <c r="S207" s="16" t="n">
        <f aca="false">ROUND(N207*0.35+O207*0.25+P207*0.25+Q207*0.15,1)</f>
        <v>8.7</v>
      </c>
      <c r="T207" s="17" t="n">
        <f aca="false">ROUND(R207*'Como ler'!$B$5+S207*'Como ler'!$B$6,1)</f>
        <v>6.4</v>
      </c>
      <c r="U207" s="18" t="s">
        <v>62</v>
      </c>
      <c r="V207" s="18" t="s">
        <v>63</v>
      </c>
    </row>
    <row r="208" customFormat="false" ht="15" hidden="false" customHeight="false" outlineLevel="0" collapsed="false">
      <c r="A208" s="19" t="n">
        <v>204</v>
      </c>
      <c r="B208" s="20" t="s">
        <v>151</v>
      </c>
      <c r="C208" s="21" t="s">
        <v>69</v>
      </c>
      <c r="D208" s="21" t="s">
        <v>58</v>
      </c>
      <c r="E208" s="19" t="n">
        <v>50</v>
      </c>
      <c r="F208" s="19" t="n">
        <v>1</v>
      </c>
      <c r="G208" s="19" t="n">
        <v>1</v>
      </c>
      <c r="H208" s="19" t="s">
        <v>59</v>
      </c>
      <c r="I208" s="19" t="s">
        <v>60</v>
      </c>
      <c r="J208" s="21" t="s">
        <v>152</v>
      </c>
      <c r="K208" s="15" t="n">
        <v>5</v>
      </c>
      <c r="L208" s="15" t="n">
        <v>2</v>
      </c>
      <c r="M208" s="15" t="n">
        <v>2</v>
      </c>
      <c r="N208" s="15" t="n">
        <v>10</v>
      </c>
      <c r="O208" s="15" t="n">
        <v>7</v>
      </c>
      <c r="P208" s="15" t="n">
        <v>10</v>
      </c>
      <c r="Q208" s="15" t="n">
        <v>9</v>
      </c>
      <c r="R208" s="16" t="n">
        <f aca="false">ROUND(K208*0.55+L208*0.25+M208*0.2,1)</f>
        <v>3.7</v>
      </c>
      <c r="S208" s="16" t="n">
        <f aca="false">ROUND(N208*0.35+O208*0.25+P208*0.25+Q208*0.15,1)</f>
        <v>9.1</v>
      </c>
      <c r="T208" s="17" t="n">
        <f aca="false">ROUND(R208*'Como ler'!$B$5+S208*'Como ler'!$B$6,1)</f>
        <v>6.1</v>
      </c>
      <c r="U208" s="18" t="s">
        <v>62</v>
      </c>
      <c r="V208" s="18" t="s">
        <v>63</v>
      </c>
    </row>
    <row r="209" customFormat="false" ht="15" hidden="false" customHeight="false" outlineLevel="0" collapsed="false">
      <c r="A209" s="19" t="n">
        <v>205</v>
      </c>
      <c r="B209" s="20" t="s">
        <v>420</v>
      </c>
      <c r="C209" s="21" t="s">
        <v>92</v>
      </c>
      <c r="D209" s="21" t="s">
        <v>208</v>
      </c>
      <c r="E209" s="19" t="n">
        <v>50</v>
      </c>
      <c r="F209" s="19" t="n">
        <v>1</v>
      </c>
      <c r="G209" s="19" t="n">
        <v>1</v>
      </c>
      <c r="H209" s="19" t="s">
        <v>59</v>
      </c>
      <c r="I209" s="19" t="s">
        <v>167</v>
      </c>
      <c r="J209" s="21" t="s">
        <v>168</v>
      </c>
      <c r="K209" s="15" t="n">
        <v>5</v>
      </c>
      <c r="L209" s="15" t="n">
        <v>2</v>
      </c>
      <c r="M209" s="15" t="n">
        <v>2</v>
      </c>
      <c r="N209" s="15" t="n">
        <v>3</v>
      </c>
      <c r="O209" s="15" t="n">
        <v>4</v>
      </c>
      <c r="P209" s="15" t="n">
        <v>1</v>
      </c>
      <c r="Q209" s="15" t="n">
        <v>9</v>
      </c>
      <c r="R209" s="16" t="n">
        <f aca="false">ROUND(K209*0.55+L209*0.25+M209*0.2,1)</f>
        <v>3.7</v>
      </c>
      <c r="S209" s="16" t="n">
        <f aca="false">ROUND(N209*0.35+O209*0.25+P209*0.25+Q209*0.15,1)</f>
        <v>3.7</v>
      </c>
      <c r="T209" s="17" t="n">
        <f aca="false">ROUND(R209*'Como ler'!$B$5+S209*'Como ler'!$B$6,1)</f>
        <v>3.7</v>
      </c>
      <c r="U209" s="18" t="s">
        <v>62</v>
      </c>
      <c r="V209" s="18" t="s">
        <v>63</v>
      </c>
    </row>
    <row r="210" customFormat="false" ht="15" hidden="false" customHeight="false" outlineLevel="0" collapsed="false">
      <c r="A210" s="19" t="n">
        <v>206</v>
      </c>
      <c r="B210" s="20" t="s">
        <v>421</v>
      </c>
      <c r="C210" s="21" t="s">
        <v>92</v>
      </c>
      <c r="D210" s="21" t="s">
        <v>205</v>
      </c>
      <c r="E210" s="19" t="n">
        <v>50</v>
      </c>
      <c r="F210" s="19" t="n">
        <v>1</v>
      </c>
      <c r="G210" s="19" t="n">
        <v>1</v>
      </c>
      <c r="H210" s="19" t="s">
        <v>59</v>
      </c>
      <c r="I210" s="19" t="s">
        <v>60</v>
      </c>
      <c r="J210" s="21" t="s">
        <v>422</v>
      </c>
      <c r="K210" s="15" t="n">
        <v>5</v>
      </c>
      <c r="L210" s="15" t="n">
        <v>2</v>
      </c>
      <c r="M210" s="15" t="n">
        <v>2</v>
      </c>
      <c r="N210" s="15" t="n">
        <v>10</v>
      </c>
      <c r="O210" s="15" t="n">
        <v>7</v>
      </c>
      <c r="P210" s="15" t="n">
        <v>1</v>
      </c>
      <c r="Q210" s="15" t="n">
        <v>9</v>
      </c>
      <c r="R210" s="16" t="n">
        <f aca="false">ROUND(K210*0.55+L210*0.25+M210*0.2,1)</f>
        <v>3.7</v>
      </c>
      <c r="S210" s="16" t="n">
        <f aca="false">ROUND(N210*0.35+O210*0.25+P210*0.25+Q210*0.15,1)</f>
        <v>6.9</v>
      </c>
      <c r="T210" s="17" t="n">
        <f aca="false">ROUND(R210*'Como ler'!$B$5+S210*'Como ler'!$B$6,1)</f>
        <v>5.1</v>
      </c>
      <c r="U210" s="18" t="s">
        <v>62</v>
      </c>
      <c r="V210" s="18" t="s">
        <v>63</v>
      </c>
    </row>
    <row r="211" customFormat="false" ht="15" hidden="false" customHeight="false" outlineLevel="0" collapsed="false">
      <c r="A211" s="19" t="n">
        <v>207</v>
      </c>
      <c r="B211" s="20" t="s">
        <v>423</v>
      </c>
      <c r="C211" s="21" t="s">
        <v>114</v>
      </c>
      <c r="D211" s="21" t="s">
        <v>205</v>
      </c>
      <c r="E211" s="19" t="n">
        <v>49</v>
      </c>
      <c r="F211" s="19" t="n">
        <v>3</v>
      </c>
      <c r="G211" s="19" t="n">
        <v>3</v>
      </c>
      <c r="H211" s="19" t="s">
        <v>59</v>
      </c>
      <c r="I211" s="19" t="s">
        <v>60</v>
      </c>
      <c r="J211" s="21" t="s">
        <v>424</v>
      </c>
      <c r="K211" s="15" t="n">
        <v>5</v>
      </c>
      <c r="L211" s="15" t="n">
        <v>6</v>
      </c>
      <c r="M211" s="15" t="n">
        <v>4</v>
      </c>
      <c r="N211" s="15" t="n">
        <v>10</v>
      </c>
      <c r="O211" s="15" t="n">
        <v>7</v>
      </c>
      <c r="P211" s="15" t="n">
        <v>1</v>
      </c>
      <c r="Q211" s="15" t="n">
        <v>9</v>
      </c>
      <c r="R211" s="16" t="n">
        <f aca="false">ROUND(K211*0.55+L211*0.25+M211*0.2,1)</f>
        <v>5.1</v>
      </c>
      <c r="S211" s="16" t="n">
        <f aca="false">ROUND(N211*0.35+O211*0.25+P211*0.25+Q211*0.15,1)</f>
        <v>6.9</v>
      </c>
      <c r="T211" s="17" t="n">
        <f aca="false">ROUND(R211*'Como ler'!$B$5+S211*'Como ler'!$B$6,1)</f>
        <v>5.9</v>
      </c>
      <c r="U211" s="18" t="s">
        <v>62</v>
      </c>
      <c r="V211" s="18" t="s">
        <v>63</v>
      </c>
    </row>
    <row r="212" customFormat="false" ht="15" hidden="false" customHeight="false" outlineLevel="0" collapsed="false">
      <c r="A212" s="19" t="n">
        <v>208</v>
      </c>
      <c r="B212" s="20" t="s">
        <v>425</v>
      </c>
      <c r="C212" s="21" t="s">
        <v>114</v>
      </c>
      <c r="D212" s="21" t="s">
        <v>205</v>
      </c>
      <c r="E212" s="19" t="n">
        <v>49</v>
      </c>
      <c r="F212" s="19" t="n">
        <v>1</v>
      </c>
      <c r="G212" s="19" t="n">
        <v>1</v>
      </c>
      <c r="H212" s="19" t="s">
        <v>66</v>
      </c>
      <c r="I212" s="19" t="s">
        <v>140</v>
      </c>
      <c r="J212" s="21" t="s">
        <v>143</v>
      </c>
      <c r="K212" s="15" t="n">
        <v>5</v>
      </c>
      <c r="L212" s="15" t="n">
        <v>2</v>
      </c>
      <c r="M212" s="15" t="n">
        <v>2</v>
      </c>
      <c r="N212" s="15" t="n">
        <v>3</v>
      </c>
      <c r="O212" s="15" t="n">
        <v>4</v>
      </c>
      <c r="P212" s="15" t="n">
        <v>1</v>
      </c>
      <c r="Q212" s="15" t="n">
        <v>6</v>
      </c>
      <c r="R212" s="16" t="n">
        <f aca="false">ROUND(K212*0.55+L212*0.25+M212*0.2,1)</f>
        <v>3.7</v>
      </c>
      <c r="S212" s="16" t="n">
        <f aca="false">ROUND(N212*0.35+O212*0.25+P212*0.25+Q212*0.15,1)</f>
        <v>3.2</v>
      </c>
      <c r="T212" s="17" t="n">
        <f aca="false">ROUND(R212*'Como ler'!$B$5+S212*'Como ler'!$B$6,1)</f>
        <v>3.5</v>
      </c>
      <c r="U212" s="18" t="s">
        <v>62</v>
      </c>
      <c r="V212" s="18" t="s">
        <v>63</v>
      </c>
    </row>
    <row r="213" customFormat="false" ht="15" hidden="false" customHeight="false" outlineLevel="0" collapsed="false">
      <c r="A213" s="19" t="n">
        <v>209</v>
      </c>
      <c r="B213" s="20" t="s">
        <v>426</v>
      </c>
      <c r="C213" s="21" t="s">
        <v>92</v>
      </c>
      <c r="D213" s="21" t="s">
        <v>208</v>
      </c>
      <c r="E213" s="19" t="n">
        <v>48</v>
      </c>
      <c r="F213" s="19" t="n">
        <v>1</v>
      </c>
      <c r="G213" s="19" t="n">
        <v>1</v>
      </c>
      <c r="H213" s="19" t="s">
        <v>66</v>
      </c>
      <c r="I213" s="19" t="s">
        <v>167</v>
      </c>
      <c r="J213" s="21" t="s">
        <v>168</v>
      </c>
      <c r="K213" s="15" t="n">
        <v>5</v>
      </c>
      <c r="L213" s="15" t="n">
        <v>2</v>
      </c>
      <c r="M213" s="15" t="n">
        <v>2</v>
      </c>
      <c r="N213" s="15" t="n">
        <v>3</v>
      </c>
      <c r="O213" s="15" t="n">
        <v>4</v>
      </c>
      <c r="P213" s="15" t="n">
        <v>1</v>
      </c>
      <c r="Q213" s="15" t="n">
        <v>6</v>
      </c>
      <c r="R213" s="16" t="n">
        <f aca="false">ROUND(K213*0.55+L213*0.25+M213*0.2,1)</f>
        <v>3.7</v>
      </c>
      <c r="S213" s="16" t="n">
        <f aca="false">ROUND(N213*0.35+O213*0.25+P213*0.25+Q213*0.15,1)</f>
        <v>3.2</v>
      </c>
      <c r="T213" s="17" t="n">
        <f aca="false">ROUND(R213*'Como ler'!$B$5+S213*'Como ler'!$B$6,1)</f>
        <v>3.5</v>
      </c>
      <c r="U213" s="18" t="s">
        <v>62</v>
      </c>
      <c r="V213" s="18" t="s">
        <v>63</v>
      </c>
    </row>
    <row r="214" customFormat="false" ht="15" hidden="false" customHeight="false" outlineLevel="0" collapsed="false">
      <c r="A214" s="19" t="n">
        <v>210</v>
      </c>
      <c r="B214" s="20" t="s">
        <v>427</v>
      </c>
      <c r="C214" s="21" t="s">
        <v>92</v>
      </c>
      <c r="D214" s="21" t="s">
        <v>205</v>
      </c>
      <c r="E214" s="19" t="n">
        <v>48</v>
      </c>
      <c r="F214" s="19" t="n">
        <v>1</v>
      </c>
      <c r="G214" s="19" t="n">
        <v>1</v>
      </c>
      <c r="H214" s="19" t="s">
        <v>115</v>
      </c>
      <c r="I214" s="19" t="s">
        <v>60</v>
      </c>
      <c r="J214" s="21" t="s">
        <v>428</v>
      </c>
      <c r="K214" s="15" t="n">
        <v>5</v>
      </c>
      <c r="L214" s="15" t="n">
        <v>2</v>
      </c>
      <c r="M214" s="15" t="n">
        <v>2</v>
      </c>
      <c r="N214" s="15" t="n">
        <v>10</v>
      </c>
      <c r="O214" s="15" t="n">
        <v>7</v>
      </c>
      <c r="P214" s="15" t="n">
        <v>1</v>
      </c>
      <c r="Q214" s="15" t="n">
        <v>6</v>
      </c>
      <c r="R214" s="16" t="n">
        <f aca="false">ROUND(K214*0.55+L214*0.25+M214*0.2,1)</f>
        <v>3.7</v>
      </c>
      <c r="S214" s="16" t="n">
        <f aca="false">ROUND(N214*0.35+O214*0.25+P214*0.25+Q214*0.15,1)</f>
        <v>6.4</v>
      </c>
      <c r="T214" s="17" t="n">
        <f aca="false">ROUND(R214*'Como ler'!$B$5+S214*'Como ler'!$B$6,1)</f>
        <v>4.9</v>
      </c>
      <c r="U214" s="18" t="s">
        <v>62</v>
      </c>
      <c r="V214" s="18" t="s">
        <v>63</v>
      </c>
    </row>
    <row r="215" customFormat="false" ht="15" hidden="false" customHeight="false" outlineLevel="0" collapsed="false">
      <c r="A215" s="19" t="n">
        <v>211</v>
      </c>
      <c r="B215" s="20" t="s">
        <v>134</v>
      </c>
      <c r="C215" s="21" t="s">
        <v>69</v>
      </c>
      <c r="D215" s="21" t="s">
        <v>58</v>
      </c>
      <c r="E215" s="19" t="n">
        <v>47</v>
      </c>
      <c r="F215" s="19" t="n">
        <v>1</v>
      </c>
      <c r="G215" s="19" t="n">
        <v>3</v>
      </c>
      <c r="H215" s="19" t="s">
        <v>59</v>
      </c>
      <c r="I215" s="19" t="s">
        <v>60</v>
      </c>
      <c r="J215" s="21" t="s">
        <v>135</v>
      </c>
      <c r="K215" s="15" t="n">
        <v>5</v>
      </c>
      <c r="L215" s="15" t="n">
        <v>2</v>
      </c>
      <c r="M215" s="15" t="n">
        <v>4</v>
      </c>
      <c r="N215" s="15" t="n">
        <v>10</v>
      </c>
      <c r="O215" s="15" t="n">
        <v>7</v>
      </c>
      <c r="P215" s="15" t="n">
        <v>10</v>
      </c>
      <c r="Q215" s="15" t="n">
        <v>9</v>
      </c>
      <c r="R215" s="16" t="n">
        <f aca="false">ROUND(K215*0.55+L215*0.25+M215*0.2,1)</f>
        <v>4.1</v>
      </c>
      <c r="S215" s="16" t="n">
        <f aca="false">ROUND(N215*0.35+O215*0.25+P215*0.25+Q215*0.15,1)</f>
        <v>9.1</v>
      </c>
      <c r="T215" s="17" t="n">
        <f aca="false">ROUND(R215*'Como ler'!$B$5+S215*'Como ler'!$B$6,1)</f>
        <v>6.4</v>
      </c>
      <c r="U215" s="18" t="s">
        <v>62</v>
      </c>
      <c r="V215" s="18" t="s">
        <v>63</v>
      </c>
    </row>
    <row r="216" customFormat="false" ht="15" hidden="false" customHeight="false" outlineLevel="0" collapsed="false">
      <c r="A216" s="19" t="n">
        <v>212</v>
      </c>
      <c r="B216" s="20" t="s">
        <v>157</v>
      </c>
      <c r="C216" s="21" t="s">
        <v>69</v>
      </c>
      <c r="D216" s="21" t="s">
        <v>58</v>
      </c>
      <c r="E216" s="19" t="n">
        <v>46</v>
      </c>
      <c r="F216" s="19" t="n">
        <v>1</v>
      </c>
      <c r="G216" s="19" t="n">
        <v>1</v>
      </c>
      <c r="H216" s="19" t="s">
        <v>115</v>
      </c>
      <c r="I216" s="19" t="s">
        <v>60</v>
      </c>
      <c r="J216" s="21" t="s">
        <v>158</v>
      </c>
      <c r="K216" s="15" t="n">
        <v>5</v>
      </c>
      <c r="L216" s="15" t="n">
        <v>2</v>
      </c>
      <c r="M216" s="15" t="n">
        <v>2</v>
      </c>
      <c r="N216" s="15" t="n">
        <v>10</v>
      </c>
      <c r="O216" s="15" t="n">
        <v>7</v>
      </c>
      <c r="P216" s="15" t="n">
        <v>10</v>
      </c>
      <c r="Q216" s="15" t="n">
        <v>6</v>
      </c>
      <c r="R216" s="16" t="n">
        <f aca="false">ROUND(K216*0.55+L216*0.25+M216*0.2,1)</f>
        <v>3.7</v>
      </c>
      <c r="S216" s="16" t="n">
        <f aca="false">ROUND(N216*0.35+O216*0.25+P216*0.25+Q216*0.15,1)</f>
        <v>8.7</v>
      </c>
      <c r="T216" s="17" t="n">
        <f aca="false">ROUND(R216*'Como ler'!$B$5+S216*'Como ler'!$B$6,1)</f>
        <v>6</v>
      </c>
      <c r="U216" s="18" t="s">
        <v>62</v>
      </c>
      <c r="V216" s="18" t="s">
        <v>63</v>
      </c>
    </row>
    <row r="217" customFormat="false" ht="15" hidden="false" customHeight="false" outlineLevel="0" collapsed="false">
      <c r="A217" s="19" t="n">
        <v>213</v>
      </c>
      <c r="B217" s="20" t="s">
        <v>429</v>
      </c>
      <c r="C217" s="21" t="s">
        <v>87</v>
      </c>
      <c r="D217" s="21" t="s">
        <v>233</v>
      </c>
      <c r="E217" s="19" t="n">
        <v>45</v>
      </c>
      <c r="F217" s="19" t="n">
        <v>2</v>
      </c>
      <c r="G217" s="19" t="n">
        <v>2</v>
      </c>
      <c r="H217" s="19" t="s">
        <v>66</v>
      </c>
      <c r="I217" s="19" t="s">
        <v>60</v>
      </c>
      <c r="J217" s="21" t="s">
        <v>430</v>
      </c>
      <c r="K217" s="15" t="n">
        <v>5</v>
      </c>
      <c r="L217" s="15" t="n">
        <v>4</v>
      </c>
      <c r="M217" s="15" t="n">
        <v>4</v>
      </c>
      <c r="N217" s="15" t="n">
        <v>10</v>
      </c>
      <c r="O217" s="15" t="n">
        <v>7</v>
      </c>
      <c r="P217" s="15" t="n">
        <v>3</v>
      </c>
      <c r="Q217" s="15" t="n">
        <v>6</v>
      </c>
      <c r="R217" s="16" t="n">
        <f aca="false">ROUND(K217*0.55+L217*0.25+M217*0.2,1)</f>
        <v>4.6</v>
      </c>
      <c r="S217" s="16" t="n">
        <f aca="false">ROUND(N217*0.35+O217*0.25+P217*0.25+Q217*0.15,1)</f>
        <v>6.9</v>
      </c>
      <c r="T217" s="17" t="n">
        <f aca="false">ROUND(R217*'Como ler'!$B$5+S217*'Como ler'!$B$6,1)</f>
        <v>5.6</v>
      </c>
      <c r="U217" s="18" t="s">
        <v>62</v>
      </c>
      <c r="V217" s="18" t="s">
        <v>63</v>
      </c>
    </row>
    <row r="218" customFormat="false" ht="15" hidden="false" customHeight="false" outlineLevel="0" collapsed="false">
      <c r="A218" s="19" t="n">
        <v>214</v>
      </c>
      <c r="B218" s="20" t="s">
        <v>431</v>
      </c>
      <c r="C218" s="21" t="s">
        <v>92</v>
      </c>
      <c r="D218" s="21" t="s">
        <v>205</v>
      </c>
      <c r="E218" s="19" t="n">
        <v>44</v>
      </c>
      <c r="F218" s="19" t="n">
        <v>1</v>
      </c>
      <c r="G218" s="19" t="n">
        <v>1</v>
      </c>
      <c r="H218" s="19" t="s">
        <v>59</v>
      </c>
      <c r="I218" s="19" t="s">
        <v>167</v>
      </c>
      <c r="J218" s="21" t="s">
        <v>168</v>
      </c>
      <c r="K218" s="15" t="n">
        <v>5</v>
      </c>
      <c r="L218" s="15" t="n">
        <v>2</v>
      </c>
      <c r="M218" s="15" t="n">
        <v>2</v>
      </c>
      <c r="N218" s="15" t="n">
        <v>3</v>
      </c>
      <c r="O218" s="15" t="n">
        <v>4</v>
      </c>
      <c r="P218" s="15" t="n">
        <v>1</v>
      </c>
      <c r="Q218" s="15" t="n">
        <v>9</v>
      </c>
      <c r="R218" s="16" t="n">
        <f aca="false">ROUND(K218*0.55+L218*0.25+M218*0.2,1)</f>
        <v>3.7</v>
      </c>
      <c r="S218" s="16" t="n">
        <f aca="false">ROUND(N218*0.35+O218*0.25+P218*0.25+Q218*0.15,1)</f>
        <v>3.7</v>
      </c>
      <c r="T218" s="17" t="n">
        <f aca="false">ROUND(R218*'Como ler'!$B$5+S218*'Como ler'!$B$6,1)</f>
        <v>3.7</v>
      </c>
      <c r="U218" s="18" t="s">
        <v>62</v>
      </c>
      <c r="V218" s="18" t="s">
        <v>63</v>
      </c>
    </row>
    <row r="219" customFormat="false" ht="15" hidden="false" customHeight="false" outlineLevel="0" collapsed="false">
      <c r="A219" s="19" t="n">
        <v>215</v>
      </c>
      <c r="B219" s="20" t="s">
        <v>194</v>
      </c>
      <c r="C219" s="21" t="s">
        <v>69</v>
      </c>
      <c r="D219" s="21" t="s">
        <v>58</v>
      </c>
      <c r="E219" s="19" t="n">
        <v>44</v>
      </c>
      <c r="F219" s="19" t="n">
        <v>1</v>
      </c>
      <c r="G219" s="19" t="n">
        <v>1</v>
      </c>
      <c r="H219" s="19" t="s">
        <v>66</v>
      </c>
      <c r="I219" s="19" t="s">
        <v>167</v>
      </c>
      <c r="J219" s="21" t="s">
        <v>168</v>
      </c>
      <c r="K219" s="15" t="n">
        <v>5</v>
      </c>
      <c r="L219" s="15" t="n">
        <v>2</v>
      </c>
      <c r="M219" s="15" t="n">
        <v>2</v>
      </c>
      <c r="N219" s="15" t="n">
        <v>3</v>
      </c>
      <c r="O219" s="15" t="n">
        <v>4</v>
      </c>
      <c r="P219" s="15" t="n">
        <v>10</v>
      </c>
      <c r="Q219" s="15" t="n">
        <v>6</v>
      </c>
      <c r="R219" s="16" t="n">
        <f aca="false">ROUND(K219*0.55+L219*0.25+M219*0.2,1)</f>
        <v>3.7</v>
      </c>
      <c r="S219" s="16" t="n">
        <f aca="false">ROUND(N219*0.35+O219*0.25+P219*0.25+Q219*0.15,1)</f>
        <v>5.5</v>
      </c>
      <c r="T219" s="17" t="n">
        <f aca="false">ROUND(R219*'Como ler'!$B$5+S219*'Como ler'!$B$6,1)</f>
        <v>4.5</v>
      </c>
      <c r="U219" s="18" t="s">
        <v>62</v>
      </c>
      <c r="V219" s="18" t="s">
        <v>63</v>
      </c>
    </row>
    <row r="220" customFormat="false" ht="15" hidden="false" customHeight="false" outlineLevel="0" collapsed="false">
      <c r="A220" s="19" t="n">
        <v>216</v>
      </c>
      <c r="B220" s="20" t="s">
        <v>432</v>
      </c>
      <c r="C220" s="21" t="s">
        <v>92</v>
      </c>
      <c r="D220" s="21" t="s">
        <v>205</v>
      </c>
      <c r="E220" s="19" t="n">
        <v>43</v>
      </c>
      <c r="F220" s="19" t="n">
        <v>2</v>
      </c>
      <c r="G220" s="19" t="n">
        <v>2</v>
      </c>
      <c r="H220" s="19" t="s">
        <v>115</v>
      </c>
      <c r="I220" s="19" t="s">
        <v>140</v>
      </c>
      <c r="J220" s="21" t="s">
        <v>433</v>
      </c>
      <c r="K220" s="15" t="n">
        <v>5</v>
      </c>
      <c r="L220" s="15" t="n">
        <v>4</v>
      </c>
      <c r="M220" s="15" t="n">
        <v>4</v>
      </c>
      <c r="N220" s="15" t="n">
        <v>3</v>
      </c>
      <c r="O220" s="15" t="n">
        <v>4</v>
      </c>
      <c r="P220" s="15" t="n">
        <v>1</v>
      </c>
      <c r="Q220" s="15" t="n">
        <v>6</v>
      </c>
      <c r="R220" s="16" t="n">
        <f aca="false">ROUND(K220*0.55+L220*0.25+M220*0.2,1)</f>
        <v>4.6</v>
      </c>
      <c r="S220" s="16" t="n">
        <f aca="false">ROUND(N220*0.35+O220*0.25+P220*0.25+Q220*0.15,1)</f>
        <v>3.2</v>
      </c>
      <c r="T220" s="17" t="n">
        <f aca="false">ROUND(R220*'Como ler'!$B$5+S220*'Como ler'!$B$6,1)</f>
        <v>4</v>
      </c>
      <c r="U220" s="18" t="s">
        <v>62</v>
      </c>
      <c r="V220" s="18" t="s">
        <v>63</v>
      </c>
    </row>
    <row r="221" customFormat="false" ht="15" hidden="false" customHeight="false" outlineLevel="0" collapsed="false">
      <c r="A221" s="19" t="n">
        <v>217</v>
      </c>
      <c r="B221" s="20" t="s">
        <v>191</v>
      </c>
      <c r="C221" s="21" t="s">
        <v>57</v>
      </c>
      <c r="D221" s="21" t="s">
        <v>58</v>
      </c>
      <c r="E221" s="19" t="n">
        <v>43</v>
      </c>
      <c r="F221" s="19" t="n">
        <v>1</v>
      </c>
      <c r="G221" s="19" t="n">
        <v>2</v>
      </c>
      <c r="H221" s="19" t="s">
        <v>66</v>
      </c>
      <c r="I221" s="19" t="s">
        <v>167</v>
      </c>
      <c r="J221" s="21" t="s">
        <v>168</v>
      </c>
      <c r="K221" s="15" t="n">
        <v>5</v>
      </c>
      <c r="L221" s="15" t="n">
        <v>2</v>
      </c>
      <c r="M221" s="15" t="n">
        <v>4</v>
      </c>
      <c r="N221" s="15" t="n">
        <v>3</v>
      </c>
      <c r="O221" s="15" t="n">
        <v>4</v>
      </c>
      <c r="P221" s="15" t="n">
        <v>10</v>
      </c>
      <c r="Q221" s="15" t="n">
        <v>6</v>
      </c>
      <c r="R221" s="16" t="n">
        <f aca="false">ROUND(K221*0.55+L221*0.25+M221*0.2,1)</f>
        <v>4.1</v>
      </c>
      <c r="S221" s="16" t="n">
        <f aca="false">ROUND(N221*0.35+O221*0.25+P221*0.25+Q221*0.15,1)</f>
        <v>5.5</v>
      </c>
      <c r="T221" s="17" t="n">
        <f aca="false">ROUND(R221*'Como ler'!$B$5+S221*'Como ler'!$B$6,1)</f>
        <v>4.7</v>
      </c>
      <c r="U221" s="18" t="s">
        <v>62</v>
      </c>
      <c r="V221" s="18" t="s">
        <v>63</v>
      </c>
    </row>
    <row r="222" customFormat="false" ht="15" hidden="false" customHeight="false" outlineLevel="0" collapsed="false">
      <c r="A222" s="19" t="n">
        <v>218</v>
      </c>
      <c r="B222" s="20" t="s">
        <v>434</v>
      </c>
      <c r="C222" s="21" t="s">
        <v>92</v>
      </c>
      <c r="D222" s="21" t="s">
        <v>205</v>
      </c>
      <c r="E222" s="19" t="n">
        <v>43</v>
      </c>
      <c r="F222" s="19" t="n">
        <v>1</v>
      </c>
      <c r="G222" s="19" t="n">
        <v>1</v>
      </c>
      <c r="H222" s="19" t="s">
        <v>115</v>
      </c>
      <c r="I222" s="19" t="s">
        <v>167</v>
      </c>
      <c r="J222" s="21" t="s">
        <v>168</v>
      </c>
      <c r="K222" s="15" t="n">
        <v>5</v>
      </c>
      <c r="L222" s="15" t="n">
        <v>2</v>
      </c>
      <c r="M222" s="15" t="n">
        <v>2</v>
      </c>
      <c r="N222" s="15" t="n">
        <v>3</v>
      </c>
      <c r="O222" s="15" t="n">
        <v>4</v>
      </c>
      <c r="P222" s="15" t="n">
        <v>1</v>
      </c>
      <c r="Q222" s="15" t="n">
        <v>6</v>
      </c>
      <c r="R222" s="16" t="n">
        <f aca="false">ROUND(K222*0.55+L222*0.25+M222*0.2,1)</f>
        <v>3.7</v>
      </c>
      <c r="S222" s="16" t="n">
        <f aca="false">ROUND(N222*0.35+O222*0.25+P222*0.25+Q222*0.15,1)</f>
        <v>3.2</v>
      </c>
      <c r="T222" s="17" t="n">
        <f aca="false">ROUND(R222*'Como ler'!$B$5+S222*'Como ler'!$B$6,1)</f>
        <v>3.5</v>
      </c>
      <c r="U222" s="18" t="s">
        <v>62</v>
      </c>
      <c r="V222" s="18" t="s">
        <v>63</v>
      </c>
    </row>
    <row r="223" customFormat="false" ht="15" hidden="false" customHeight="false" outlineLevel="0" collapsed="false">
      <c r="A223" s="19" t="n">
        <v>219</v>
      </c>
      <c r="B223" s="20" t="s">
        <v>435</v>
      </c>
      <c r="C223" s="21" t="s">
        <v>92</v>
      </c>
      <c r="D223" s="21" t="s">
        <v>205</v>
      </c>
      <c r="E223" s="19" t="n">
        <v>42</v>
      </c>
      <c r="F223" s="19" t="n">
        <v>3</v>
      </c>
      <c r="G223" s="19" t="n">
        <v>3</v>
      </c>
      <c r="H223" s="19" t="s">
        <v>59</v>
      </c>
      <c r="I223" s="19" t="s">
        <v>167</v>
      </c>
      <c r="J223" s="21" t="s">
        <v>168</v>
      </c>
      <c r="K223" s="15" t="n">
        <v>5</v>
      </c>
      <c r="L223" s="15" t="n">
        <v>6</v>
      </c>
      <c r="M223" s="15" t="n">
        <v>4</v>
      </c>
      <c r="N223" s="15" t="n">
        <v>3</v>
      </c>
      <c r="O223" s="15" t="n">
        <v>4</v>
      </c>
      <c r="P223" s="15" t="n">
        <v>1</v>
      </c>
      <c r="Q223" s="15" t="n">
        <v>9</v>
      </c>
      <c r="R223" s="16" t="n">
        <f aca="false">ROUND(K223*0.55+L223*0.25+M223*0.2,1)</f>
        <v>5.1</v>
      </c>
      <c r="S223" s="16" t="n">
        <f aca="false">ROUND(N223*0.35+O223*0.25+P223*0.25+Q223*0.15,1)</f>
        <v>3.7</v>
      </c>
      <c r="T223" s="17" t="n">
        <f aca="false">ROUND(R223*'Como ler'!$B$5+S223*'Como ler'!$B$6,1)</f>
        <v>4.5</v>
      </c>
      <c r="U223" s="18" t="s">
        <v>62</v>
      </c>
      <c r="V223" s="18" t="s">
        <v>63</v>
      </c>
    </row>
    <row r="224" customFormat="false" ht="15" hidden="false" customHeight="false" outlineLevel="0" collapsed="false">
      <c r="A224" s="19" t="n">
        <v>220</v>
      </c>
      <c r="B224" s="20" t="s">
        <v>192</v>
      </c>
      <c r="C224" s="21" t="s">
        <v>65</v>
      </c>
      <c r="D224" s="21" t="s">
        <v>58</v>
      </c>
      <c r="E224" s="19" t="n">
        <v>40</v>
      </c>
      <c r="F224" s="19" t="n">
        <v>1</v>
      </c>
      <c r="G224" s="19" t="n">
        <v>1</v>
      </c>
      <c r="H224" s="19" t="s">
        <v>59</v>
      </c>
      <c r="I224" s="19" t="s">
        <v>140</v>
      </c>
      <c r="J224" s="21" t="s">
        <v>141</v>
      </c>
      <c r="K224" s="15" t="n">
        <v>5</v>
      </c>
      <c r="L224" s="15" t="n">
        <v>2</v>
      </c>
      <c r="M224" s="15" t="n">
        <v>2</v>
      </c>
      <c r="N224" s="15" t="n">
        <v>3</v>
      </c>
      <c r="O224" s="15" t="n">
        <v>4</v>
      </c>
      <c r="P224" s="15" t="n">
        <v>10</v>
      </c>
      <c r="Q224" s="15" t="n">
        <v>9</v>
      </c>
      <c r="R224" s="16" t="n">
        <f aca="false">ROUND(K224*0.55+L224*0.25+M224*0.2,1)</f>
        <v>3.7</v>
      </c>
      <c r="S224" s="16" t="n">
        <f aca="false">ROUND(N224*0.35+O224*0.25+P224*0.25+Q224*0.15,1)</f>
        <v>5.9</v>
      </c>
      <c r="T224" s="17" t="n">
        <f aca="false">ROUND(R224*'Como ler'!$B$5+S224*'Como ler'!$B$6,1)</f>
        <v>4.7</v>
      </c>
      <c r="U224" s="18" t="s">
        <v>62</v>
      </c>
      <c r="V224" s="18" t="s">
        <v>63</v>
      </c>
    </row>
    <row r="225" customFormat="false" ht="15" hidden="false" customHeight="false" outlineLevel="0" collapsed="false">
      <c r="A225" s="19" t="n">
        <v>221</v>
      </c>
      <c r="B225" s="20" t="s">
        <v>127</v>
      </c>
      <c r="C225" s="21" t="s">
        <v>57</v>
      </c>
      <c r="D225" s="21" t="s">
        <v>58</v>
      </c>
      <c r="E225" s="19" t="n">
        <v>39</v>
      </c>
      <c r="F225" s="19" t="n">
        <v>2</v>
      </c>
      <c r="G225" s="19" t="n">
        <v>2</v>
      </c>
      <c r="H225" s="19" t="s">
        <v>66</v>
      </c>
      <c r="I225" s="19" t="s">
        <v>60</v>
      </c>
      <c r="J225" s="21" t="s">
        <v>128</v>
      </c>
      <c r="K225" s="15" t="n">
        <v>5</v>
      </c>
      <c r="L225" s="15" t="n">
        <v>4</v>
      </c>
      <c r="M225" s="15" t="n">
        <v>4</v>
      </c>
      <c r="N225" s="15" t="n">
        <v>10</v>
      </c>
      <c r="O225" s="15" t="n">
        <v>7</v>
      </c>
      <c r="P225" s="15" t="n">
        <v>10</v>
      </c>
      <c r="Q225" s="15" t="n">
        <v>6</v>
      </c>
      <c r="R225" s="16" t="n">
        <f aca="false">ROUND(K225*0.55+L225*0.25+M225*0.2,1)</f>
        <v>4.6</v>
      </c>
      <c r="S225" s="16" t="n">
        <f aca="false">ROUND(N225*0.35+O225*0.25+P225*0.25+Q225*0.15,1)</f>
        <v>8.7</v>
      </c>
      <c r="T225" s="17" t="n">
        <f aca="false">ROUND(R225*'Como ler'!$B$5+S225*'Como ler'!$B$6,1)</f>
        <v>6.4</v>
      </c>
      <c r="U225" s="18" t="s">
        <v>62</v>
      </c>
      <c r="V225" s="18" t="s">
        <v>63</v>
      </c>
    </row>
    <row r="226" customFormat="false" ht="15" hidden="false" customHeight="false" outlineLevel="0" collapsed="false">
      <c r="A226" s="19" t="n">
        <v>222</v>
      </c>
      <c r="B226" s="20" t="s">
        <v>436</v>
      </c>
      <c r="C226" s="21" t="s">
        <v>92</v>
      </c>
      <c r="D226" s="21" t="s">
        <v>205</v>
      </c>
      <c r="E226" s="19" t="n">
        <v>39</v>
      </c>
      <c r="F226" s="19" t="n">
        <v>2</v>
      </c>
      <c r="G226" s="19" t="n">
        <v>2</v>
      </c>
      <c r="H226" s="19" t="s">
        <v>59</v>
      </c>
      <c r="I226" s="19" t="s">
        <v>140</v>
      </c>
      <c r="J226" s="21" t="s">
        <v>141</v>
      </c>
      <c r="K226" s="15" t="n">
        <v>5</v>
      </c>
      <c r="L226" s="15" t="n">
        <v>4</v>
      </c>
      <c r="M226" s="15" t="n">
        <v>4</v>
      </c>
      <c r="N226" s="15" t="n">
        <v>3</v>
      </c>
      <c r="O226" s="15" t="n">
        <v>4</v>
      </c>
      <c r="P226" s="15" t="n">
        <v>1</v>
      </c>
      <c r="Q226" s="15" t="n">
        <v>9</v>
      </c>
      <c r="R226" s="16" t="n">
        <f aca="false">ROUND(K226*0.55+L226*0.25+M226*0.2,1)</f>
        <v>4.6</v>
      </c>
      <c r="S226" s="16" t="n">
        <f aca="false">ROUND(N226*0.35+O226*0.25+P226*0.25+Q226*0.15,1)</f>
        <v>3.7</v>
      </c>
      <c r="T226" s="17" t="n">
        <f aca="false">ROUND(R226*'Como ler'!$B$5+S226*'Como ler'!$B$6,1)</f>
        <v>4.2</v>
      </c>
      <c r="U226" s="18" t="s">
        <v>62</v>
      </c>
      <c r="V226" s="18" t="s">
        <v>63</v>
      </c>
    </row>
    <row r="227" customFormat="false" ht="15" hidden="false" customHeight="false" outlineLevel="0" collapsed="false">
      <c r="A227" s="19" t="n">
        <v>223</v>
      </c>
      <c r="B227" s="20" t="s">
        <v>437</v>
      </c>
      <c r="C227" s="21" t="s">
        <v>92</v>
      </c>
      <c r="D227" s="21" t="s">
        <v>205</v>
      </c>
      <c r="E227" s="19" t="n">
        <v>38</v>
      </c>
      <c r="F227" s="19" t="n">
        <v>2</v>
      </c>
      <c r="G227" s="19" t="n">
        <v>3</v>
      </c>
      <c r="H227" s="19" t="s">
        <v>59</v>
      </c>
      <c r="I227" s="19" t="s">
        <v>140</v>
      </c>
      <c r="J227" s="21" t="s">
        <v>143</v>
      </c>
      <c r="K227" s="15" t="n">
        <v>5</v>
      </c>
      <c r="L227" s="15" t="n">
        <v>4</v>
      </c>
      <c r="M227" s="15" t="n">
        <v>4</v>
      </c>
      <c r="N227" s="15" t="n">
        <v>3</v>
      </c>
      <c r="O227" s="15" t="n">
        <v>4</v>
      </c>
      <c r="P227" s="15" t="n">
        <v>1</v>
      </c>
      <c r="Q227" s="15" t="n">
        <v>9</v>
      </c>
      <c r="R227" s="16" t="n">
        <f aca="false">ROUND(K227*0.55+L227*0.25+M227*0.2,1)</f>
        <v>4.6</v>
      </c>
      <c r="S227" s="16" t="n">
        <f aca="false">ROUND(N227*0.35+O227*0.25+P227*0.25+Q227*0.15,1)</f>
        <v>3.7</v>
      </c>
      <c r="T227" s="17" t="n">
        <f aca="false">ROUND(R227*'Como ler'!$B$5+S227*'Como ler'!$B$6,1)</f>
        <v>4.2</v>
      </c>
      <c r="U227" s="18" t="s">
        <v>62</v>
      </c>
      <c r="V227" s="18" t="s">
        <v>63</v>
      </c>
    </row>
    <row r="228" customFormat="false" ht="15" hidden="false" customHeight="false" outlineLevel="0" collapsed="false">
      <c r="A228" s="19" t="n">
        <v>224</v>
      </c>
      <c r="B228" s="20" t="s">
        <v>438</v>
      </c>
      <c r="C228" s="21" t="s">
        <v>92</v>
      </c>
      <c r="D228" s="21" t="s">
        <v>233</v>
      </c>
      <c r="E228" s="19" t="n">
        <v>38</v>
      </c>
      <c r="F228" s="19" t="n">
        <v>1</v>
      </c>
      <c r="G228" s="19" t="n">
        <v>1</v>
      </c>
      <c r="H228" s="19" t="s">
        <v>59</v>
      </c>
      <c r="I228" s="19" t="s">
        <v>140</v>
      </c>
      <c r="J228" s="21" t="s">
        <v>143</v>
      </c>
      <c r="K228" s="15" t="n">
        <v>5</v>
      </c>
      <c r="L228" s="15" t="n">
        <v>2</v>
      </c>
      <c r="M228" s="15" t="n">
        <v>2</v>
      </c>
      <c r="N228" s="15" t="n">
        <v>3</v>
      </c>
      <c r="O228" s="15" t="n">
        <v>4</v>
      </c>
      <c r="P228" s="15" t="n">
        <v>3</v>
      </c>
      <c r="Q228" s="15" t="n">
        <v>9</v>
      </c>
      <c r="R228" s="16" t="n">
        <f aca="false">ROUND(K228*0.55+L228*0.25+M228*0.2,1)</f>
        <v>3.7</v>
      </c>
      <c r="S228" s="16" t="n">
        <f aca="false">ROUND(N228*0.35+O228*0.25+P228*0.25+Q228*0.15,1)</f>
        <v>4.2</v>
      </c>
      <c r="T228" s="17" t="n">
        <f aca="false">ROUND(R228*'Como ler'!$B$5+S228*'Como ler'!$B$6,1)</f>
        <v>3.9</v>
      </c>
      <c r="U228" s="18" t="s">
        <v>62</v>
      </c>
      <c r="V228" s="18" t="s">
        <v>63</v>
      </c>
    </row>
    <row r="229" customFormat="false" ht="15" hidden="false" customHeight="false" outlineLevel="0" collapsed="false">
      <c r="A229" s="19" t="n">
        <v>225</v>
      </c>
      <c r="B229" s="20" t="s">
        <v>439</v>
      </c>
      <c r="C229" s="21" t="s">
        <v>92</v>
      </c>
      <c r="D229" s="21" t="s">
        <v>205</v>
      </c>
      <c r="E229" s="19" t="n">
        <v>38</v>
      </c>
      <c r="F229" s="19" t="n">
        <v>1</v>
      </c>
      <c r="G229" s="19" t="n">
        <v>2</v>
      </c>
      <c r="H229" s="19" t="s">
        <v>59</v>
      </c>
      <c r="I229" s="19" t="s">
        <v>60</v>
      </c>
      <c r="J229" s="21" t="s">
        <v>440</v>
      </c>
      <c r="K229" s="15" t="n">
        <v>5</v>
      </c>
      <c r="L229" s="15" t="n">
        <v>2</v>
      </c>
      <c r="M229" s="15" t="n">
        <v>4</v>
      </c>
      <c r="N229" s="15" t="n">
        <v>10</v>
      </c>
      <c r="O229" s="15" t="n">
        <v>7</v>
      </c>
      <c r="P229" s="15" t="n">
        <v>1</v>
      </c>
      <c r="Q229" s="15" t="n">
        <v>9</v>
      </c>
      <c r="R229" s="16" t="n">
        <f aca="false">ROUND(K229*0.55+L229*0.25+M229*0.2,1)</f>
        <v>4.1</v>
      </c>
      <c r="S229" s="16" t="n">
        <f aca="false">ROUND(N229*0.35+O229*0.25+P229*0.25+Q229*0.15,1)</f>
        <v>6.9</v>
      </c>
      <c r="T229" s="17" t="n">
        <f aca="false">ROUND(R229*'Como ler'!$B$5+S229*'Como ler'!$B$6,1)</f>
        <v>5.4</v>
      </c>
      <c r="U229" s="18" t="s">
        <v>62</v>
      </c>
      <c r="V229" s="18" t="s">
        <v>63</v>
      </c>
    </row>
    <row r="230" customFormat="false" ht="15" hidden="false" customHeight="false" outlineLevel="0" collapsed="false">
      <c r="A230" s="19" t="n">
        <v>226</v>
      </c>
      <c r="B230" s="20" t="s">
        <v>441</v>
      </c>
      <c r="C230" s="21" t="s">
        <v>92</v>
      </c>
      <c r="D230" s="21" t="s">
        <v>205</v>
      </c>
      <c r="E230" s="19" t="n">
        <v>38</v>
      </c>
      <c r="F230" s="19" t="n">
        <v>1</v>
      </c>
      <c r="G230" s="19" t="n">
        <v>1</v>
      </c>
      <c r="H230" s="19" t="s">
        <v>59</v>
      </c>
      <c r="I230" s="19" t="s">
        <v>167</v>
      </c>
      <c r="J230" s="21" t="s">
        <v>168</v>
      </c>
      <c r="K230" s="15" t="n">
        <v>5</v>
      </c>
      <c r="L230" s="15" t="n">
        <v>2</v>
      </c>
      <c r="M230" s="15" t="n">
        <v>2</v>
      </c>
      <c r="N230" s="15" t="n">
        <v>3</v>
      </c>
      <c r="O230" s="15" t="n">
        <v>4</v>
      </c>
      <c r="P230" s="15" t="n">
        <v>1</v>
      </c>
      <c r="Q230" s="15" t="n">
        <v>9</v>
      </c>
      <c r="R230" s="16" t="n">
        <f aca="false">ROUND(K230*0.55+L230*0.25+M230*0.2,1)</f>
        <v>3.7</v>
      </c>
      <c r="S230" s="16" t="n">
        <f aca="false">ROUND(N230*0.35+O230*0.25+P230*0.25+Q230*0.15,1)</f>
        <v>3.7</v>
      </c>
      <c r="T230" s="17" t="n">
        <f aca="false">ROUND(R230*'Como ler'!$B$5+S230*'Como ler'!$B$6,1)</f>
        <v>3.7</v>
      </c>
      <c r="U230" s="18" t="s">
        <v>62</v>
      </c>
      <c r="V230" s="18" t="s">
        <v>63</v>
      </c>
    </row>
    <row r="231" customFormat="false" ht="15" hidden="false" customHeight="false" outlineLevel="0" collapsed="false">
      <c r="A231" s="19" t="n">
        <v>227</v>
      </c>
      <c r="B231" s="20" t="s">
        <v>136</v>
      </c>
      <c r="C231" s="21" t="s">
        <v>137</v>
      </c>
      <c r="D231" s="21" t="s">
        <v>58</v>
      </c>
      <c r="E231" s="19" t="n">
        <v>38</v>
      </c>
      <c r="F231" s="19" t="n">
        <v>1</v>
      </c>
      <c r="G231" s="19" t="n">
        <v>1</v>
      </c>
      <c r="H231" s="19" t="s">
        <v>115</v>
      </c>
      <c r="I231" s="19" t="s">
        <v>60</v>
      </c>
      <c r="J231" s="21" t="s">
        <v>138</v>
      </c>
      <c r="K231" s="15" t="n">
        <v>5</v>
      </c>
      <c r="L231" s="15" t="n">
        <v>2</v>
      </c>
      <c r="M231" s="15" t="n">
        <v>2</v>
      </c>
      <c r="N231" s="15" t="n">
        <v>10</v>
      </c>
      <c r="O231" s="15" t="n">
        <v>10</v>
      </c>
      <c r="P231" s="15" t="n">
        <v>10</v>
      </c>
      <c r="Q231" s="15" t="n">
        <v>6</v>
      </c>
      <c r="R231" s="16" t="n">
        <f aca="false">ROUND(K231*0.55+L231*0.25+M231*0.2,1)</f>
        <v>3.7</v>
      </c>
      <c r="S231" s="16" t="n">
        <f aca="false">ROUND(N231*0.35+O231*0.25+P231*0.25+Q231*0.15,1)</f>
        <v>9.4</v>
      </c>
      <c r="T231" s="17" t="n">
        <f aca="false">ROUND(R231*'Como ler'!$B$5+S231*'Como ler'!$B$6,1)</f>
        <v>6.3</v>
      </c>
      <c r="U231" s="18" t="s">
        <v>62</v>
      </c>
      <c r="V231" s="18" t="s">
        <v>63</v>
      </c>
    </row>
    <row r="232" customFormat="false" ht="15" hidden="false" customHeight="false" outlineLevel="0" collapsed="false">
      <c r="A232" s="19" t="n">
        <v>228</v>
      </c>
      <c r="B232" s="20" t="s">
        <v>442</v>
      </c>
      <c r="C232" s="21" t="s">
        <v>92</v>
      </c>
      <c r="D232" s="21" t="s">
        <v>205</v>
      </c>
      <c r="E232" s="19" t="n">
        <v>37</v>
      </c>
      <c r="F232" s="19" t="n">
        <v>1</v>
      </c>
      <c r="G232" s="19" t="n">
        <v>2</v>
      </c>
      <c r="H232" s="19" t="s">
        <v>59</v>
      </c>
      <c r="I232" s="19" t="s">
        <v>60</v>
      </c>
      <c r="J232" s="21" t="s">
        <v>443</v>
      </c>
      <c r="K232" s="15" t="n">
        <v>5</v>
      </c>
      <c r="L232" s="15" t="n">
        <v>2</v>
      </c>
      <c r="M232" s="15" t="n">
        <v>4</v>
      </c>
      <c r="N232" s="15" t="n">
        <v>10</v>
      </c>
      <c r="O232" s="15" t="n">
        <v>7</v>
      </c>
      <c r="P232" s="15" t="n">
        <v>1</v>
      </c>
      <c r="Q232" s="15" t="n">
        <v>9</v>
      </c>
      <c r="R232" s="16" t="n">
        <f aca="false">ROUND(K232*0.55+L232*0.25+M232*0.2,1)</f>
        <v>4.1</v>
      </c>
      <c r="S232" s="16" t="n">
        <f aca="false">ROUND(N232*0.35+O232*0.25+P232*0.25+Q232*0.15,1)</f>
        <v>6.9</v>
      </c>
      <c r="T232" s="17" t="n">
        <f aca="false">ROUND(R232*'Como ler'!$B$5+S232*'Como ler'!$B$6,1)</f>
        <v>5.4</v>
      </c>
      <c r="U232" s="18" t="s">
        <v>62</v>
      </c>
      <c r="V232" s="18" t="s">
        <v>63</v>
      </c>
    </row>
    <row r="233" customFormat="false" ht="15" hidden="false" customHeight="false" outlineLevel="0" collapsed="false">
      <c r="A233" s="19" t="n">
        <v>229</v>
      </c>
      <c r="B233" s="20" t="s">
        <v>444</v>
      </c>
      <c r="C233" s="21" t="s">
        <v>92</v>
      </c>
      <c r="D233" s="21" t="s">
        <v>205</v>
      </c>
      <c r="E233" s="19" t="n">
        <v>36</v>
      </c>
      <c r="F233" s="19" t="n">
        <v>4</v>
      </c>
      <c r="G233" s="19" t="n">
        <v>4</v>
      </c>
      <c r="H233" s="19" t="s">
        <v>66</v>
      </c>
      <c r="I233" s="19" t="s">
        <v>60</v>
      </c>
      <c r="J233" s="21" t="s">
        <v>445</v>
      </c>
      <c r="K233" s="15" t="n">
        <v>5</v>
      </c>
      <c r="L233" s="15" t="n">
        <v>6</v>
      </c>
      <c r="M233" s="15" t="n">
        <v>6</v>
      </c>
      <c r="N233" s="15" t="n">
        <v>10</v>
      </c>
      <c r="O233" s="15" t="n">
        <v>7</v>
      </c>
      <c r="P233" s="15" t="n">
        <v>1</v>
      </c>
      <c r="Q233" s="15" t="n">
        <v>6</v>
      </c>
      <c r="R233" s="16" t="n">
        <f aca="false">ROUND(K233*0.55+L233*0.25+M233*0.2,1)</f>
        <v>5.5</v>
      </c>
      <c r="S233" s="16" t="n">
        <f aca="false">ROUND(N233*0.35+O233*0.25+P233*0.25+Q233*0.15,1)</f>
        <v>6.4</v>
      </c>
      <c r="T233" s="17" t="n">
        <f aca="false">ROUND(R233*'Como ler'!$B$5+S233*'Como ler'!$B$6,1)</f>
        <v>5.9</v>
      </c>
      <c r="U233" s="18" t="s">
        <v>62</v>
      </c>
      <c r="V233" s="18" t="s">
        <v>63</v>
      </c>
    </row>
    <row r="234" customFormat="false" ht="15" hidden="false" customHeight="false" outlineLevel="0" collapsed="false">
      <c r="A234" s="19" t="n">
        <v>230</v>
      </c>
      <c r="B234" s="20" t="s">
        <v>446</v>
      </c>
      <c r="C234" s="21" t="s">
        <v>92</v>
      </c>
      <c r="D234" s="21" t="s">
        <v>205</v>
      </c>
      <c r="E234" s="19" t="n">
        <v>35</v>
      </c>
      <c r="F234" s="19" t="n">
        <v>1</v>
      </c>
      <c r="G234" s="19" t="n">
        <v>1</v>
      </c>
      <c r="H234" s="19" t="s">
        <v>115</v>
      </c>
      <c r="I234" s="19" t="s">
        <v>210</v>
      </c>
      <c r="J234" s="21" t="s">
        <v>211</v>
      </c>
      <c r="K234" s="15" t="n">
        <v>5</v>
      </c>
      <c r="L234" s="15" t="n">
        <v>2</v>
      </c>
      <c r="M234" s="15" t="n">
        <v>2</v>
      </c>
      <c r="N234" s="15" t="n">
        <v>3</v>
      </c>
      <c r="O234" s="15" t="n">
        <v>4</v>
      </c>
      <c r="P234" s="15" t="n">
        <v>1</v>
      </c>
      <c r="Q234" s="15" t="n">
        <v>6</v>
      </c>
      <c r="R234" s="16" t="n">
        <f aca="false">ROUND(K234*0.55+L234*0.25+M234*0.2,1)</f>
        <v>3.7</v>
      </c>
      <c r="S234" s="16" t="n">
        <f aca="false">ROUND(N234*0.35+O234*0.25+P234*0.25+Q234*0.15,1)</f>
        <v>3.2</v>
      </c>
      <c r="T234" s="17" t="n">
        <f aca="false">ROUND(R234*'Como ler'!$B$5+S234*'Como ler'!$B$6,1)</f>
        <v>3.5</v>
      </c>
      <c r="U234" s="18" t="s">
        <v>62</v>
      </c>
      <c r="V234" s="22" t="s">
        <v>211</v>
      </c>
    </row>
    <row r="235" customFormat="false" ht="15" hidden="false" customHeight="false" outlineLevel="0" collapsed="false">
      <c r="A235" s="19" t="n">
        <v>231</v>
      </c>
      <c r="B235" s="20" t="s">
        <v>447</v>
      </c>
      <c r="C235" s="21" t="s">
        <v>92</v>
      </c>
      <c r="D235" s="21" t="s">
        <v>205</v>
      </c>
      <c r="E235" s="19" t="n">
        <v>35</v>
      </c>
      <c r="F235" s="19" t="n">
        <v>1</v>
      </c>
      <c r="G235" s="19" t="n">
        <v>1</v>
      </c>
      <c r="H235" s="19" t="s">
        <v>66</v>
      </c>
      <c r="I235" s="19" t="s">
        <v>140</v>
      </c>
      <c r="J235" s="21" t="s">
        <v>141</v>
      </c>
      <c r="K235" s="15" t="n">
        <v>5</v>
      </c>
      <c r="L235" s="15" t="n">
        <v>2</v>
      </c>
      <c r="M235" s="15" t="n">
        <v>2</v>
      </c>
      <c r="N235" s="15" t="n">
        <v>3</v>
      </c>
      <c r="O235" s="15" t="n">
        <v>4</v>
      </c>
      <c r="P235" s="15" t="n">
        <v>1</v>
      </c>
      <c r="Q235" s="15" t="n">
        <v>6</v>
      </c>
      <c r="R235" s="16" t="n">
        <f aca="false">ROUND(K235*0.55+L235*0.25+M235*0.2,1)</f>
        <v>3.7</v>
      </c>
      <c r="S235" s="16" t="n">
        <f aca="false">ROUND(N235*0.35+O235*0.25+P235*0.25+Q235*0.15,1)</f>
        <v>3.2</v>
      </c>
      <c r="T235" s="17" t="n">
        <f aca="false">ROUND(R235*'Como ler'!$B$5+S235*'Como ler'!$B$6,1)</f>
        <v>3.5</v>
      </c>
      <c r="U235" s="18" t="s">
        <v>62</v>
      </c>
      <c r="V235" s="18" t="s">
        <v>63</v>
      </c>
    </row>
    <row r="236" customFormat="false" ht="15" hidden="false" customHeight="false" outlineLevel="0" collapsed="false">
      <c r="A236" s="19" t="n">
        <v>232</v>
      </c>
      <c r="B236" s="20" t="s">
        <v>448</v>
      </c>
      <c r="C236" s="21" t="s">
        <v>92</v>
      </c>
      <c r="D236" s="21" t="s">
        <v>233</v>
      </c>
      <c r="E236" s="19" t="n">
        <v>32</v>
      </c>
      <c r="F236" s="19" t="n">
        <v>1</v>
      </c>
      <c r="G236" s="19" t="n">
        <v>1</v>
      </c>
      <c r="H236" s="19" t="s">
        <v>59</v>
      </c>
      <c r="I236" s="19" t="s">
        <v>60</v>
      </c>
      <c r="J236" s="21" t="s">
        <v>449</v>
      </c>
      <c r="K236" s="15" t="n">
        <v>5</v>
      </c>
      <c r="L236" s="15" t="n">
        <v>2</v>
      </c>
      <c r="M236" s="15" t="n">
        <v>2</v>
      </c>
      <c r="N236" s="15" t="n">
        <v>10</v>
      </c>
      <c r="O236" s="15" t="n">
        <v>7</v>
      </c>
      <c r="P236" s="15" t="n">
        <v>3</v>
      </c>
      <c r="Q236" s="15" t="n">
        <v>9</v>
      </c>
      <c r="R236" s="16" t="n">
        <f aca="false">ROUND(K236*0.55+L236*0.25+M236*0.2,1)</f>
        <v>3.7</v>
      </c>
      <c r="S236" s="16" t="n">
        <f aca="false">ROUND(N236*0.35+O236*0.25+P236*0.25+Q236*0.15,1)</f>
        <v>7.4</v>
      </c>
      <c r="T236" s="17" t="n">
        <f aca="false">ROUND(R236*'Como ler'!$B$5+S236*'Como ler'!$B$6,1)</f>
        <v>5.4</v>
      </c>
      <c r="U236" s="18" t="s">
        <v>62</v>
      </c>
      <c r="V236" s="18" t="s">
        <v>63</v>
      </c>
    </row>
    <row r="237" customFormat="false" ht="15" hidden="false" customHeight="false" outlineLevel="0" collapsed="false">
      <c r="A237" s="19" t="n">
        <v>233</v>
      </c>
      <c r="B237" s="20" t="s">
        <v>450</v>
      </c>
      <c r="C237" s="21" t="s">
        <v>92</v>
      </c>
      <c r="D237" s="21" t="s">
        <v>205</v>
      </c>
      <c r="E237" s="19" t="n">
        <v>32</v>
      </c>
      <c r="F237" s="19" t="n">
        <v>1</v>
      </c>
      <c r="G237" s="19" t="n">
        <v>1</v>
      </c>
      <c r="H237" s="19" t="s">
        <v>66</v>
      </c>
      <c r="I237" s="19" t="s">
        <v>140</v>
      </c>
      <c r="J237" s="21" t="s">
        <v>141</v>
      </c>
      <c r="K237" s="15" t="n">
        <v>5</v>
      </c>
      <c r="L237" s="15" t="n">
        <v>2</v>
      </c>
      <c r="M237" s="15" t="n">
        <v>2</v>
      </c>
      <c r="N237" s="15" t="n">
        <v>3</v>
      </c>
      <c r="O237" s="15" t="n">
        <v>4</v>
      </c>
      <c r="P237" s="15" t="n">
        <v>1</v>
      </c>
      <c r="Q237" s="15" t="n">
        <v>6</v>
      </c>
      <c r="R237" s="16" t="n">
        <f aca="false">ROUND(K237*0.55+L237*0.25+M237*0.2,1)</f>
        <v>3.7</v>
      </c>
      <c r="S237" s="16" t="n">
        <f aca="false">ROUND(N237*0.35+O237*0.25+P237*0.25+Q237*0.15,1)</f>
        <v>3.2</v>
      </c>
      <c r="T237" s="17" t="n">
        <f aca="false">ROUND(R237*'Como ler'!$B$5+S237*'Como ler'!$B$6,1)</f>
        <v>3.5</v>
      </c>
      <c r="U237" s="18" t="s">
        <v>62</v>
      </c>
      <c r="V237" s="18" t="s">
        <v>63</v>
      </c>
    </row>
    <row r="238" customFormat="false" ht="15" hidden="false" customHeight="false" outlineLevel="0" collapsed="false">
      <c r="A238" s="19" t="n">
        <v>234</v>
      </c>
      <c r="B238" s="20" t="s">
        <v>451</v>
      </c>
      <c r="C238" s="21" t="s">
        <v>92</v>
      </c>
      <c r="D238" s="21" t="s">
        <v>205</v>
      </c>
      <c r="E238" s="19" t="n">
        <v>32</v>
      </c>
      <c r="F238" s="19" t="n">
        <v>1</v>
      </c>
      <c r="G238" s="19" t="n">
        <v>2</v>
      </c>
      <c r="H238" s="19" t="s">
        <v>59</v>
      </c>
      <c r="I238" s="19" t="s">
        <v>140</v>
      </c>
      <c r="J238" s="21" t="s">
        <v>143</v>
      </c>
      <c r="K238" s="15" t="n">
        <v>5</v>
      </c>
      <c r="L238" s="15" t="n">
        <v>2</v>
      </c>
      <c r="M238" s="15" t="n">
        <v>4</v>
      </c>
      <c r="N238" s="15" t="n">
        <v>3</v>
      </c>
      <c r="O238" s="15" t="n">
        <v>4</v>
      </c>
      <c r="P238" s="15" t="n">
        <v>1</v>
      </c>
      <c r="Q238" s="15" t="n">
        <v>9</v>
      </c>
      <c r="R238" s="16" t="n">
        <f aca="false">ROUND(K238*0.55+L238*0.25+M238*0.2,1)</f>
        <v>4.1</v>
      </c>
      <c r="S238" s="16" t="n">
        <f aca="false">ROUND(N238*0.35+O238*0.25+P238*0.25+Q238*0.15,1)</f>
        <v>3.7</v>
      </c>
      <c r="T238" s="17" t="n">
        <f aca="false">ROUND(R238*'Como ler'!$B$5+S238*'Como ler'!$B$6,1)</f>
        <v>3.9</v>
      </c>
      <c r="U238" s="18" t="s">
        <v>62</v>
      </c>
      <c r="V238" s="18" t="s">
        <v>63</v>
      </c>
    </row>
    <row r="239" customFormat="false" ht="15" hidden="false" customHeight="false" outlineLevel="0" collapsed="false">
      <c r="A239" s="19" t="n">
        <v>235</v>
      </c>
      <c r="B239" s="20" t="s">
        <v>452</v>
      </c>
      <c r="C239" s="21" t="s">
        <v>92</v>
      </c>
      <c r="D239" s="21" t="s">
        <v>233</v>
      </c>
      <c r="E239" s="19" t="n">
        <v>31</v>
      </c>
      <c r="F239" s="19" t="n">
        <v>2</v>
      </c>
      <c r="G239" s="19" t="n">
        <v>2</v>
      </c>
      <c r="H239" s="19" t="s">
        <v>59</v>
      </c>
      <c r="I239" s="19" t="s">
        <v>60</v>
      </c>
      <c r="J239" s="21" t="s">
        <v>453</v>
      </c>
      <c r="K239" s="15" t="n">
        <v>5</v>
      </c>
      <c r="L239" s="15" t="n">
        <v>4</v>
      </c>
      <c r="M239" s="15" t="n">
        <v>4</v>
      </c>
      <c r="N239" s="15" t="n">
        <v>10</v>
      </c>
      <c r="O239" s="15" t="n">
        <v>7</v>
      </c>
      <c r="P239" s="15" t="n">
        <v>3</v>
      </c>
      <c r="Q239" s="15" t="n">
        <v>9</v>
      </c>
      <c r="R239" s="16" t="n">
        <f aca="false">ROUND(K239*0.55+L239*0.25+M239*0.2,1)</f>
        <v>4.6</v>
      </c>
      <c r="S239" s="16" t="n">
        <f aca="false">ROUND(N239*0.35+O239*0.25+P239*0.25+Q239*0.15,1)</f>
        <v>7.4</v>
      </c>
      <c r="T239" s="17" t="n">
        <f aca="false">ROUND(R239*'Como ler'!$B$5+S239*'Como ler'!$B$6,1)</f>
        <v>5.9</v>
      </c>
      <c r="U239" s="18" t="s">
        <v>62</v>
      </c>
      <c r="V239" s="18" t="s">
        <v>63</v>
      </c>
    </row>
    <row r="240" customFormat="false" ht="15" hidden="false" customHeight="false" outlineLevel="0" collapsed="false">
      <c r="A240" s="19" t="n">
        <v>236</v>
      </c>
      <c r="B240" s="20" t="s">
        <v>454</v>
      </c>
      <c r="C240" s="21" t="s">
        <v>92</v>
      </c>
      <c r="D240" s="21" t="s">
        <v>205</v>
      </c>
      <c r="E240" s="19" t="n">
        <v>31</v>
      </c>
      <c r="F240" s="19" t="n">
        <v>1</v>
      </c>
      <c r="G240" s="19" t="n">
        <v>1</v>
      </c>
      <c r="H240" s="19" t="s">
        <v>66</v>
      </c>
      <c r="I240" s="19" t="s">
        <v>60</v>
      </c>
      <c r="J240" s="21" t="s">
        <v>455</v>
      </c>
      <c r="K240" s="15" t="n">
        <v>5</v>
      </c>
      <c r="L240" s="15" t="n">
        <v>2</v>
      </c>
      <c r="M240" s="15" t="n">
        <v>2</v>
      </c>
      <c r="N240" s="15" t="n">
        <v>10</v>
      </c>
      <c r="O240" s="15" t="n">
        <v>7</v>
      </c>
      <c r="P240" s="15" t="n">
        <v>1</v>
      </c>
      <c r="Q240" s="15" t="n">
        <v>6</v>
      </c>
      <c r="R240" s="16" t="n">
        <f aca="false">ROUND(K240*0.55+L240*0.25+M240*0.2,1)</f>
        <v>3.7</v>
      </c>
      <c r="S240" s="16" t="n">
        <f aca="false">ROUND(N240*0.35+O240*0.25+P240*0.25+Q240*0.15,1)</f>
        <v>6.4</v>
      </c>
      <c r="T240" s="17" t="n">
        <f aca="false">ROUND(R240*'Como ler'!$B$5+S240*'Como ler'!$B$6,1)</f>
        <v>4.9</v>
      </c>
      <c r="U240" s="18" t="s">
        <v>62</v>
      </c>
      <c r="V240" s="18" t="s">
        <v>63</v>
      </c>
    </row>
    <row r="241" customFormat="false" ht="15" hidden="false" customHeight="false" outlineLevel="0" collapsed="false">
      <c r="A241" s="19" t="n">
        <v>237</v>
      </c>
      <c r="B241" s="20" t="s">
        <v>159</v>
      </c>
      <c r="C241" s="21" t="s">
        <v>69</v>
      </c>
      <c r="D241" s="21" t="s">
        <v>58</v>
      </c>
      <c r="E241" s="19" t="n">
        <v>31</v>
      </c>
      <c r="F241" s="19" t="n">
        <v>1</v>
      </c>
      <c r="G241" s="19" t="n">
        <v>1</v>
      </c>
      <c r="H241" s="19" t="s">
        <v>66</v>
      </c>
      <c r="I241" s="19" t="s">
        <v>60</v>
      </c>
      <c r="J241" s="21" t="s">
        <v>160</v>
      </c>
      <c r="K241" s="15" t="n">
        <v>5</v>
      </c>
      <c r="L241" s="15" t="n">
        <v>2</v>
      </c>
      <c r="M241" s="15" t="n">
        <v>2</v>
      </c>
      <c r="N241" s="15" t="n">
        <v>10</v>
      </c>
      <c r="O241" s="15" t="n">
        <v>7</v>
      </c>
      <c r="P241" s="15" t="n">
        <v>10</v>
      </c>
      <c r="Q241" s="15" t="n">
        <v>6</v>
      </c>
      <c r="R241" s="16" t="n">
        <f aca="false">ROUND(K241*0.55+L241*0.25+M241*0.2,1)</f>
        <v>3.7</v>
      </c>
      <c r="S241" s="16" t="n">
        <f aca="false">ROUND(N241*0.35+O241*0.25+P241*0.25+Q241*0.15,1)</f>
        <v>8.7</v>
      </c>
      <c r="T241" s="17" t="n">
        <f aca="false">ROUND(R241*'Como ler'!$B$5+S241*'Como ler'!$B$6,1)</f>
        <v>6</v>
      </c>
      <c r="U241" s="18" t="s">
        <v>62</v>
      </c>
      <c r="V241" s="18" t="s">
        <v>63</v>
      </c>
    </row>
    <row r="242" customFormat="false" ht="15" hidden="false" customHeight="false" outlineLevel="0" collapsed="false">
      <c r="A242" s="19" t="n">
        <v>238</v>
      </c>
      <c r="B242" s="20" t="s">
        <v>456</v>
      </c>
      <c r="C242" s="21" t="s">
        <v>92</v>
      </c>
      <c r="D242" s="21" t="s">
        <v>205</v>
      </c>
      <c r="E242" s="19" t="n">
        <v>31</v>
      </c>
      <c r="F242" s="19" t="n">
        <v>1</v>
      </c>
      <c r="G242" s="19" t="n">
        <v>1</v>
      </c>
      <c r="H242" s="19" t="s">
        <v>59</v>
      </c>
      <c r="I242" s="19" t="s">
        <v>167</v>
      </c>
      <c r="J242" s="21" t="s">
        <v>168</v>
      </c>
      <c r="K242" s="15" t="n">
        <v>5</v>
      </c>
      <c r="L242" s="15" t="n">
        <v>2</v>
      </c>
      <c r="M242" s="15" t="n">
        <v>2</v>
      </c>
      <c r="N242" s="15" t="n">
        <v>3</v>
      </c>
      <c r="O242" s="15" t="n">
        <v>4</v>
      </c>
      <c r="P242" s="15" t="n">
        <v>1</v>
      </c>
      <c r="Q242" s="15" t="n">
        <v>9</v>
      </c>
      <c r="R242" s="16" t="n">
        <f aca="false">ROUND(K242*0.55+L242*0.25+M242*0.2,1)</f>
        <v>3.7</v>
      </c>
      <c r="S242" s="16" t="n">
        <f aca="false">ROUND(N242*0.35+O242*0.25+P242*0.25+Q242*0.15,1)</f>
        <v>3.7</v>
      </c>
      <c r="T242" s="17" t="n">
        <f aca="false">ROUND(R242*'Como ler'!$B$5+S242*'Como ler'!$B$6,1)</f>
        <v>3.7</v>
      </c>
      <c r="U242" s="18" t="s">
        <v>62</v>
      </c>
      <c r="V242" s="18" t="s">
        <v>63</v>
      </c>
    </row>
    <row r="243" customFormat="false" ht="15" hidden="false" customHeight="false" outlineLevel="0" collapsed="false">
      <c r="A243" s="19" t="n">
        <v>239</v>
      </c>
      <c r="B243" s="20" t="s">
        <v>457</v>
      </c>
      <c r="C243" s="21" t="s">
        <v>92</v>
      </c>
      <c r="D243" s="21" t="s">
        <v>205</v>
      </c>
      <c r="E243" s="19" t="n">
        <v>30</v>
      </c>
      <c r="F243" s="19" t="n">
        <v>1</v>
      </c>
      <c r="G243" s="19" t="n">
        <v>4</v>
      </c>
      <c r="H243" s="19" t="s">
        <v>66</v>
      </c>
      <c r="I243" s="19" t="s">
        <v>167</v>
      </c>
      <c r="J243" s="21" t="s">
        <v>168</v>
      </c>
      <c r="K243" s="15" t="n">
        <v>5</v>
      </c>
      <c r="L243" s="15" t="n">
        <v>2</v>
      </c>
      <c r="M243" s="15" t="n">
        <v>6</v>
      </c>
      <c r="N243" s="15" t="n">
        <v>3</v>
      </c>
      <c r="O243" s="15" t="n">
        <v>4</v>
      </c>
      <c r="P243" s="15" t="n">
        <v>1</v>
      </c>
      <c r="Q243" s="15" t="n">
        <v>6</v>
      </c>
      <c r="R243" s="16" t="n">
        <f aca="false">ROUND(K243*0.55+L243*0.25+M243*0.2,1)</f>
        <v>4.5</v>
      </c>
      <c r="S243" s="16" t="n">
        <f aca="false">ROUND(N243*0.35+O243*0.25+P243*0.25+Q243*0.15,1)</f>
        <v>3.2</v>
      </c>
      <c r="T243" s="17" t="n">
        <f aca="false">ROUND(R243*'Como ler'!$B$5+S243*'Como ler'!$B$6,1)</f>
        <v>3.9</v>
      </c>
      <c r="U243" s="18" t="s">
        <v>62</v>
      </c>
      <c r="V243" s="18" t="s">
        <v>63</v>
      </c>
    </row>
    <row r="244" customFormat="false" ht="15" hidden="false" customHeight="false" outlineLevel="0" collapsed="false">
      <c r="A244" s="19" t="n">
        <v>240</v>
      </c>
      <c r="B244" s="20" t="s">
        <v>458</v>
      </c>
      <c r="C244" s="21" t="s">
        <v>92</v>
      </c>
      <c r="D244" s="21" t="s">
        <v>205</v>
      </c>
      <c r="E244" s="19" t="n">
        <v>29</v>
      </c>
      <c r="F244" s="19" t="n">
        <v>1</v>
      </c>
      <c r="G244" s="19" t="n">
        <v>1</v>
      </c>
      <c r="H244" s="19" t="s">
        <v>66</v>
      </c>
      <c r="I244" s="19" t="s">
        <v>140</v>
      </c>
      <c r="J244" s="21" t="s">
        <v>141</v>
      </c>
      <c r="K244" s="15" t="n">
        <v>3</v>
      </c>
      <c r="L244" s="15" t="n">
        <v>2</v>
      </c>
      <c r="M244" s="15" t="n">
        <v>2</v>
      </c>
      <c r="N244" s="15" t="n">
        <v>3</v>
      </c>
      <c r="O244" s="15" t="n">
        <v>4</v>
      </c>
      <c r="P244" s="15" t="n">
        <v>1</v>
      </c>
      <c r="Q244" s="15" t="n">
        <v>6</v>
      </c>
      <c r="R244" s="16" t="n">
        <f aca="false">ROUND(K244*0.55+L244*0.25+M244*0.2,1)</f>
        <v>2.6</v>
      </c>
      <c r="S244" s="16" t="n">
        <f aca="false">ROUND(N244*0.35+O244*0.25+P244*0.25+Q244*0.15,1)</f>
        <v>3.2</v>
      </c>
      <c r="T244" s="17" t="n">
        <f aca="false">ROUND(R244*'Como ler'!$B$5+S244*'Como ler'!$B$6,1)</f>
        <v>2.9</v>
      </c>
      <c r="U244" s="18" t="s">
        <v>62</v>
      </c>
      <c r="V244" s="18" t="s">
        <v>63</v>
      </c>
    </row>
    <row r="245" customFormat="false" ht="15" hidden="false" customHeight="false" outlineLevel="0" collapsed="false">
      <c r="A245" s="19" t="n">
        <v>241</v>
      </c>
      <c r="B245" s="20" t="s">
        <v>180</v>
      </c>
      <c r="C245" s="21" t="s">
        <v>65</v>
      </c>
      <c r="D245" s="21" t="s">
        <v>58</v>
      </c>
      <c r="E245" s="19" t="n">
        <v>29</v>
      </c>
      <c r="F245" s="19" t="n">
        <v>1</v>
      </c>
      <c r="G245" s="19" t="n">
        <v>1</v>
      </c>
      <c r="H245" s="19" t="s">
        <v>66</v>
      </c>
      <c r="I245" s="19" t="s">
        <v>60</v>
      </c>
      <c r="J245" s="21" t="s">
        <v>181</v>
      </c>
      <c r="K245" s="15" t="n">
        <v>3</v>
      </c>
      <c r="L245" s="15" t="n">
        <v>2</v>
      </c>
      <c r="M245" s="15" t="n">
        <v>2</v>
      </c>
      <c r="N245" s="15" t="n">
        <v>10</v>
      </c>
      <c r="O245" s="15" t="n">
        <v>7</v>
      </c>
      <c r="P245" s="15" t="n">
        <v>10</v>
      </c>
      <c r="Q245" s="15" t="n">
        <v>6</v>
      </c>
      <c r="R245" s="16" t="n">
        <f aca="false">ROUND(K245*0.55+L245*0.25+M245*0.2,1)</f>
        <v>2.6</v>
      </c>
      <c r="S245" s="16" t="n">
        <f aca="false">ROUND(N245*0.35+O245*0.25+P245*0.25+Q245*0.15,1)</f>
        <v>8.7</v>
      </c>
      <c r="T245" s="17" t="n">
        <f aca="false">ROUND(R245*'Como ler'!$B$5+S245*'Como ler'!$B$6,1)</f>
        <v>5.3</v>
      </c>
      <c r="U245" s="18" t="s">
        <v>62</v>
      </c>
      <c r="V245" s="18" t="s">
        <v>63</v>
      </c>
    </row>
    <row r="246" customFormat="false" ht="15" hidden="false" customHeight="false" outlineLevel="0" collapsed="false">
      <c r="A246" s="19" t="n">
        <v>242</v>
      </c>
      <c r="B246" s="20" t="s">
        <v>459</v>
      </c>
      <c r="C246" s="21" t="s">
        <v>92</v>
      </c>
      <c r="D246" s="21" t="s">
        <v>205</v>
      </c>
      <c r="E246" s="19" t="n">
        <v>28</v>
      </c>
      <c r="F246" s="19" t="n">
        <v>2</v>
      </c>
      <c r="G246" s="19" t="n">
        <v>2</v>
      </c>
      <c r="H246" s="19" t="s">
        <v>115</v>
      </c>
      <c r="I246" s="19" t="s">
        <v>60</v>
      </c>
      <c r="J246" s="21" t="s">
        <v>460</v>
      </c>
      <c r="K246" s="15" t="n">
        <v>3</v>
      </c>
      <c r="L246" s="15" t="n">
        <v>4</v>
      </c>
      <c r="M246" s="15" t="n">
        <v>4</v>
      </c>
      <c r="N246" s="15" t="n">
        <v>10</v>
      </c>
      <c r="O246" s="15" t="n">
        <v>7</v>
      </c>
      <c r="P246" s="15" t="n">
        <v>1</v>
      </c>
      <c r="Q246" s="15" t="n">
        <v>6</v>
      </c>
      <c r="R246" s="16" t="n">
        <f aca="false">ROUND(K246*0.55+L246*0.25+M246*0.2,1)</f>
        <v>3.5</v>
      </c>
      <c r="S246" s="16" t="n">
        <f aca="false">ROUND(N246*0.35+O246*0.25+P246*0.25+Q246*0.15,1)</f>
        <v>6.4</v>
      </c>
      <c r="T246" s="17" t="n">
        <f aca="false">ROUND(R246*'Como ler'!$B$5+S246*'Como ler'!$B$6,1)</f>
        <v>4.8</v>
      </c>
      <c r="U246" s="18" t="s">
        <v>62</v>
      </c>
      <c r="V246" s="18" t="s">
        <v>63</v>
      </c>
    </row>
    <row r="247" customFormat="false" ht="15" hidden="false" customHeight="false" outlineLevel="0" collapsed="false">
      <c r="A247" s="19" t="n">
        <v>243</v>
      </c>
      <c r="B247" s="20" t="s">
        <v>196</v>
      </c>
      <c r="C247" s="21" t="s">
        <v>92</v>
      </c>
      <c r="D247" s="21" t="s">
        <v>58</v>
      </c>
      <c r="E247" s="19" t="n">
        <v>28</v>
      </c>
      <c r="F247" s="19" t="n">
        <v>1</v>
      </c>
      <c r="G247" s="19" t="n">
        <v>1</v>
      </c>
      <c r="H247" s="19" t="s">
        <v>66</v>
      </c>
      <c r="I247" s="19" t="s">
        <v>167</v>
      </c>
      <c r="J247" s="21" t="s">
        <v>168</v>
      </c>
      <c r="K247" s="15" t="n">
        <v>3</v>
      </c>
      <c r="L247" s="15" t="n">
        <v>2</v>
      </c>
      <c r="M247" s="15" t="n">
        <v>2</v>
      </c>
      <c r="N247" s="15" t="n">
        <v>3</v>
      </c>
      <c r="O247" s="15" t="n">
        <v>4</v>
      </c>
      <c r="P247" s="15" t="n">
        <v>10</v>
      </c>
      <c r="Q247" s="15" t="n">
        <v>6</v>
      </c>
      <c r="R247" s="16" t="n">
        <f aca="false">ROUND(K247*0.55+L247*0.25+M247*0.2,1)</f>
        <v>2.6</v>
      </c>
      <c r="S247" s="16" t="n">
        <f aca="false">ROUND(N247*0.35+O247*0.25+P247*0.25+Q247*0.15,1)</f>
        <v>5.5</v>
      </c>
      <c r="T247" s="17" t="n">
        <f aca="false">ROUND(R247*'Como ler'!$B$5+S247*'Como ler'!$B$6,1)</f>
        <v>3.9</v>
      </c>
      <c r="U247" s="18" t="s">
        <v>62</v>
      </c>
      <c r="V247" s="18" t="s">
        <v>63</v>
      </c>
    </row>
    <row r="248" customFormat="false" ht="15" hidden="false" customHeight="false" outlineLevel="0" collapsed="false">
      <c r="A248" s="19" t="n">
        <v>244</v>
      </c>
      <c r="B248" s="20" t="s">
        <v>461</v>
      </c>
      <c r="C248" s="21" t="s">
        <v>92</v>
      </c>
      <c r="D248" s="21" t="s">
        <v>233</v>
      </c>
      <c r="E248" s="19" t="n">
        <v>28</v>
      </c>
      <c r="F248" s="19" t="n">
        <v>1</v>
      </c>
      <c r="G248" s="19" t="n">
        <v>1</v>
      </c>
      <c r="H248" s="19" t="s">
        <v>59</v>
      </c>
      <c r="I248" s="19" t="s">
        <v>140</v>
      </c>
      <c r="J248" s="21" t="s">
        <v>143</v>
      </c>
      <c r="K248" s="15" t="n">
        <v>3</v>
      </c>
      <c r="L248" s="15" t="n">
        <v>2</v>
      </c>
      <c r="M248" s="15" t="n">
        <v>2</v>
      </c>
      <c r="N248" s="15" t="n">
        <v>3</v>
      </c>
      <c r="O248" s="15" t="n">
        <v>4</v>
      </c>
      <c r="P248" s="15" t="n">
        <v>3</v>
      </c>
      <c r="Q248" s="15" t="n">
        <v>9</v>
      </c>
      <c r="R248" s="16" t="n">
        <f aca="false">ROUND(K248*0.55+L248*0.25+M248*0.2,1)</f>
        <v>2.6</v>
      </c>
      <c r="S248" s="16" t="n">
        <f aca="false">ROUND(N248*0.35+O248*0.25+P248*0.25+Q248*0.15,1)</f>
        <v>4.2</v>
      </c>
      <c r="T248" s="17" t="n">
        <f aca="false">ROUND(R248*'Como ler'!$B$5+S248*'Como ler'!$B$6,1)</f>
        <v>3.3</v>
      </c>
      <c r="U248" s="18" t="s">
        <v>62</v>
      </c>
      <c r="V248" s="18" t="s">
        <v>63</v>
      </c>
    </row>
    <row r="249" customFormat="false" ht="15" hidden="false" customHeight="false" outlineLevel="0" collapsed="false">
      <c r="A249" s="19" t="n">
        <v>245</v>
      </c>
      <c r="B249" s="20" t="s">
        <v>462</v>
      </c>
      <c r="C249" s="21" t="s">
        <v>92</v>
      </c>
      <c r="D249" s="21" t="s">
        <v>205</v>
      </c>
      <c r="E249" s="19" t="n">
        <v>28</v>
      </c>
      <c r="F249" s="19" t="n">
        <v>1</v>
      </c>
      <c r="G249" s="19" t="n">
        <v>1</v>
      </c>
      <c r="H249" s="19" t="s">
        <v>59</v>
      </c>
      <c r="I249" s="19" t="s">
        <v>210</v>
      </c>
      <c r="J249" s="21" t="s">
        <v>211</v>
      </c>
      <c r="K249" s="15" t="n">
        <v>3</v>
      </c>
      <c r="L249" s="15" t="n">
        <v>2</v>
      </c>
      <c r="M249" s="15" t="n">
        <v>2</v>
      </c>
      <c r="N249" s="15" t="n">
        <v>3</v>
      </c>
      <c r="O249" s="15" t="n">
        <v>4</v>
      </c>
      <c r="P249" s="15" t="n">
        <v>1</v>
      </c>
      <c r="Q249" s="15" t="n">
        <v>9</v>
      </c>
      <c r="R249" s="16" t="n">
        <f aca="false">ROUND(K249*0.55+L249*0.25+M249*0.2,1)</f>
        <v>2.6</v>
      </c>
      <c r="S249" s="16" t="n">
        <f aca="false">ROUND(N249*0.35+O249*0.25+P249*0.25+Q249*0.15,1)</f>
        <v>3.7</v>
      </c>
      <c r="T249" s="17" t="n">
        <f aca="false">ROUND(R249*'Como ler'!$B$5+S249*'Como ler'!$B$6,1)</f>
        <v>3.1</v>
      </c>
      <c r="U249" s="18" t="s">
        <v>62</v>
      </c>
      <c r="V249" s="22" t="s">
        <v>211</v>
      </c>
    </row>
    <row r="250" customFormat="false" ht="15" hidden="false" customHeight="false" outlineLevel="0" collapsed="false">
      <c r="A250" s="19" t="n">
        <v>246</v>
      </c>
      <c r="B250" s="20" t="s">
        <v>176</v>
      </c>
      <c r="C250" s="21" t="s">
        <v>69</v>
      </c>
      <c r="D250" s="21" t="s">
        <v>58</v>
      </c>
      <c r="E250" s="19" t="n">
        <v>28</v>
      </c>
      <c r="F250" s="19" t="n">
        <v>1</v>
      </c>
      <c r="G250" s="19" t="n">
        <v>1</v>
      </c>
      <c r="H250" s="19" t="s">
        <v>59</v>
      </c>
      <c r="I250" s="19" t="s">
        <v>60</v>
      </c>
      <c r="J250" s="21" t="s">
        <v>177</v>
      </c>
      <c r="K250" s="15" t="n">
        <v>3</v>
      </c>
      <c r="L250" s="15" t="n">
        <v>2</v>
      </c>
      <c r="M250" s="15" t="n">
        <v>2</v>
      </c>
      <c r="N250" s="15" t="n">
        <v>10</v>
      </c>
      <c r="O250" s="15" t="n">
        <v>7</v>
      </c>
      <c r="P250" s="15" t="n">
        <v>10</v>
      </c>
      <c r="Q250" s="15" t="n">
        <v>9</v>
      </c>
      <c r="R250" s="16" t="n">
        <f aca="false">ROUND(K250*0.55+L250*0.25+M250*0.2,1)</f>
        <v>2.6</v>
      </c>
      <c r="S250" s="16" t="n">
        <f aca="false">ROUND(N250*0.35+O250*0.25+P250*0.25+Q250*0.15,1)</f>
        <v>9.1</v>
      </c>
      <c r="T250" s="17" t="n">
        <f aca="false">ROUND(R250*'Como ler'!$B$5+S250*'Como ler'!$B$6,1)</f>
        <v>5.5</v>
      </c>
      <c r="U250" s="18" t="s">
        <v>62</v>
      </c>
      <c r="V250" s="18" t="s">
        <v>63</v>
      </c>
    </row>
    <row r="251" customFormat="false" ht="15" hidden="false" customHeight="false" outlineLevel="0" collapsed="false">
      <c r="A251" s="19" t="n">
        <v>247</v>
      </c>
      <c r="B251" s="20" t="s">
        <v>198</v>
      </c>
      <c r="C251" s="21" t="s">
        <v>69</v>
      </c>
      <c r="D251" s="21" t="s">
        <v>58</v>
      </c>
      <c r="E251" s="19" t="n">
        <v>28</v>
      </c>
      <c r="F251" s="19" t="n">
        <v>1</v>
      </c>
      <c r="G251" s="19" t="n">
        <v>1</v>
      </c>
      <c r="H251" s="19" t="s">
        <v>115</v>
      </c>
      <c r="I251" s="19" t="s">
        <v>140</v>
      </c>
      <c r="J251" s="21" t="s">
        <v>199</v>
      </c>
      <c r="K251" s="15" t="n">
        <v>3</v>
      </c>
      <c r="L251" s="15" t="n">
        <v>2</v>
      </c>
      <c r="M251" s="15" t="n">
        <v>2</v>
      </c>
      <c r="N251" s="15" t="n">
        <v>3</v>
      </c>
      <c r="O251" s="15" t="n">
        <v>4</v>
      </c>
      <c r="P251" s="15" t="n">
        <v>10</v>
      </c>
      <c r="Q251" s="15" t="n">
        <v>6</v>
      </c>
      <c r="R251" s="16" t="n">
        <f aca="false">ROUND(K251*0.55+L251*0.25+M251*0.2,1)</f>
        <v>2.6</v>
      </c>
      <c r="S251" s="16" t="n">
        <f aca="false">ROUND(N251*0.35+O251*0.25+P251*0.25+Q251*0.15,1)</f>
        <v>5.5</v>
      </c>
      <c r="T251" s="17" t="n">
        <f aca="false">ROUND(R251*'Como ler'!$B$5+S251*'Como ler'!$B$6,1)</f>
        <v>3.9</v>
      </c>
      <c r="U251" s="18" t="s">
        <v>62</v>
      </c>
      <c r="V251" s="18" t="s">
        <v>63</v>
      </c>
    </row>
    <row r="252" customFormat="false" ht="15" hidden="false" customHeight="false" outlineLevel="0" collapsed="false">
      <c r="A252" s="19" t="n">
        <v>248</v>
      </c>
      <c r="B252" s="20" t="s">
        <v>178</v>
      </c>
      <c r="C252" s="21" t="s">
        <v>69</v>
      </c>
      <c r="D252" s="21" t="s">
        <v>58</v>
      </c>
      <c r="E252" s="19" t="n">
        <v>27</v>
      </c>
      <c r="F252" s="19" t="n">
        <v>1</v>
      </c>
      <c r="G252" s="19" t="n">
        <v>1</v>
      </c>
      <c r="H252" s="19" t="s">
        <v>66</v>
      </c>
      <c r="I252" s="19" t="s">
        <v>60</v>
      </c>
      <c r="J252" s="21" t="s">
        <v>179</v>
      </c>
      <c r="K252" s="15" t="n">
        <v>3</v>
      </c>
      <c r="L252" s="15" t="n">
        <v>2</v>
      </c>
      <c r="M252" s="15" t="n">
        <v>2</v>
      </c>
      <c r="N252" s="15" t="n">
        <v>10</v>
      </c>
      <c r="O252" s="15" t="n">
        <v>7</v>
      </c>
      <c r="P252" s="15" t="n">
        <v>10</v>
      </c>
      <c r="Q252" s="15" t="n">
        <v>6</v>
      </c>
      <c r="R252" s="16" t="n">
        <f aca="false">ROUND(K252*0.55+L252*0.25+M252*0.2,1)</f>
        <v>2.6</v>
      </c>
      <c r="S252" s="16" t="n">
        <f aca="false">ROUND(N252*0.35+O252*0.25+P252*0.25+Q252*0.15,1)</f>
        <v>8.7</v>
      </c>
      <c r="T252" s="17" t="n">
        <f aca="false">ROUND(R252*'Como ler'!$B$5+S252*'Como ler'!$B$6,1)</f>
        <v>5.3</v>
      </c>
      <c r="U252" s="18" t="s">
        <v>62</v>
      </c>
      <c r="V252" s="18" t="s">
        <v>63</v>
      </c>
    </row>
    <row r="253" customFormat="false" ht="15" hidden="false" customHeight="false" outlineLevel="0" collapsed="false">
      <c r="A253" s="19" t="n">
        <v>249</v>
      </c>
      <c r="B253" s="20" t="s">
        <v>173</v>
      </c>
      <c r="C253" s="21" t="s">
        <v>92</v>
      </c>
      <c r="D253" s="21" t="s">
        <v>58</v>
      </c>
      <c r="E253" s="19" t="n">
        <v>26</v>
      </c>
      <c r="F253" s="19" t="n">
        <v>1</v>
      </c>
      <c r="G253" s="19" t="n">
        <v>3</v>
      </c>
      <c r="H253" s="19" t="s">
        <v>66</v>
      </c>
      <c r="I253" s="19" t="s">
        <v>60</v>
      </c>
      <c r="J253" s="21" t="s">
        <v>174</v>
      </c>
      <c r="K253" s="15" t="n">
        <v>3</v>
      </c>
      <c r="L253" s="15" t="n">
        <v>2</v>
      </c>
      <c r="M253" s="15" t="n">
        <v>4</v>
      </c>
      <c r="N253" s="15" t="n">
        <v>10</v>
      </c>
      <c r="O253" s="15" t="n">
        <v>7</v>
      </c>
      <c r="P253" s="15" t="n">
        <v>10</v>
      </c>
      <c r="Q253" s="15" t="n">
        <v>6</v>
      </c>
      <c r="R253" s="16" t="n">
        <f aca="false">ROUND(K253*0.55+L253*0.25+M253*0.2,1)</f>
        <v>3</v>
      </c>
      <c r="S253" s="16" t="n">
        <f aca="false">ROUND(N253*0.35+O253*0.25+P253*0.25+Q253*0.15,1)</f>
        <v>8.7</v>
      </c>
      <c r="T253" s="17" t="n">
        <f aca="false">ROUND(R253*'Como ler'!$B$5+S253*'Como ler'!$B$6,1)</f>
        <v>5.6</v>
      </c>
      <c r="U253" s="18" t="s">
        <v>62</v>
      </c>
      <c r="V253" s="18" t="s">
        <v>63</v>
      </c>
    </row>
    <row r="254" customFormat="false" ht="15" hidden="false" customHeight="false" outlineLevel="0" collapsed="false">
      <c r="A254" s="19" t="n">
        <v>250</v>
      </c>
      <c r="B254" s="20" t="s">
        <v>463</v>
      </c>
      <c r="C254" s="21" t="s">
        <v>92</v>
      </c>
      <c r="D254" s="21" t="s">
        <v>205</v>
      </c>
      <c r="E254" s="19" t="n">
        <v>25</v>
      </c>
      <c r="F254" s="19" t="n">
        <v>3</v>
      </c>
      <c r="G254" s="19" t="n">
        <v>3</v>
      </c>
      <c r="H254" s="19" t="s">
        <v>59</v>
      </c>
      <c r="I254" s="19" t="s">
        <v>60</v>
      </c>
      <c r="J254" s="21" t="s">
        <v>464</v>
      </c>
      <c r="K254" s="15" t="n">
        <v>3</v>
      </c>
      <c r="L254" s="15" t="n">
        <v>6</v>
      </c>
      <c r="M254" s="15" t="n">
        <v>4</v>
      </c>
      <c r="N254" s="15" t="n">
        <v>10</v>
      </c>
      <c r="O254" s="15" t="n">
        <v>7</v>
      </c>
      <c r="P254" s="15" t="n">
        <v>1</v>
      </c>
      <c r="Q254" s="15" t="n">
        <v>9</v>
      </c>
      <c r="R254" s="16" t="n">
        <f aca="false">ROUND(K254*0.55+L254*0.25+M254*0.2,1)</f>
        <v>4</v>
      </c>
      <c r="S254" s="16" t="n">
        <f aca="false">ROUND(N254*0.35+O254*0.25+P254*0.25+Q254*0.15,1)</f>
        <v>6.9</v>
      </c>
      <c r="T254" s="17" t="n">
        <f aca="false">ROUND(R254*'Como ler'!$B$5+S254*'Como ler'!$B$6,1)</f>
        <v>5.3</v>
      </c>
      <c r="U254" s="18" t="s">
        <v>62</v>
      </c>
      <c r="V254" s="18" t="s">
        <v>63</v>
      </c>
    </row>
    <row r="255" customFormat="false" ht="15" hidden="false" customHeight="false" outlineLevel="0" collapsed="false">
      <c r="A255" s="19" t="n">
        <v>251</v>
      </c>
      <c r="B255" s="20" t="s">
        <v>465</v>
      </c>
      <c r="C255" s="21" t="s">
        <v>92</v>
      </c>
      <c r="D255" s="21" t="s">
        <v>205</v>
      </c>
      <c r="E255" s="19" t="n">
        <v>25</v>
      </c>
      <c r="F255" s="19" t="n">
        <v>3</v>
      </c>
      <c r="G255" s="19" t="n">
        <v>3</v>
      </c>
      <c r="H255" s="19" t="s">
        <v>59</v>
      </c>
      <c r="I255" s="19" t="s">
        <v>60</v>
      </c>
      <c r="J255" s="21" t="s">
        <v>466</v>
      </c>
      <c r="K255" s="15" t="n">
        <v>3</v>
      </c>
      <c r="L255" s="15" t="n">
        <v>6</v>
      </c>
      <c r="M255" s="15" t="n">
        <v>4</v>
      </c>
      <c r="N255" s="15" t="n">
        <v>10</v>
      </c>
      <c r="O255" s="15" t="n">
        <v>7</v>
      </c>
      <c r="P255" s="15" t="n">
        <v>1</v>
      </c>
      <c r="Q255" s="15" t="n">
        <v>9</v>
      </c>
      <c r="R255" s="16" t="n">
        <f aca="false">ROUND(K255*0.55+L255*0.25+M255*0.2,1)</f>
        <v>4</v>
      </c>
      <c r="S255" s="16" t="n">
        <f aca="false">ROUND(N255*0.35+O255*0.25+P255*0.25+Q255*0.15,1)</f>
        <v>6.9</v>
      </c>
      <c r="T255" s="17" t="n">
        <f aca="false">ROUND(R255*'Como ler'!$B$5+S255*'Como ler'!$B$6,1)</f>
        <v>5.3</v>
      </c>
      <c r="U255" s="18" t="s">
        <v>62</v>
      </c>
      <c r="V255" s="18" t="s">
        <v>63</v>
      </c>
    </row>
    <row r="256" customFormat="false" ht="15" hidden="false" customHeight="false" outlineLevel="0" collapsed="false">
      <c r="A256" s="19" t="n">
        <v>252</v>
      </c>
      <c r="B256" s="20" t="s">
        <v>467</v>
      </c>
      <c r="C256" s="21" t="s">
        <v>92</v>
      </c>
      <c r="D256" s="21" t="s">
        <v>205</v>
      </c>
      <c r="E256" s="19" t="n">
        <v>25</v>
      </c>
      <c r="F256" s="19" t="n">
        <v>2</v>
      </c>
      <c r="G256" s="19" t="n">
        <v>2</v>
      </c>
      <c r="H256" s="19" t="s">
        <v>59</v>
      </c>
      <c r="I256" s="19" t="s">
        <v>60</v>
      </c>
      <c r="J256" s="21" t="s">
        <v>468</v>
      </c>
      <c r="K256" s="15" t="n">
        <v>3</v>
      </c>
      <c r="L256" s="15" t="n">
        <v>4</v>
      </c>
      <c r="M256" s="15" t="n">
        <v>4</v>
      </c>
      <c r="N256" s="15" t="n">
        <v>10</v>
      </c>
      <c r="O256" s="15" t="n">
        <v>7</v>
      </c>
      <c r="P256" s="15" t="n">
        <v>1</v>
      </c>
      <c r="Q256" s="15" t="n">
        <v>9</v>
      </c>
      <c r="R256" s="16" t="n">
        <f aca="false">ROUND(K256*0.55+L256*0.25+M256*0.2,1)</f>
        <v>3.5</v>
      </c>
      <c r="S256" s="16" t="n">
        <f aca="false">ROUND(N256*0.35+O256*0.25+P256*0.25+Q256*0.15,1)</f>
        <v>6.9</v>
      </c>
      <c r="T256" s="17" t="n">
        <f aca="false">ROUND(R256*'Como ler'!$B$5+S256*'Como ler'!$B$6,1)</f>
        <v>5</v>
      </c>
      <c r="U256" s="18" t="s">
        <v>62</v>
      </c>
      <c r="V256" s="18" t="s">
        <v>63</v>
      </c>
    </row>
    <row r="257" customFormat="false" ht="15" hidden="false" customHeight="false" outlineLevel="0" collapsed="false">
      <c r="A257" s="19" t="n">
        <v>253</v>
      </c>
      <c r="B257" s="20" t="s">
        <v>469</v>
      </c>
      <c r="C257" s="21" t="s">
        <v>92</v>
      </c>
      <c r="D257" s="21" t="s">
        <v>205</v>
      </c>
      <c r="E257" s="19" t="n">
        <v>25</v>
      </c>
      <c r="F257" s="19" t="n">
        <v>2</v>
      </c>
      <c r="G257" s="19" t="n">
        <v>2</v>
      </c>
      <c r="H257" s="19" t="s">
        <v>59</v>
      </c>
      <c r="I257" s="19" t="s">
        <v>60</v>
      </c>
      <c r="J257" s="21" t="s">
        <v>470</v>
      </c>
      <c r="K257" s="15" t="n">
        <v>3</v>
      </c>
      <c r="L257" s="15" t="n">
        <v>4</v>
      </c>
      <c r="M257" s="15" t="n">
        <v>4</v>
      </c>
      <c r="N257" s="15" t="n">
        <v>10</v>
      </c>
      <c r="O257" s="15" t="n">
        <v>7</v>
      </c>
      <c r="P257" s="15" t="n">
        <v>1</v>
      </c>
      <c r="Q257" s="15" t="n">
        <v>9</v>
      </c>
      <c r="R257" s="16" t="n">
        <f aca="false">ROUND(K257*0.55+L257*0.25+M257*0.2,1)</f>
        <v>3.5</v>
      </c>
      <c r="S257" s="16" t="n">
        <f aca="false">ROUND(N257*0.35+O257*0.25+P257*0.25+Q257*0.15,1)</f>
        <v>6.9</v>
      </c>
      <c r="T257" s="17" t="n">
        <f aca="false">ROUND(R257*'Como ler'!$B$5+S257*'Como ler'!$B$6,1)</f>
        <v>5</v>
      </c>
      <c r="U257" s="18" t="s">
        <v>62</v>
      </c>
      <c r="V257" s="18" t="s">
        <v>63</v>
      </c>
    </row>
    <row r="258" customFormat="false" ht="15" hidden="false" customHeight="false" outlineLevel="0" collapsed="false">
      <c r="A258" s="19" t="n">
        <v>254</v>
      </c>
      <c r="B258" s="20" t="s">
        <v>471</v>
      </c>
      <c r="C258" s="21" t="s">
        <v>92</v>
      </c>
      <c r="D258" s="21" t="s">
        <v>205</v>
      </c>
      <c r="E258" s="19" t="n">
        <v>25</v>
      </c>
      <c r="F258" s="19" t="n">
        <v>1</v>
      </c>
      <c r="G258" s="19" t="n">
        <v>1</v>
      </c>
      <c r="H258" s="19" t="s">
        <v>115</v>
      </c>
      <c r="I258" s="19" t="s">
        <v>60</v>
      </c>
      <c r="J258" s="21" t="s">
        <v>472</v>
      </c>
      <c r="K258" s="15" t="n">
        <v>3</v>
      </c>
      <c r="L258" s="15" t="n">
        <v>2</v>
      </c>
      <c r="M258" s="15" t="n">
        <v>2</v>
      </c>
      <c r="N258" s="15" t="n">
        <v>10</v>
      </c>
      <c r="O258" s="15" t="n">
        <v>7</v>
      </c>
      <c r="P258" s="15" t="n">
        <v>1</v>
      </c>
      <c r="Q258" s="15" t="n">
        <v>6</v>
      </c>
      <c r="R258" s="16" t="n">
        <f aca="false">ROUND(K258*0.55+L258*0.25+M258*0.2,1)</f>
        <v>2.6</v>
      </c>
      <c r="S258" s="16" t="n">
        <f aca="false">ROUND(N258*0.35+O258*0.25+P258*0.25+Q258*0.15,1)</f>
        <v>6.4</v>
      </c>
      <c r="T258" s="17" t="n">
        <f aca="false">ROUND(R258*'Como ler'!$B$5+S258*'Como ler'!$B$6,1)</f>
        <v>4.3</v>
      </c>
      <c r="U258" s="18" t="s">
        <v>62</v>
      </c>
      <c r="V258" s="18" t="s">
        <v>63</v>
      </c>
    </row>
    <row r="259" customFormat="false" ht="15" hidden="false" customHeight="false" outlineLevel="0" collapsed="false">
      <c r="A259" s="19" t="n">
        <v>255</v>
      </c>
      <c r="B259" s="20" t="s">
        <v>473</v>
      </c>
      <c r="C259" s="21" t="s">
        <v>92</v>
      </c>
      <c r="D259" s="21" t="s">
        <v>205</v>
      </c>
      <c r="E259" s="19" t="n">
        <v>25</v>
      </c>
      <c r="F259" s="19" t="n">
        <v>1</v>
      </c>
      <c r="G259" s="19" t="n">
        <v>1</v>
      </c>
      <c r="H259" s="19" t="s">
        <v>66</v>
      </c>
      <c r="I259" s="19" t="s">
        <v>167</v>
      </c>
      <c r="J259" s="21" t="s">
        <v>168</v>
      </c>
      <c r="K259" s="15" t="n">
        <v>3</v>
      </c>
      <c r="L259" s="15" t="n">
        <v>2</v>
      </c>
      <c r="M259" s="15" t="n">
        <v>2</v>
      </c>
      <c r="N259" s="15" t="n">
        <v>3</v>
      </c>
      <c r="O259" s="15" t="n">
        <v>4</v>
      </c>
      <c r="P259" s="15" t="n">
        <v>1</v>
      </c>
      <c r="Q259" s="15" t="n">
        <v>6</v>
      </c>
      <c r="R259" s="16" t="n">
        <f aca="false">ROUND(K259*0.55+L259*0.25+M259*0.2,1)</f>
        <v>2.6</v>
      </c>
      <c r="S259" s="16" t="n">
        <f aca="false">ROUND(N259*0.35+O259*0.25+P259*0.25+Q259*0.15,1)</f>
        <v>3.2</v>
      </c>
      <c r="T259" s="17" t="n">
        <f aca="false">ROUND(R259*'Como ler'!$B$5+S259*'Como ler'!$B$6,1)</f>
        <v>2.9</v>
      </c>
      <c r="U259" s="18" t="s">
        <v>62</v>
      </c>
      <c r="V259" s="18" t="s">
        <v>63</v>
      </c>
    </row>
    <row r="260" customFormat="false" ht="15" hidden="false" customHeight="false" outlineLevel="0" collapsed="false">
      <c r="A260" s="19" t="n">
        <v>256</v>
      </c>
      <c r="B260" s="20" t="s">
        <v>474</v>
      </c>
      <c r="C260" s="21" t="s">
        <v>92</v>
      </c>
      <c r="D260" s="21" t="s">
        <v>233</v>
      </c>
      <c r="E260" s="19" t="n">
        <v>25</v>
      </c>
      <c r="F260" s="19" t="n">
        <v>1</v>
      </c>
      <c r="G260" s="19" t="n">
        <v>1</v>
      </c>
      <c r="H260" s="19" t="s">
        <v>66</v>
      </c>
      <c r="I260" s="19" t="s">
        <v>60</v>
      </c>
      <c r="J260" s="21" t="s">
        <v>475</v>
      </c>
      <c r="K260" s="15" t="n">
        <v>3</v>
      </c>
      <c r="L260" s="15" t="n">
        <v>2</v>
      </c>
      <c r="M260" s="15" t="n">
        <v>2</v>
      </c>
      <c r="N260" s="15" t="n">
        <v>10</v>
      </c>
      <c r="O260" s="15" t="n">
        <v>7</v>
      </c>
      <c r="P260" s="15" t="n">
        <v>3</v>
      </c>
      <c r="Q260" s="15" t="n">
        <v>6</v>
      </c>
      <c r="R260" s="16" t="n">
        <f aca="false">ROUND(K260*0.55+L260*0.25+M260*0.2,1)</f>
        <v>2.6</v>
      </c>
      <c r="S260" s="16" t="n">
        <f aca="false">ROUND(N260*0.35+O260*0.25+P260*0.25+Q260*0.15,1)</f>
        <v>6.9</v>
      </c>
      <c r="T260" s="17" t="n">
        <f aca="false">ROUND(R260*'Como ler'!$B$5+S260*'Como ler'!$B$6,1)</f>
        <v>4.5</v>
      </c>
      <c r="U260" s="18" t="s">
        <v>62</v>
      </c>
      <c r="V260" s="18" t="s">
        <v>63</v>
      </c>
    </row>
    <row r="261" customFormat="false" ht="15" hidden="false" customHeight="false" outlineLevel="0" collapsed="false">
      <c r="A261" s="19" t="n">
        <v>257</v>
      </c>
      <c r="B261" s="20" t="s">
        <v>163</v>
      </c>
      <c r="C261" s="21" t="s">
        <v>164</v>
      </c>
      <c r="D261" s="21" t="s">
        <v>58</v>
      </c>
      <c r="E261" s="19" t="n">
        <v>25</v>
      </c>
      <c r="F261" s="19" t="n">
        <v>1</v>
      </c>
      <c r="G261" s="19" t="n">
        <v>1</v>
      </c>
      <c r="H261" s="19" t="s">
        <v>59</v>
      </c>
      <c r="I261" s="19" t="s">
        <v>60</v>
      </c>
      <c r="J261" s="21" t="s">
        <v>165</v>
      </c>
      <c r="K261" s="15" t="n">
        <v>3</v>
      </c>
      <c r="L261" s="15" t="n">
        <v>2</v>
      </c>
      <c r="M261" s="15" t="n">
        <v>2</v>
      </c>
      <c r="N261" s="15" t="n">
        <v>10</v>
      </c>
      <c r="O261" s="15" t="n">
        <v>10</v>
      </c>
      <c r="P261" s="15" t="n">
        <v>10</v>
      </c>
      <c r="Q261" s="15" t="n">
        <v>9</v>
      </c>
      <c r="R261" s="16" t="n">
        <f aca="false">ROUND(K261*0.55+L261*0.25+M261*0.2,1)</f>
        <v>2.6</v>
      </c>
      <c r="S261" s="16" t="n">
        <f aca="false">ROUND(N261*0.35+O261*0.25+P261*0.25+Q261*0.15,1)</f>
        <v>9.9</v>
      </c>
      <c r="T261" s="17" t="n">
        <f aca="false">ROUND(R261*'Como ler'!$B$5+S261*'Como ler'!$B$6,1)</f>
        <v>5.9</v>
      </c>
      <c r="U261" s="18" t="s">
        <v>62</v>
      </c>
      <c r="V261" s="18" t="s">
        <v>63</v>
      </c>
    </row>
    <row r="262" customFormat="false" ht="15" hidden="false" customHeight="false" outlineLevel="0" collapsed="false">
      <c r="A262" s="19" t="n">
        <v>258</v>
      </c>
      <c r="B262" s="20" t="s">
        <v>476</v>
      </c>
      <c r="C262" s="21" t="s">
        <v>92</v>
      </c>
      <c r="D262" s="21" t="s">
        <v>205</v>
      </c>
      <c r="E262" s="19" t="n">
        <v>24</v>
      </c>
      <c r="F262" s="19" t="n">
        <v>2</v>
      </c>
      <c r="G262" s="19" t="n">
        <v>2</v>
      </c>
      <c r="H262" s="19" t="s">
        <v>59</v>
      </c>
      <c r="I262" s="19" t="s">
        <v>60</v>
      </c>
      <c r="J262" s="21" t="s">
        <v>477</v>
      </c>
      <c r="K262" s="15" t="n">
        <v>3</v>
      </c>
      <c r="L262" s="15" t="n">
        <v>4</v>
      </c>
      <c r="M262" s="15" t="n">
        <v>4</v>
      </c>
      <c r="N262" s="15" t="n">
        <v>10</v>
      </c>
      <c r="O262" s="15" t="n">
        <v>7</v>
      </c>
      <c r="P262" s="15" t="n">
        <v>1</v>
      </c>
      <c r="Q262" s="15" t="n">
        <v>9</v>
      </c>
      <c r="R262" s="16" t="n">
        <f aca="false">ROUND(K262*0.55+L262*0.25+M262*0.2,1)</f>
        <v>3.5</v>
      </c>
      <c r="S262" s="16" t="n">
        <f aca="false">ROUND(N262*0.35+O262*0.25+P262*0.25+Q262*0.15,1)</f>
        <v>6.9</v>
      </c>
      <c r="T262" s="17" t="n">
        <f aca="false">ROUND(R262*'Como ler'!$B$5+S262*'Como ler'!$B$6,1)</f>
        <v>5</v>
      </c>
      <c r="U262" s="18" t="s">
        <v>62</v>
      </c>
      <c r="V262" s="18" t="s">
        <v>63</v>
      </c>
    </row>
    <row r="263" customFormat="false" ht="15" hidden="false" customHeight="false" outlineLevel="0" collapsed="false">
      <c r="A263" s="19" t="n">
        <v>259</v>
      </c>
      <c r="B263" s="20" t="s">
        <v>478</v>
      </c>
      <c r="C263" s="21" t="s">
        <v>92</v>
      </c>
      <c r="D263" s="21" t="s">
        <v>205</v>
      </c>
      <c r="E263" s="19" t="n">
        <v>24</v>
      </c>
      <c r="F263" s="19" t="n">
        <v>1</v>
      </c>
      <c r="G263" s="19" t="n">
        <v>1</v>
      </c>
      <c r="H263" s="19" t="s">
        <v>115</v>
      </c>
      <c r="I263" s="19" t="s">
        <v>140</v>
      </c>
      <c r="J263" s="21" t="s">
        <v>141</v>
      </c>
      <c r="K263" s="15" t="n">
        <v>3</v>
      </c>
      <c r="L263" s="15" t="n">
        <v>2</v>
      </c>
      <c r="M263" s="15" t="n">
        <v>2</v>
      </c>
      <c r="N263" s="15" t="n">
        <v>3</v>
      </c>
      <c r="O263" s="15" t="n">
        <v>4</v>
      </c>
      <c r="P263" s="15" t="n">
        <v>1</v>
      </c>
      <c r="Q263" s="15" t="n">
        <v>6</v>
      </c>
      <c r="R263" s="16" t="n">
        <f aca="false">ROUND(K263*0.55+L263*0.25+M263*0.2,1)</f>
        <v>2.6</v>
      </c>
      <c r="S263" s="16" t="n">
        <f aca="false">ROUND(N263*0.35+O263*0.25+P263*0.25+Q263*0.15,1)</f>
        <v>3.2</v>
      </c>
      <c r="T263" s="17" t="n">
        <f aca="false">ROUND(R263*'Como ler'!$B$5+S263*'Como ler'!$B$6,1)</f>
        <v>2.9</v>
      </c>
      <c r="U263" s="18" t="s">
        <v>62</v>
      </c>
      <c r="V263" s="18" t="s">
        <v>63</v>
      </c>
    </row>
    <row r="264" customFormat="false" ht="15" hidden="false" customHeight="false" outlineLevel="0" collapsed="false">
      <c r="A264" s="19" t="n">
        <v>260</v>
      </c>
      <c r="B264" s="20" t="s">
        <v>479</v>
      </c>
      <c r="C264" s="21" t="s">
        <v>92</v>
      </c>
      <c r="D264" s="21" t="s">
        <v>205</v>
      </c>
      <c r="E264" s="19" t="n">
        <v>23</v>
      </c>
      <c r="F264" s="19" t="n">
        <v>1</v>
      </c>
      <c r="G264" s="19" t="n">
        <v>1</v>
      </c>
      <c r="H264" s="19" t="s">
        <v>115</v>
      </c>
      <c r="I264" s="19" t="s">
        <v>140</v>
      </c>
      <c r="J264" s="21" t="s">
        <v>141</v>
      </c>
      <c r="K264" s="15" t="n">
        <v>3</v>
      </c>
      <c r="L264" s="15" t="n">
        <v>2</v>
      </c>
      <c r="M264" s="15" t="n">
        <v>2</v>
      </c>
      <c r="N264" s="15" t="n">
        <v>3</v>
      </c>
      <c r="O264" s="15" t="n">
        <v>4</v>
      </c>
      <c r="P264" s="15" t="n">
        <v>1</v>
      </c>
      <c r="Q264" s="15" t="n">
        <v>6</v>
      </c>
      <c r="R264" s="16" t="n">
        <f aca="false">ROUND(K264*0.55+L264*0.25+M264*0.2,1)</f>
        <v>2.6</v>
      </c>
      <c r="S264" s="16" t="n">
        <f aca="false">ROUND(N264*0.35+O264*0.25+P264*0.25+Q264*0.15,1)</f>
        <v>3.2</v>
      </c>
      <c r="T264" s="17" t="n">
        <f aca="false">ROUND(R264*'Como ler'!$B$5+S264*'Como ler'!$B$6,1)</f>
        <v>2.9</v>
      </c>
      <c r="U264" s="18" t="s">
        <v>62</v>
      </c>
      <c r="V264" s="18" t="s">
        <v>63</v>
      </c>
    </row>
    <row r="265" customFormat="false" ht="15" hidden="false" customHeight="false" outlineLevel="0" collapsed="false">
      <c r="A265" s="19" t="n">
        <v>261</v>
      </c>
      <c r="B265" s="20" t="s">
        <v>103</v>
      </c>
      <c r="C265" s="21" t="s">
        <v>74</v>
      </c>
      <c r="D265" s="21" t="s">
        <v>58</v>
      </c>
      <c r="E265" s="19" t="n">
        <v>22</v>
      </c>
      <c r="F265" s="19" t="n">
        <v>5</v>
      </c>
      <c r="G265" s="19" t="n">
        <v>9</v>
      </c>
      <c r="H265" s="19" t="s">
        <v>59</v>
      </c>
      <c r="I265" s="19" t="s">
        <v>60</v>
      </c>
      <c r="J265" s="21" t="s">
        <v>104</v>
      </c>
      <c r="K265" s="15" t="n">
        <v>3</v>
      </c>
      <c r="L265" s="15" t="n">
        <v>8</v>
      </c>
      <c r="M265" s="15" t="n">
        <v>8</v>
      </c>
      <c r="N265" s="15" t="n">
        <v>10</v>
      </c>
      <c r="O265" s="15" t="n">
        <v>7</v>
      </c>
      <c r="P265" s="15" t="n">
        <v>10</v>
      </c>
      <c r="Q265" s="15" t="n">
        <v>9</v>
      </c>
      <c r="R265" s="16" t="n">
        <f aca="false">ROUND(K265*0.55+L265*0.25+M265*0.2,1)</f>
        <v>5.3</v>
      </c>
      <c r="S265" s="16" t="n">
        <f aca="false">ROUND(N265*0.35+O265*0.25+P265*0.25+Q265*0.15,1)</f>
        <v>9.1</v>
      </c>
      <c r="T265" s="17" t="n">
        <f aca="false">ROUND(R265*'Como ler'!$B$5+S265*'Como ler'!$B$6,1)</f>
        <v>7</v>
      </c>
      <c r="U265" s="18" t="s">
        <v>62</v>
      </c>
      <c r="V265" s="18" t="s">
        <v>63</v>
      </c>
    </row>
    <row r="266" customFormat="false" ht="15" hidden="false" customHeight="false" outlineLevel="0" collapsed="false">
      <c r="A266" s="19" t="n">
        <v>262</v>
      </c>
      <c r="B266" s="20" t="s">
        <v>480</v>
      </c>
      <c r="C266" s="21" t="s">
        <v>69</v>
      </c>
      <c r="D266" s="21" t="s">
        <v>205</v>
      </c>
      <c r="E266" s="19" t="n">
        <v>22</v>
      </c>
      <c r="F266" s="19" t="n">
        <v>1</v>
      </c>
      <c r="G266" s="19" t="n">
        <v>1</v>
      </c>
      <c r="H266" s="19" t="s">
        <v>66</v>
      </c>
      <c r="I266" s="19" t="s">
        <v>167</v>
      </c>
      <c r="J266" s="21" t="s">
        <v>168</v>
      </c>
      <c r="K266" s="15" t="n">
        <v>3</v>
      </c>
      <c r="L266" s="15" t="n">
        <v>2</v>
      </c>
      <c r="M266" s="15" t="n">
        <v>2</v>
      </c>
      <c r="N266" s="15" t="n">
        <v>3</v>
      </c>
      <c r="O266" s="15" t="n">
        <v>4</v>
      </c>
      <c r="P266" s="15" t="n">
        <v>1</v>
      </c>
      <c r="Q266" s="15" t="n">
        <v>6</v>
      </c>
      <c r="R266" s="16" t="n">
        <f aca="false">ROUND(K266*0.55+L266*0.25+M266*0.2,1)</f>
        <v>2.6</v>
      </c>
      <c r="S266" s="16" t="n">
        <f aca="false">ROUND(N266*0.35+O266*0.25+P266*0.25+Q266*0.15,1)</f>
        <v>3.2</v>
      </c>
      <c r="T266" s="17" t="n">
        <f aca="false">ROUND(R266*'Como ler'!$B$5+S266*'Como ler'!$B$6,1)</f>
        <v>2.9</v>
      </c>
      <c r="U266" s="18" t="s">
        <v>62</v>
      </c>
      <c r="V266" s="18" t="s">
        <v>63</v>
      </c>
    </row>
    <row r="267" customFormat="false" ht="15" hidden="false" customHeight="false" outlineLevel="0" collapsed="false">
      <c r="A267" s="19" t="n">
        <v>263</v>
      </c>
      <c r="B267" s="20" t="s">
        <v>481</v>
      </c>
      <c r="C267" s="21" t="s">
        <v>92</v>
      </c>
      <c r="D267" s="21" t="s">
        <v>205</v>
      </c>
      <c r="E267" s="19" t="n">
        <v>22</v>
      </c>
      <c r="F267" s="19" t="n">
        <v>1</v>
      </c>
      <c r="G267" s="19" t="n">
        <v>1</v>
      </c>
      <c r="H267" s="19" t="s">
        <v>59</v>
      </c>
      <c r="I267" s="19" t="s">
        <v>60</v>
      </c>
      <c r="J267" s="21" t="s">
        <v>482</v>
      </c>
      <c r="K267" s="15" t="n">
        <v>3</v>
      </c>
      <c r="L267" s="15" t="n">
        <v>2</v>
      </c>
      <c r="M267" s="15" t="n">
        <v>2</v>
      </c>
      <c r="N267" s="15" t="n">
        <v>10</v>
      </c>
      <c r="O267" s="15" t="n">
        <v>7</v>
      </c>
      <c r="P267" s="15" t="n">
        <v>1</v>
      </c>
      <c r="Q267" s="15" t="n">
        <v>9</v>
      </c>
      <c r="R267" s="16" t="n">
        <f aca="false">ROUND(K267*0.55+L267*0.25+M267*0.2,1)</f>
        <v>2.6</v>
      </c>
      <c r="S267" s="16" t="n">
        <f aca="false">ROUND(N267*0.35+O267*0.25+P267*0.25+Q267*0.15,1)</f>
        <v>6.9</v>
      </c>
      <c r="T267" s="17" t="n">
        <f aca="false">ROUND(R267*'Como ler'!$B$5+S267*'Como ler'!$B$6,1)</f>
        <v>4.5</v>
      </c>
      <c r="U267" s="18" t="s">
        <v>62</v>
      </c>
      <c r="V267" s="18" t="s">
        <v>63</v>
      </c>
    </row>
    <row r="268" customFormat="false" ht="15" hidden="false" customHeight="false" outlineLevel="0" collapsed="false">
      <c r="A268" s="19" t="n">
        <v>264</v>
      </c>
      <c r="B268" s="20" t="s">
        <v>483</v>
      </c>
      <c r="C268" s="21" t="s">
        <v>92</v>
      </c>
      <c r="D268" s="21" t="s">
        <v>205</v>
      </c>
      <c r="E268" s="19" t="n">
        <v>21</v>
      </c>
      <c r="F268" s="19" t="n">
        <v>2</v>
      </c>
      <c r="G268" s="19" t="n">
        <v>3</v>
      </c>
      <c r="H268" s="19" t="s">
        <v>59</v>
      </c>
      <c r="I268" s="19" t="s">
        <v>60</v>
      </c>
      <c r="J268" s="21" t="s">
        <v>484</v>
      </c>
      <c r="K268" s="15" t="n">
        <v>3</v>
      </c>
      <c r="L268" s="15" t="n">
        <v>4</v>
      </c>
      <c r="M268" s="15" t="n">
        <v>4</v>
      </c>
      <c r="N268" s="15" t="n">
        <v>10</v>
      </c>
      <c r="O268" s="15" t="n">
        <v>7</v>
      </c>
      <c r="P268" s="15" t="n">
        <v>1</v>
      </c>
      <c r="Q268" s="15" t="n">
        <v>9</v>
      </c>
      <c r="R268" s="16" t="n">
        <f aca="false">ROUND(K268*0.55+L268*0.25+M268*0.2,1)</f>
        <v>3.5</v>
      </c>
      <c r="S268" s="16" t="n">
        <f aca="false">ROUND(N268*0.35+O268*0.25+P268*0.25+Q268*0.15,1)</f>
        <v>6.9</v>
      </c>
      <c r="T268" s="17" t="n">
        <f aca="false">ROUND(R268*'Como ler'!$B$5+S268*'Como ler'!$B$6,1)</f>
        <v>5</v>
      </c>
      <c r="U268" s="18" t="s">
        <v>62</v>
      </c>
      <c r="V268" s="18" t="s">
        <v>63</v>
      </c>
    </row>
    <row r="269" customFormat="false" ht="15" hidden="false" customHeight="false" outlineLevel="0" collapsed="false">
      <c r="A269" s="19" t="n">
        <v>265</v>
      </c>
      <c r="B269" s="20" t="s">
        <v>485</v>
      </c>
      <c r="C269" s="21" t="s">
        <v>92</v>
      </c>
      <c r="D269" s="21" t="s">
        <v>205</v>
      </c>
      <c r="E269" s="19" t="n">
        <v>21</v>
      </c>
      <c r="F269" s="19" t="n">
        <v>1</v>
      </c>
      <c r="G269" s="19" t="n">
        <v>1</v>
      </c>
      <c r="H269" s="19" t="s">
        <v>66</v>
      </c>
      <c r="I269" s="19" t="s">
        <v>210</v>
      </c>
      <c r="J269" s="21" t="s">
        <v>211</v>
      </c>
      <c r="K269" s="15" t="n">
        <v>3</v>
      </c>
      <c r="L269" s="15" t="n">
        <v>2</v>
      </c>
      <c r="M269" s="15" t="n">
        <v>2</v>
      </c>
      <c r="N269" s="15" t="n">
        <v>3</v>
      </c>
      <c r="O269" s="15" t="n">
        <v>4</v>
      </c>
      <c r="P269" s="15" t="n">
        <v>1</v>
      </c>
      <c r="Q269" s="15" t="n">
        <v>6</v>
      </c>
      <c r="R269" s="16" t="n">
        <f aca="false">ROUND(K269*0.55+L269*0.25+M269*0.2,1)</f>
        <v>2.6</v>
      </c>
      <c r="S269" s="16" t="n">
        <f aca="false">ROUND(N269*0.35+O269*0.25+P269*0.25+Q269*0.15,1)</f>
        <v>3.2</v>
      </c>
      <c r="T269" s="17" t="n">
        <f aca="false">ROUND(R269*'Como ler'!$B$5+S269*'Como ler'!$B$6,1)</f>
        <v>2.9</v>
      </c>
      <c r="U269" s="18" t="s">
        <v>62</v>
      </c>
      <c r="V269" s="22" t="s">
        <v>211</v>
      </c>
    </row>
    <row r="270" customFormat="false" ht="15" hidden="false" customHeight="false" outlineLevel="0" collapsed="false">
      <c r="A270" s="19" t="n">
        <v>266</v>
      </c>
      <c r="B270" s="20" t="s">
        <v>171</v>
      </c>
      <c r="C270" s="21" t="s">
        <v>69</v>
      </c>
      <c r="D270" s="21" t="s">
        <v>58</v>
      </c>
      <c r="E270" s="19" t="n">
        <v>21</v>
      </c>
      <c r="F270" s="19" t="n">
        <v>1</v>
      </c>
      <c r="G270" s="19" t="n">
        <v>3</v>
      </c>
      <c r="H270" s="19" t="s">
        <v>59</v>
      </c>
      <c r="I270" s="19" t="s">
        <v>60</v>
      </c>
      <c r="J270" s="21" t="s">
        <v>172</v>
      </c>
      <c r="K270" s="15" t="n">
        <v>3</v>
      </c>
      <c r="L270" s="15" t="n">
        <v>2</v>
      </c>
      <c r="M270" s="15" t="n">
        <v>4</v>
      </c>
      <c r="N270" s="15" t="n">
        <v>10</v>
      </c>
      <c r="O270" s="15" t="n">
        <v>7</v>
      </c>
      <c r="P270" s="15" t="n">
        <v>10</v>
      </c>
      <c r="Q270" s="15" t="n">
        <v>9</v>
      </c>
      <c r="R270" s="16" t="n">
        <f aca="false">ROUND(K270*0.55+L270*0.25+M270*0.2,1)</f>
        <v>3</v>
      </c>
      <c r="S270" s="16" t="n">
        <f aca="false">ROUND(N270*0.35+O270*0.25+P270*0.25+Q270*0.15,1)</f>
        <v>9.1</v>
      </c>
      <c r="T270" s="17" t="n">
        <f aca="false">ROUND(R270*'Como ler'!$B$5+S270*'Como ler'!$B$6,1)</f>
        <v>5.7</v>
      </c>
      <c r="U270" s="18" t="s">
        <v>62</v>
      </c>
      <c r="V270" s="18" t="s">
        <v>63</v>
      </c>
    </row>
    <row r="271" customFormat="false" ht="15" hidden="false" customHeight="false" outlineLevel="0" collapsed="false">
      <c r="A271" s="19" t="n">
        <v>267</v>
      </c>
      <c r="B271" s="20" t="s">
        <v>486</v>
      </c>
      <c r="C271" s="21" t="s">
        <v>92</v>
      </c>
      <c r="D271" s="21" t="s">
        <v>208</v>
      </c>
      <c r="E271" s="19" t="n">
        <v>21</v>
      </c>
      <c r="F271" s="19" t="n">
        <v>1</v>
      </c>
      <c r="G271" s="19" t="n">
        <v>1</v>
      </c>
      <c r="H271" s="19" t="s">
        <v>66</v>
      </c>
      <c r="I271" s="19" t="s">
        <v>210</v>
      </c>
      <c r="J271" s="21" t="s">
        <v>211</v>
      </c>
      <c r="K271" s="15" t="n">
        <v>3</v>
      </c>
      <c r="L271" s="15" t="n">
        <v>2</v>
      </c>
      <c r="M271" s="15" t="n">
        <v>2</v>
      </c>
      <c r="N271" s="15" t="n">
        <v>3</v>
      </c>
      <c r="O271" s="15" t="n">
        <v>4</v>
      </c>
      <c r="P271" s="15" t="n">
        <v>1</v>
      </c>
      <c r="Q271" s="15" t="n">
        <v>6</v>
      </c>
      <c r="R271" s="16" t="n">
        <f aca="false">ROUND(K271*0.55+L271*0.25+M271*0.2,1)</f>
        <v>2.6</v>
      </c>
      <c r="S271" s="16" t="n">
        <f aca="false">ROUND(N271*0.35+O271*0.25+P271*0.25+Q271*0.15,1)</f>
        <v>3.2</v>
      </c>
      <c r="T271" s="17" t="n">
        <f aca="false">ROUND(R271*'Como ler'!$B$5+S271*'Como ler'!$B$6,1)</f>
        <v>2.9</v>
      </c>
      <c r="U271" s="18" t="s">
        <v>62</v>
      </c>
      <c r="V271" s="22" t="s">
        <v>211</v>
      </c>
    </row>
    <row r="272" customFormat="false" ht="15" hidden="false" customHeight="false" outlineLevel="0" collapsed="false">
      <c r="A272" s="19" t="n">
        <v>268</v>
      </c>
      <c r="B272" s="20" t="s">
        <v>487</v>
      </c>
      <c r="C272" s="21" t="s">
        <v>92</v>
      </c>
      <c r="D272" s="21" t="s">
        <v>205</v>
      </c>
      <c r="E272" s="19" t="n">
        <v>21</v>
      </c>
      <c r="F272" s="19" t="n">
        <v>1</v>
      </c>
      <c r="G272" s="19" t="n">
        <v>2</v>
      </c>
      <c r="H272" s="19" t="s">
        <v>59</v>
      </c>
      <c r="I272" s="19" t="s">
        <v>60</v>
      </c>
      <c r="J272" s="21" t="s">
        <v>488</v>
      </c>
      <c r="K272" s="15" t="n">
        <v>3</v>
      </c>
      <c r="L272" s="15" t="n">
        <v>2</v>
      </c>
      <c r="M272" s="15" t="n">
        <v>4</v>
      </c>
      <c r="N272" s="15" t="n">
        <v>10</v>
      </c>
      <c r="O272" s="15" t="n">
        <v>7</v>
      </c>
      <c r="P272" s="15" t="n">
        <v>1</v>
      </c>
      <c r="Q272" s="15" t="n">
        <v>9</v>
      </c>
      <c r="R272" s="16" t="n">
        <f aca="false">ROUND(K272*0.55+L272*0.25+M272*0.2,1)</f>
        <v>3</v>
      </c>
      <c r="S272" s="16" t="n">
        <f aca="false">ROUND(N272*0.35+O272*0.25+P272*0.25+Q272*0.15,1)</f>
        <v>6.9</v>
      </c>
      <c r="T272" s="17" t="n">
        <f aca="false">ROUND(R272*'Como ler'!$B$5+S272*'Como ler'!$B$6,1)</f>
        <v>4.8</v>
      </c>
      <c r="U272" s="18" t="s">
        <v>62</v>
      </c>
      <c r="V272" s="18" t="s">
        <v>63</v>
      </c>
    </row>
    <row r="273" customFormat="false" ht="15" hidden="false" customHeight="false" outlineLevel="0" collapsed="false">
      <c r="A273" s="19" t="n">
        <v>269</v>
      </c>
      <c r="B273" s="20" t="s">
        <v>200</v>
      </c>
      <c r="C273" s="21" t="s">
        <v>92</v>
      </c>
      <c r="D273" s="21" t="s">
        <v>58</v>
      </c>
      <c r="E273" s="19" t="n">
        <v>20</v>
      </c>
      <c r="F273" s="19" t="n">
        <v>1</v>
      </c>
      <c r="G273" s="19" t="n">
        <v>1</v>
      </c>
      <c r="H273" s="19" t="s">
        <v>66</v>
      </c>
      <c r="I273" s="19" t="s">
        <v>167</v>
      </c>
      <c r="J273" s="21" t="s">
        <v>168</v>
      </c>
      <c r="K273" s="15" t="n">
        <v>3</v>
      </c>
      <c r="L273" s="15" t="n">
        <v>2</v>
      </c>
      <c r="M273" s="15" t="n">
        <v>2</v>
      </c>
      <c r="N273" s="15" t="n">
        <v>3</v>
      </c>
      <c r="O273" s="15" t="n">
        <v>4</v>
      </c>
      <c r="P273" s="15" t="n">
        <v>10</v>
      </c>
      <c r="Q273" s="15" t="n">
        <v>6</v>
      </c>
      <c r="R273" s="16" t="n">
        <f aca="false">ROUND(K273*0.55+L273*0.25+M273*0.2,1)</f>
        <v>2.6</v>
      </c>
      <c r="S273" s="16" t="n">
        <f aca="false">ROUND(N273*0.35+O273*0.25+P273*0.25+Q273*0.15,1)</f>
        <v>5.5</v>
      </c>
      <c r="T273" s="17" t="n">
        <f aca="false">ROUND(R273*'Como ler'!$B$5+S273*'Como ler'!$B$6,1)</f>
        <v>3.9</v>
      </c>
      <c r="U273" s="18" t="s">
        <v>62</v>
      </c>
      <c r="V273" s="18" t="s">
        <v>63</v>
      </c>
    </row>
    <row r="274" customFormat="false" ht="15" hidden="false" customHeight="false" outlineLevel="0" collapsed="false">
      <c r="A274" s="19" t="n">
        <v>270</v>
      </c>
      <c r="B274" s="20" t="s">
        <v>155</v>
      </c>
      <c r="C274" s="21" t="s">
        <v>87</v>
      </c>
      <c r="D274" s="21" t="s">
        <v>58</v>
      </c>
      <c r="E274" s="19" t="n">
        <v>18</v>
      </c>
      <c r="F274" s="19" t="n">
        <v>2</v>
      </c>
      <c r="G274" s="19" t="n">
        <v>2</v>
      </c>
      <c r="H274" s="19" t="s">
        <v>59</v>
      </c>
      <c r="I274" s="19" t="s">
        <v>60</v>
      </c>
      <c r="J274" s="21" t="s">
        <v>156</v>
      </c>
      <c r="K274" s="15" t="n">
        <v>3</v>
      </c>
      <c r="L274" s="15" t="n">
        <v>4</v>
      </c>
      <c r="M274" s="15" t="n">
        <v>4</v>
      </c>
      <c r="N274" s="15" t="n">
        <v>10</v>
      </c>
      <c r="O274" s="15" t="n">
        <v>7</v>
      </c>
      <c r="P274" s="15" t="n">
        <v>10</v>
      </c>
      <c r="Q274" s="15" t="n">
        <v>9</v>
      </c>
      <c r="R274" s="16" t="n">
        <f aca="false">ROUND(K274*0.55+L274*0.25+M274*0.2,1)</f>
        <v>3.5</v>
      </c>
      <c r="S274" s="16" t="n">
        <f aca="false">ROUND(N274*0.35+O274*0.25+P274*0.25+Q274*0.15,1)</f>
        <v>9.1</v>
      </c>
      <c r="T274" s="17" t="n">
        <f aca="false">ROUND(R274*'Como ler'!$B$5+S274*'Como ler'!$B$6,1)</f>
        <v>6</v>
      </c>
      <c r="U274" s="18" t="s">
        <v>62</v>
      </c>
      <c r="V274" s="18" t="s">
        <v>63</v>
      </c>
    </row>
    <row r="275" customFormat="false" ht="15" hidden="false" customHeight="false" outlineLevel="0" collapsed="false">
      <c r="A275" s="19" t="n">
        <v>271</v>
      </c>
      <c r="B275" s="20" t="s">
        <v>197</v>
      </c>
      <c r="C275" s="21" t="s">
        <v>69</v>
      </c>
      <c r="D275" s="21" t="s">
        <v>58</v>
      </c>
      <c r="E275" s="19" t="n">
        <v>18</v>
      </c>
      <c r="F275" s="19" t="n">
        <v>1</v>
      </c>
      <c r="G275" s="19" t="n">
        <v>1</v>
      </c>
      <c r="H275" s="19" t="s">
        <v>66</v>
      </c>
      <c r="I275" s="19" t="s">
        <v>140</v>
      </c>
      <c r="J275" s="21" t="s">
        <v>141</v>
      </c>
      <c r="K275" s="15" t="n">
        <v>3</v>
      </c>
      <c r="L275" s="15" t="n">
        <v>2</v>
      </c>
      <c r="M275" s="15" t="n">
        <v>2</v>
      </c>
      <c r="N275" s="15" t="n">
        <v>3</v>
      </c>
      <c r="O275" s="15" t="n">
        <v>4</v>
      </c>
      <c r="P275" s="15" t="n">
        <v>10</v>
      </c>
      <c r="Q275" s="15" t="n">
        <v>6</v>
      </c>
      <c r="R275" s="16" t="n">
        <f aca="false">ROUND(K275*0.55+L275*0.25+M275*0.2,1)</f>
        <v>2.6</v>
      </c>
      <c r="S275" s="16" t="n">
        <f aca="false">ROUND(N275*0.35+O275*0.25+P275*0.25+Q275*0.15,1)</f>
        <v>5.5</v>
      </c>
      <c r="T275" s="17" t="n">
        <f aca="false">ROUND(R275*'Como ler'!$B$5+S275*'Como ler'!$B$6,1)</f>
        <v>3.9</v>
      </c>
      <c r="U275" s="18" t="s">
        <v>62</v>
      </c>
      <c r="V275" s="18" t="s">
        <v>63</v>
      </c>
    </row>
    <row r="276" customFormat="false" ht="15" hidden="false" customHeight="false" outlineLevel="0" collapsed="false">
      <c r="A276" s="19" t="n">
        <v>272</v>
      </c>
      <c r="B276" s="20" t="s">
        <v>489</v>
      </c>
      <c r="C276" s="21" t="s">
        <v>92</v>
      </c>
      <c r="D276" s="21" t="s">
        <v>205</v>
      </c>
      <c r="E276" s="19" t="n">
        <v>18</v>
      </c>
      <c r="F276" s="19" t="n">
        <v>1</v>
      </c>
      <c r="G276" s="19" t="n">
        <v>1</v>
      </c>
      <c r="H276" s="19" t="s">
        <v>59</v>
      </c>
      <c r="I276" s="19" t="s">
        <v>60</v>
      </c>
      <c r="J276" s="21" t="s">
        <v>490</v>
      </c>
      <c r="K276" s="15" t="n">
        <v>3</v>
      </c>
      <c r="L276" s="15" t="n">
        <v>2</v>
      </c>
      <c r="M276" s="15" t="n">
        <v>2</v>
      </c>
      <c r="N276" s="15" t="n">
        <v>10</v>
      </c>
      <c r="O276" s="15" t="n">
        <v>7</v>
      </c>
      <c r="P276" s="15" t="n">
        <v>1</v>
      </c>
      <c r="Q276" s="15" t="n">
        <v>9</v>
      </c>
      <c r="R276" s="16" t="n">
        <f aca="false">ROUND(K276*0.55+L276*0.25+M276*0.2,1)</f>
        <v>2.6</v>
      </c>
      <c r="S276" s="16" t="n">
        <f aca="false">ROUND(N276*0.35+O276*0.25+P276*0.25+Q276*0.15,1)</f>
        <v>6.9</v>
      </c>
      <c r="T276" s="17" t="n">
        <f aca="false">ROUND(R276*'Como ler'!$B$5+S276*'Como ler'!$B$6,1)</f>
        <v>4.5</v>
      </c>
      <c r="U276" s="18" t="s">
        <v>62</v>
      </c>
      <c r="V276" s="18" t="s">
        <v>63</v>
      </c>
    </row>
    <row r="277" customFormat="false" ht="15" hidden="false" customHeight="false" outlineLevel="0" collapsed="false">
      <c r="A277" s="19" t="n">
        <v>273</v>
      </c>
      <c r="B277" s="20" t="s">
        <v>491</v>
      </c>
      <c r="C277" s="21" t="s">
        <v>92</v>
      </c>
      <c r="D277" s="21" t="s">
        <v>205</v>
      </c>
      <c r="E277" s="19" t="n">
        <v>17</v>
      </c>
      <c r="F277" s="19" t="n">
        <v>1</v>
      </c>
      <c r="G277" s="19" t="n">
        <v>1</v>
      </c>
      <c r="H277" s="19" t="s">
        <v>59</v>
      </c>
      <c r="I277" s="19" t="s">
        <v>60</v>
      </c>
      <c r="J277" s="21" t="s">
        <v>492</v>
      </c>
      <c r="K277" s="15" t="n">
        <v>3</v>
      </c>
      <c r="L277" s="15" t="n">
        <v>2</v>
      </c>
      <c r="M277" s="15" t="n">
        <v>2</v>
      </c>
      <c r="N277" s="15" t="n">
        <v>10</v>
      </c>
      <c r="O277" s="15" t="n">
        <v>7</v>
      </c>
      <c r="P277" s="15" t="n">
        <v>1</v>
      </c>
      <c r="Q277" s="15" t="n">
        <v>9</v>
      </c>
      <c r="R277" s="16" t="n">
        <f aca="false">ROUND(K277*0.55+L277*0.25+M277*0.2,1)</f>
        <v>2.6</v>
      </c>
      <c r="S277" s="16" t="n">
        <f aca="false">ROUND(N277*0.35+O277*0.25+P277*0.25+Q277*0.15,1)</f>
        <v>6.9</v>
      </c>
      <c r="T277" s="17" t="n">
        <f aca="false">ROUND(R277*'Como ler'!$B$5+S277*'Como ler'!$B$6,1)</f>
        <v>4.5</v>
      </c>
      <c r="U277" s="18" t="s">
        <v>62</v>
      </c>
      <c r="V277" s="18" t="s">
        <v>63</v>
      </c>
    </row>
    <row r="278" customFormat="false" ht="15" hidden="false" customHeight="false" outlineLevel="0" collapsed="false">
      <c r="A278" s="19" t="n">
        <v>274</v>
      </c>
      <c r="B278" s="20" t="s">
        <v>493</v>
      </c>
      <c r="C278" s="21" t="s">
        <v>92</v>
      </c>
      <c r="D278" s="21" t="s">
        <v>205</v>
      </c>
      <c r="E278" s="19" t="n">
        <v>17</v>
      </c>
      <c r="F278" s="19" t="n">
        <v>1</v>
      </c>
      <c r="G278" s="19" t="n">
        <v>1</v>
      </c>
      <c r="H278" s="19" t="s">
        <v>66</v>
      </c>
      <c r="I278" s="19" t="s">
        <v>140</v>
      </c>
      <c r="J278" s="21" t="s">
        <v>141</v>
      </c>
      <c r="K278" s="15" t="n">
        <v>3</v>
      </c>
      <c r="L278" s="15" t="n">
        <v>2</v>
      </c>
      <c r="M278" s="15" t="n">
        <v>2</v>
      </c>
      <c r="N278" s="15" t="n">
        <v>3</v>
      </c>
      <c r="O278" s="15" t="n">
        <v>4</v>
      </c>
      <c r="P278" s="15" t="n">
        <v>1</v>
      </c>
      <c r="Q278" s="15" t="n">
        <v>6</v>
      </c>
      <c r="R278" s="16" t="n">
        <f aca="false">ROUND(K278*0.55+L278*0.25+M278*0.2,1)</f>
        <v>2.6</v>
      </c>
      <c r="S278" s="16" t="n">
        <f aca="false">ROUND(N278*0.35+O278*0.25+P278*0.25+Q278*0.15,1)</f>
        <v>3.2</v>
      </c>
      <c r="T278" s="17" t="n">
        <f aca="false">ROUND(R278*'Como ler'!$B$5+S278*'Como ler'!$B$6,1)</f>
        <v>2.9</v>
      </c>
      <c r="U278" s="18" t="s">
        <v>62</v>
      </c>
      <c r="V278" s="18" t="s">
        <v>63</v>
      </c>
    </row>
    <row r="279" customFormat="false" ht="15" hidden="false" customHeight="false" outlineLevel="0" collapsed="false">
      <c r="A279" s="19" t="n">
        <v>275</v>
      </c>
      <c r="B279" s="20" t="s">
        <v>494</v>
      </c>
      <c r="C279" s="21" t="s">
        <v>69</v>
      </c>
      <c r="D279" s="21" t="s">
        <v>205</v>
      </c>
      <c r="E279" s="19" t="n">
        <v>16</v>
      </c>
      <c r="F279" s="19" t="n">
        <v>2</v>
      </c>
      <c r="G279" s="19" t="n">
        <v>2</v>
      </c>
      <c r="H279" s="19" t="s">
        <v>59</v>
      </c>
      <c r="I279" s="19" t="s">
        <v>60</v>
      </c>
      <c r="J279" s="21" t="s">
        <v>495</v>
      </c>
      <c r="K279" s="15" t="n">
        <v>3</v>
      </c>
      <c r="L279" s="15" t="n">
        <v>4</v>
      </c>
      <c r="M279" s="15" t="n">
        <v>4</v>
      </c>
      <c r="N279" s="15" t="n">
        <v>10</v>
      </c>
      <c r="O279" s="15" t="n">
        <v>7</v>
      </c>
      <c r="P279" s="15" t="n">
        <v>1</v>
      </c>
      <c r="Q279" s="15" t="n">
        <v>9</v>
      </c>
      <c r="R279" s="16" t="n">
        <f aca="false">ROUND(K279*0.55+L279*0.25+M279*0.2,1)</f>
        <v>3.5</v>
      </c>
      <c r="S279" s="16" t="n">
        <f aca="false">ROUND(N279*0.35+O279*0.25+P279*0.25+Q279*0.15,1)</f>
        <v>6.9</v>
      </c>
      <c r="T279" s="17" t="n">
        <f aca="false">ROUND(R279*'Como ler'!$B$5+S279*'Como ler'!$B$6,1)</f>
        <v>5</v>
      </c>
      <c r="U279" s="18" t="s">
        <v>62</v>
      </c>
      <c r="V279" s="18" t="s">
        <v>63</v>
      </c>
    </row>
    <row r="280" customFormat="false" ht="15" hidden="false" customHeight="false" outlineLevel="0" collapsed="false">
      <c r="A280" s="19" t="n">
        <v>276</v>
      </c>
      <c r="B280" s="20" t="s">
        <v>496</v>
      </c>
      <c r="C280" s="21" t="s">
        <v>92</v>
      </c>
      <c r="D280" s="21" t="s">
        <v>205</v>
      </c>
      <c r="E280" s="19" t="n">
        <v>16</v>
      </c>
      <c r="F280" s="19" t="n">
        <v>1</v>
      </c>
      <c r="G280" s="19" t="n">
        <v>1</v>
      </c>
      <c r="H280" s="19" t="s">
        <v>59</v>
      </c>
      <c r="I280" s="19" t="s">
        <v>167</v>
      </c>
      <c r="J280" s="21" t="s">
        <v>168</v>
      </c>
      <c r="K280" s="15" t="n">
        <v>3</v>
      </c>
      <c r="L280" s="15" t="n">
        <v>2</v>
      </c>
      <c r="M280" s="15" t="n">
        <v>2</v>
      </c>
      <c r="N280" s="15" t="n">
        <v>3</v>
      </c>
      <c r="O280" s="15" t="n">
        <v>4</v>
      </c>
      <c r="P280" s="15" t="n">
        <v>1</v>
      </c>
      <c r="Q280" s="15" t="n">
        <v>9</v>
      </c>
      <c r="R280" s="16" t="n">
        <f aca="false">ROUND(K280*0.55+L280*0.25+M280*0.2,1)</f>
        <v>2.6</v>
      </c>
      <c r="S280" s="16" t="n">
        <f aca="false">ROUND(N280*0.35+O280*0.25+P280*0.25+Q280*0.15,1)</f>
        <v>3.7</v>
      </c>
      <c r="T280" s="17" t="n">
        <f aca="false">ROUND(R280*'Como ler'!$B$5+S280*'Como ler'!$B$6,1)</f>
        <v>3.1</v>
      </c>
      <c r="U280" s="18" t="s">
        <v>62</v>
      </c>
      <c r="V280" s="18" t="s">
        <v>63</v>
      </c>
    </row>
    <row r="281" customFormat="false" ht="15" hidden="false" customHeight="false" outlineLevel="0" collapsed="false">
      <c r="A281" s="19" t="n">
        <v>277</v>
      </c>
      <c r="B281" s="20" t="s">
        <v>497</v>
      </c>
      <c r="C281" s="21" t="s">
        <v>92</v>
      </c>
      <c r="D281" s="21" t="s">
        <v>205</v>
      </c>
      <c r="E281" s="19" t="n">
        <v>16</v>
      </c>
      <c r="F281" s="19" t="n">
        <v>1</v>
      </c>
      <c r="G281" s="19" t="n">
        <v>1</v>
      </c>
      <c r="H281" s="19" t="s">
        <v>66</v>
      </c>
      <c r="I281" s="19" t="s">
        <v>167</v>
      </c>
      <c r="J281" s="21" t="s">
        <v>168</v>
      </c>
      <c r="K281" s="15" t="n">
        <v>3</v>
      </c>
      <c r="L281" s="15" t="n">
        <v>2</v>
      </c>
      <c r="M281" s="15" t="n">
        <v>2</v>
      </c>
      <c r="N281" s="15" t="n">
        <v>3</v>
      </c>
      <c r="O281" s="15" t="n">
        <v>4</v>
      </c>
      <c r="P281" s="15" t="n">
        <v>1</v>
      </c>
      <c r="Q281" s="15" t="n">
        <v>6</v>
      </c>
      <c r="R281" s="16" t="n">
        <f aca="false">ROUND(K281*0.55+L281*0.25+M281*0.2,1)</f>
        <v>2.6</v>
      </c>
      <c r="S281" s="16" t="n">
        <f aca="false">ROUND(N281*0.35+O281*0.25+P281*0.25+Q281*0.15,1)</f>
        <v>3.2</v>
      </c>
      <c r="T281" s="17" t="n">
        <f aca="false">ROUND(R281*'Como ler'!$B$5+S281*'Como ler'!$B$6,1)</f>
        <v>2.9</v>
      </c>
      <c r="U281" s="18" t="s">
        <v>62</v>
      </c>
      <c r="V281" s="18" t="s">
        <v>63</v>
      </c>
    </row>
    <row r="282" customFormat="false" ht="15" hidden="false" customHeight="false" outlineLevel="0" collapsed="false">
      <c r="A282" s="19" t="n">
        <v>278</v>
      </c>
      <c r="B282" s="20" t="s">
        <v>498</v>
      </c>
      <c r="C282" s="21" t="s">
        <v>92</v>
      </c>
      <c r="D282" s="21" t="s">
        <v>205</v>
      </c>
      <c r="E282" s="19" t="n">
        <v>16</v>
      </c>
      <c r="F282" s="19" t="n">
        <v>1</v>
      </c>
      <c r="G282" s="19" t="n">
        <v>1</v>
      </c>
      <c r="H282" s="19" t="s">
        <v>59</v>
      </c>
      <c r="I282" s="19" t="s">
        <v>140</v>
      </c>
      <c r="J282" s="21" t="s">
        <v>143</v>
      </c>
      <c r="K282" s="15" t="n">
        <v>3</v>
      </c>
      <c r="L282" s="15" t="n">
        <v>2</v>
      </c>
      <c r="M282" s="15" t="n">
        <v>2</v>
      </c>
      <c r="N282" s="15" t="n">
        <v>3</v>
      </c>
      <c r="O282" s="15" t="n">
        <v>4</v>
      </c>
      <c r="P282" s="15" t="n">
        <v>1</v>
      </c>
      <c r="Q282" s="15" t="n">
        <v>9</v>
      </c>
      <c r="R282" s="16" t="n">
        <f aca="false">ROUND(K282*0.55+L282*0.25+M282*0.2,1)</f>
        <v>2.6</v>
      </c>
      <c r="S282" s="16" t="n">
        <f aca="false">ROUND(N282*0.35+O282*0.25+P282*0.25+Q282*0.15,1)</f>
        <v>3.7</v>
      </c>
      <c r="T282" s="17" t="n">
        <f aca="false">ROUND(R282*'Como ler'!$B$5+S282*'Como ler'!$B$6,1)</f>
        <v>3.1</v>
      </c>
      <c r="U282" s="18" t="s">
        <v>62</v>
      </c>
      <c r="V282" s="18" t="s">
        <v>63</v>
      </c>
    </row>
    <row r="283" customFormat="false" ht="15" hidden="false" customHeight="false" outlineLevel="0" collapsed="false">
      <c r="A283" s="19" t="n">
        <v>279</v>
      </c>
      <c r="B283" s="20" t="s">
        <v>190</v>
      </c>
      <c r="C283" s="21" t="s">
        <v>69</v>
      </c>
      <c r="D283" s="21" t="s">
        <v>58</v>
      </c>
      <c r="E283" s="19" t="n">
        <v>16</v>
      </c>
      <c r="F283" s="19" t="n">
        <v>1</v>
      </c>
      <c r="G283" s="19" t="n">
        <v>13</v>
      </c>
      <c r="H283" s="19" t="s">
        <v>66</v>
      </c>
      <c r="I283" s="19" t="s">
        <v>167</v>
      </c>
      <c r="J283" s="21" t="s">
        <v>168</v>
      </c>
      <c r="K283" s="15" t="n">
        <v>3</v>
      </c>
      <c r="L283" s="15" t="n">
        <v>2</v>
      </c>
      <c r="M283" s="15" t="n">
        <v>10</v>
      </c>
      <c r="N283" s="15" t="n">
        <v>3</v>
      </c>
      <c r="O283" s="15" t="n">
        <v>4</v>
      </c>
      <c r="P283" s="15" t="n">
        <v>10</v>
      </c>
      <c r="Q283" s="15" t="n">
        <v>6</v>
      </c>
      <c r="R283" s="16" t="n">
        <f aca="false">ROUND(K283*0.55+L283*0.25+M283*0.2,1)</f>
        <v>4.2</v>
      </c>
      <c r="S283" s="16" t="n">
        <f aca="false">ROUND(N283*0.35+O283*0.25+P283*0.25+Q283*0.15,1)</f>
        <v>5.5</v>
      </c>
      <c r="T283" s="17" t="n">
        <f aca="false">ROUND(R283*'Como ler'!$B$5+S283*'Como ler'!$B$6,1)</f>
        <v>4.8</v>
      </c>
      <c r="U283" s="18" t="s">
        <v>62</v>
      </c>
      <c r="V283" s="18" t="s">
        <v>63</v>
      </c>
    </row>
    <row r="284" customFormat="false" ht="15" hidden="false" customHeight="false" outlineLevel="0" collapsed="false">
      <c r="A284" s="19" t="n">
        <v>280</v>
      </c>
      <c r="B284" s="20" t="s">
        <v>499</v>
      </c>
      <c r="C284" s="21" t="s">
        <v>92</v>
      </c>
      <c r="D284" s="21" t="s">
        <v>205</v>
      </c>
      <c r="E284" s="19" t="n">
        <v>15</v>
      </c>
      <c r="F284" s="19" t="n">
        <v>2</v>
      </c>
      <c r="G284" s="19" t="n">
        <v>3</v>
      </c>
      <c r="H284" s="19" t="s">
        <v>59</v>
      </c>
      <c r="I284" s="19" t="s">
        <v>60</v>
      </c>
      <c r="J284" s="21" t="s">
        <v>500</v>
      </c>
      <c r="K284" s="15" t="n">
        <v>3</v>
      </c>
      <c r="L284" s="15" t="n">
        <v>4</v>
      </c>
      <c r="M284" s="15" t="n">
        <v>4</v>
      </c>
      <c r="N284" s="15" t="n">
        <v>10</v>
      </c>
      <c r="O284" s="15" t="n">
        <v>7</v>
      </c>
      <c r="P284" s="15" t="n">
        <v>1</v>
      </c>
      <c r="Q284" s="15" t="n">
        <v>9</v>
      </c>
      <c r="R284" s="16" t="n">
        <f aca="false">ROUND(K284*0.55+L284*0.25+M284*0.2,1)</f>
        <v>3.5</v>
      </c>
      <c r="S284" s="16" t="n">
        <f aca="false">ROUND(N284*0.35+O284*0.25+P284*0.25+Q284*0.15,1)</f>
        <v>6.9</v>
      </c>
      <c r="T284" s="17" t="n">
        <f aca="false">ROUND(R284*'Como ler'!$B$5+S284*'Como ler'!$B$6,1)</f>
        <v>5</v>
      </c>
      <c r="U284" s="18" t="s">
        <v>62</v>
      </c>
      <c r="V284" s="18" t="s">
        <v>63</v>
      </c>
    </row>
    <row r="285" customFormat="false" ht="15" hidden="false" customHeight="false" outlineLevel="0" collapsed="false">
      <c r="A285" s="19" t="n">
        <v>281</v>
      </c>
      <c r="B285" s="20" t="s">
        <v>501</v>
      </c>
      <c r="C285" s="21" t="s">
        <v>92</v>
      </c>
      <c r="D285" s="21" t="s">
        <v>229</v>
      </c>
      <c r="E285" s="19" t="n">
        <v>15</v>
      </c>
      <c r="F285" s="19" t="n">
        <v>2</v>
      </c>
      <c r="G285" s="19" t="n">
        <v>8</v>
      </c>
      <c r="H285" s="19" t="s">
        <v>66</v>
      </c>
      <c r="I285" s="19" t="s">
        <v>140</v>
      </c>
      <c r="J285" s="21" t="s">
        <v>141</v>
      </c>
      <c r="K285" s="15" t="n">
        <v>3</v>
      </c>
      <c r="L285" s="15" t="n">
        <v>4</v>
      </c>
      <c r="M285" s="15" t="n">
        <v>8</v>
      </c>
      <c r="N285" s="15" t="n">
        <v>3</v>
      </c>
      <c r="O285" s="15" t="n">
        <v>4</v>
      </c>
      <c r="P285" s="15" t="n">
        <v>1</v>
      </c>
      <c r="Q285" s="15" t="n">
        <v>6</v>
      </c>
      <c r="R285" s="16" t="n">
        <f aca="false">ROUND(K285*0.55+L285*0.25+M285*0.2,1)</f>
        <v>4.3</v>
      </c>
      <c r="S285" s="16" t="n">
        <f aca="false">ROUND(N285*0.35+O285*0.25+P285*0.25+Q285*0.15,1)</f>
        <v>3.2</v>
      </c>
      <c r="T285" s="17" t="n">
        <f aca="false">ROUND(R285*'Como ler'!$B$5+S285*'Como ler'!$B$6,1)</f>
        <v>3.8</v>
      </c>
      <c r="U285" s="18" t="s">
        <v>62</v>
      </c>
      <c r="V285" s="18" t="s">
        <v>63</v>
      </c>
    </row>
    <row r="286" customFormat="false" ht="15" hidden="false" customHeight="false" outlineLevel="0" collapsed="false">
      <c r="A286" s="19" t="n">
        <v>282</v>
      </c>
      <c r="B286" s="20" t="s">
        <v>502</v>
      </c>
      <c r="C286" s="21" t="s">
        <v>92</v>
      </c>
      <c r="D286" s="21" t="s">
        <v>205</v>
      </c>
      <c r="E286" s="19" t="n">
        <v>15</v>
      </c>
      <c r="F286" s="19" t="n">
        <v>1</v>
      </c>
      <c r="G286" s="19" t="n">
        <v>1</v>
      </c>
      <c r="H286" s="19" t="s">
        <v>59</v>
      </c>
      <c r="I286" s="19" t="s">
        <v>60</v>
      </c>
      <c r="J286" s="21" t="s">
        <v>503</v>
      </c>
      <c r="K286" s="15" t="n">
        <v>3</v>
      </c>
      <c r="L286" s="15" t="n">
        <v>2</v>
      </c>
      <c r="M286" s="15" t="n">
        <v>2</v>
      </c>
      <c r="N286" s="15" t="n">
        <v>10</v>
      </c>
      <c r="O286" s="15" t="n">
        <v>7</v>
      </c>
      <c r="P286" s="15" t="n">
        <v>1</v>
      </c>
      <c r="Q286" s="15" t="n">
        <v>9</v>
      </c>
      <c r="R286" s="16" t="n">
        <f aca="false">ROUND(K286*0.55+L286*0.25+M286*0.2,1)</f>
        <v>2.6</v>
      </c>
      <c r="S286" s="16" t="n">
        <f aca="false">ROUND(N286*0.35+O286*0.25+P286*0.25+Q286*0.15,1)</f>
        <v>6.9</v>
      </c>
      <c r="T286" s="17" t="n">
        <f aca="false">ROUND(R286*'Como ler'!$B$5+S286*'Como ler'!$B$6,1)</f>
        <v>4.5</v>
      </c>
      <c r="U286" s="18" t="s">
        <v>62</v>
      </c>
      <c r="V286" s="18" t="s">
        <v>63</v>
      </c>
    </row>
    <row r="287" customFormat="false" ht="15" hidden="false" customHeight="false" outlineLevel="0" collapsed="false">
      <c r="A287" s="19" t="n">
        <v>283</v>
      </c>
      <c r="B287" s="20" t="s">
        <v>504</v>
      </c>
      <c r="C287" s="21" t="s">
        <v>92</v>
      </c>
      <c r="D287" s="21" t="s">
        <v>205</v>
      </c>
      <c r="E287" s="19" t="n">
        <v>15</v>
      </c>
      <c r="F287" s="19" t="n">
        <v>1</v>
      </c>
      <c r="G287" s="19" t="n">
        <v>1</v>
      </c>
      <c r="H287" s="19" t="s">
        <v>115</v>
      </c>
      <c r="I287" s="19" t="s">
        <v>60</v>
      </c>
      <c r="J287" s="21" t="s">
        <v>505</v>
      </c>
      <c r="K287" s="15" t="n">
        <v>3</v>
      </c>
      <c r="L287" s="15" t="n">
        <v>2</v>
      </c>
      <c r="M287" s="15" t="n">
        <v>2</v>
      </c>
      <c r="N287" s="15" t="n">
        <v>10</v>
      </c>
      <c r="O287" s="15" t="n">
        <v>7</v>
      </c>
      <c r="P287" s="15" t="n">
        <v>1</v>
      </c>
      <c r="Q287" s="15" t="n">
        <v>6</v>
      </c>
      <c r="R287" s="16" t="n">
        <f aca="false">ROUND(K287*0.55+L287*0.25+M287*0.2,1)</f>
        <v>2.6</v>
      </c>
      <c r="S287" s="16" t="n">
        <f aca="false">ROUND(N287*0.35+O287*0.25+P287*0.25+Q287*0.15,1)</f>
        <v>6.4</v>
      </c>
      <c r="T287" s="17" t="n">
        <f aca="false">ROUND(R287*'Como ler'!$B$5+S287*'Como ler'!$B$6,1)</f>
        <v>4.3</v>
      </c>
      <c r="U287" s="18" t="s">
        <v>62</v>
      </c>
      <c r="V287" s="18" t="s">
        <v>63</v>
      </c>
    </row>
    <row r="288" customFormat="false" ht="15" hidden="false" customHeight="false" outlineLevel="0" collapsed="false">
      <c r="A288" s="19" t="n">
        <v>284</v>
      </c>
      <c r="B288" s="20" t="s">
        <v>193</v>
      </c>
      <c r="C288" s="21" t="s">
        <v>69</v>
      </c>
      <c r="D288" s="21" t="s">
        <v>58</v>
      </c>
      <c r="E288" s="19" t="n">
        <v>14</v>
      </c>
      <c r="F288" s="19" t="n">
        <v>1</v>
      </c>
      <c r="G288" s="19" t="n">
        <v>6</v>
      </c>
      <c r="H288" s="19" t="s">
        <v>66</v>
      </c>
      <c r="I288" s="19" t="s">
        <v>167</v>
      </c>
      <c r="J288" s="21" t="s">
        <v>168</v>
      </c>
      <c r="K288" s="15" t="n">
        <v>3</v>
      </c>
      <c r="L288" s="15" t="n">
        <v>2</v>
      </c>
      <c r="M288" s="15" t="n">
        <v>8</v>
      </c>
      <c r="N288" s="15" t="n">
        <v>3</v>
      </c>
      <c r="O288" s="15" t="n">
        <v>4</v>
      </c>
      <c r="P288" s="15" t="n">
        <v>10</v>
      </c>
      <c r="Q288" s="15" t="n">
        <v>6</v>
      </c>
      <c r="R288" s="16" t="n">
        <f aca="false">ROUND(K288*0.55+L288*0.25+M288*0.2,1)</f>
        <v>3.8</v>
      </c>
      <c r="S288" s="16" t="n">
        <f aca="false">ROUND(N288*0.35+O288*0.25+P288*0.25+Q288*0.15,1)</f>
        <v>5.5</v>
      </c>
      <c r="T288" s="17" t="n">
        <f aca="false">ROUND(R288*'Como ler'!$B$5+S288*'Como ler'!$B$6,1)</f>
        <v>4.6</v>
      </c>
      <c r="U288" s="18" t="s">
        <v>62</v>
      </c>
      <c r="V288" s="18" t="s">
        <v>63</v>
      </c>
    </row>
    <row r="289" customFormat="false" ht="15" hidden="false" customHeight="false" outlineLevel="0" collapsed="false">
      <c r="A289" s="19" t="n">
        <v>285</v>
      </c>
      <c r="B289" s="20" t="s">
        <v>506</v>
      </c>
      <c r="C289" s="21" t="s">
        <v>92</v>
      </c>
      <c r="D289" s="21" t="s">
        <v>205</v>
      </c>
      <c r="E289" s="19" t="n">
        <v>14</v>
      </c>
      <c r="F289" s="19" t="n">
        <v>1</v>
      </c>
      <c r="G289" s="19" t="n">
        <v>2</v>
      </c>
      <c r="H289" s="19" t="s">
        <v>59</v>
      </c>
      <c r="I289" s="19" t="s">
        <v>140</v>
      </c>
      <c r="J289" s="21" t="s">
        <v>141</v>
      </c>
      <c r="K289" s="15" t="n">
        <v>3</v>
      </c>
      <c r="L289" s="15" t="n">
        <v>2</v>
      </c>
      <c r="M289" s="15" t="n">
        <v>4</v>
      </c>
      <c r="N289" s="15" t="n">
        <v>3</v>
      </c>
      <c r="O289" s="15" t="n">
        <v>4</v>
      </c>
      <c r="P289" s="15" t="n">
        <v>1</v>
      </c>
      <c r="Q289" s="15" t="n">
        <v>9</v>
      </c>
      <c r="R289" s="16" t="n">
        <f aca="false">ROUND(K289*0.55+L289*0.25+M289*0.2,1)</f>
        <v>3</v>
      </c>
      <c r="S289" s="16" t="n">
        <f aca="false">ROUND(N289*0.35+O289*0.25+P289*0.25+Q289*0.15,1)</f>
        <v>3.7</v>
      </c>
      <c r="T289" s="17" t="n">
        <f aca="false">ROUND(R289*'Como ler'!$B$5+S289*'Como ler'!$B$6,1)</f>
        <v>3.3</v>
      </c>
      <c r="U289" s="18" t="s">
        <v>62</v>
      </c>
      <c r="V289" s="18" t="s">
        <v>63</v>
      </c>
    </row>
    <row r="290" customFormat="false" ht="15" hidden="false" customHeight="false" outlineLevel="0" collapsed="false">
      <c r="A290" s="19" t="n">
        <v>286</v>
      </c>
      <c r="B290" s="20" t="s">
        <v>507</v>
      </c>
      <c r="C290" s="21" t="s">
        <v>92</v>
      </c>
      <c r="D290" s="21" t="s">
        <v>205</v>
      </c>
      <c r="E290" s="19" t="n">
        <v>13</v>
      </c>
      <c r="F290" s="19" t="n">
        <v>1</v>
      </c>
      <c r="G290" s="19" t="n">
        <v>1</v>
      </c>
      <c r="H290" s="19" t="s">
        <v>115</v>
      </c>
      <c r="I290" s="19" t="s">
        <v>210</v>
      </c>
      <c r="J290" s="21" t="s">
        <v>211</v>
      </c>
      <c r="K290" s="15" t="n">
        <v>1</v>
      </c>
      <c r="L290" s="15" t="n">
        <v>2</v>
      </c>
      <c r="M290" s="15" t="n">
        <v>2</v>
      </c>
      <c r="N290" s="15" t="n">
        <v>3</v>
      </c>
      <c r="O290" s="15" t="n">
        <v>4</v>
      </c>
      <c r="P290" s="15" t="n">
        <v>1</v>
      </c>
      <c r="Q290" s="15" t="n">
        <v>6</v>
      </c>
      <c r="R290" s="16" t="n">
        <f aca="false">ROUND(K290*0.55+L290*0.25+M290*0.2,1)</f>
        <v>1.5</v>
      </c>
      <c r="S290" s="16" t="n">
        <f aca="false">ROUND(N290*0.35+O290*0.25+P290*0.25+Q290*0.15,1)</f>
        <v>3.2</v>
      </c>
      <c r="T290" s="17" t="n">
        <f aca="false">ROUND(R290*'Como ler'!$B$5+S290*'Como ler'!$B$6,1)</f>
        <v>2.3</v>
      </c>
      <c r="U290" s="18" t="s">
        <v>62</v>
      </c>
      <c r="V290" s="22" t="s">
        <v>211</v>
      </c>
    </row>
    <row r="291" customFormat="false" ht="15" hidden="false" customHeight="false" outlineLevel="0" collapsed="false">
      <c r="A291" s="19" t="n">
        <v>287</v>
      </c>
      <c r="B291" s="20" t="s">
        <v>169</v>
      </c>
      <c r="C291" s="21" t="s">
        <v>92</v>
      </c>
      <c r="D291" s="21" t="s">
        <v>58</v>
      </c>
      <c r="E291" s="19" t="n">
        <v>11</v>
      </c>
      <c r="F291" s="19" t="n">
        <v>2</v>
      </c>
      <c r="G291" s="19" t="n">
        <v>7</v>
      </c>
      <c r="H291" s="19" t="s">
        <v>66</v>
      </c>
      <c r="I291" s="19" t="s">
        <v>60</v>
      </c>
      <c r="J291" s="21" t="s">
        <v>170</v>
      </c>
      <c r="K291" s="15" t="n">
        <v>1</v>
      </c>
      <c r="L291" s="15" t="n">
        <v>4</v>
      </c>
      <c r="M291" s="15" t="n">
        <v>8</v>
      </c>
      <c r="N291" s="15" t="n">
        <v>10</v>
      </c>
      <c r="O291" s="15" t="n">
        <v>7</v>
      </c>
      <c r="P291" s="15" t="n">
        <v>10</v>
      </c>
      <c r="Q291" s="15" t="n">
        <v>6</v>
      </c>
      <c r="R291" s="16" t="n">
        <f aca="false">ROUND(K291*0.55+L291*0.25+M291*0.2,1)</f>
        <v>3.2</v>
      </c>
      <c r="S291" s="16" t="n">
        <f aca="false">ROUND(N291*0.35+O291*0.25+P291*0.25+Q291*0.15,1)</f>
        <v>8.7</v>
      </c>
      <c r="T291" s="17" t="n">
        <f aca="false">ROUND(R291*'Como ler'!$B$5+S291*'Como ler'!$B$6,1)</f>
        <v>5.7</v>
      </c>
      <c r="U291" s="18" t="s">
        <v>62</v>
      </c>
      <c r="V291" s="18" t="s">
        <v>63</v>
      </c>
    </row>
    <row r="292" customFormat="false" ht="15" hidden="false" customHeight="false" outlineLevel="0" collapsed="false">
      <c r="A292" s="19" t="n">
        <v>288</v>
      </c>
      <c r="B292" s="20" t="s">
        <v>508</v>
      </c>
      <c r="C292" s="21" t="s">
        <v>92</v>
      </c>
      <c r="D292" s="21" t="s">
        <v>205</v>
      </c>
      <c r="E292" s="19" t="n">
        <v>11</v>
      </c>
      <c r="F292" s="19" t="n">
        <v>1</v>
      </c>
      <c r="G292" s="19" t="n">
        <v>1</v>
      </c>
      <c r="H292" s="19" t="s">
        <v>115</v>
      </c>
      <c r="I292" s="19" t="s">
        <v>60</v>
      </c>
      <c r="J292" s="21" t="s">
        <v>509</v>
      </c>
      <c r="K292" s="15" t="n">
        <v>1</v>
      </c>
      <c r="L292" s="15" t="n">
        <v>2</v>
      </c>
      <c r="M292" s="15" t="n">
        <v>2</v>
      </c>
      <c r="N292" s="15" t="n">
        <v>10</v>
      </c>
      <c r="O292" s="15" t="n">
        <v>7</v>
      </c>
      <c r="P292" s="15" t="n">
        <v>1</v>
      </c>
      <c r="Q292" s="15" t="n">
        <v>6</v>
      </c>
      <c r="R292" s="16" t="n">
        <f aca="false">ROUND(K292*0.55+L292*0.25+M292*0.2,1)</f>
        <v>1.5</v>
      </c>
      <c r="S292" s="16" t="n">
        <f aca="false">ROUND(N292*0.35+O292*0.25+P292*0.25+Q292*0.15,1)</f>
        <v>6.4</v>
      </c>
      <c r="T292" s="17" t="n">
        <f aca="false">ROUND(R292*'Como ler'!$B$5+S292*'Como ler'!$B$6,1)</f>
        <v>3.7</v>
      </c>
      <c r="U292" s="18" t="s">
        <v>62</v>
      </c>
      <c r="V292" s="18" t="s">
        <v>63</v>
      </c>
    </row>
    <row r="293" customFormat="false" ht="15" hidden="false" customHeight="false" outlineLevel="0" collapsed="false">
      <c r="A293" s="19" t="n">
        <v>289</v>
      </c>
      <c r="B293" s="20" t="s">
        <v>510</v>
      </c>
      <c r="C293" s="21" t="s">
        <v>92</v>
      </c>
      <c r="D293" s="21" t="s">
        <v>205</v>
      </c>
      <c r="E293" s="19" t="n">
        <v>11</v>
      </c>
      <c r="F293" s="19" t="n">
        <v>1</v>
      </c>
      <c r="G293" s="19" t="n">
        <v>3</v>
      </c>
      <c r="H293" s="19" t="s">
        <v>66</v>
      </c>
      <c r="I293" s="19" t="s">
        <v>60</v>
      </c>
      <c r="J293" s="21" t="s">
        <v>511</v>
      </c>
      <c r="K293" s="15" t="n">
        <v>1</v>
      </c>
      <c r="L293" s="15" t="n">
        <v>2</v>
      </c>
      <c r="M293" s="15" t="n">
        <v>4</v>
      </c>
      <c r="N293" s="15" t="n">
        <v>10</v>
      </c>
      <c r="O293" s="15" t="n">
        <v>7</v>
      </c>
      <c r="P293" s="15" t="n">
        <v>1</v>
      </c>
      <c r="Q293" s="15" t="n">
        <v>6</v>
      </c>
      <c r="R293" s="16" t="n">
        <f aca="false">ROUND(K293*0.55+L293*0.25+M293*0.2,1)</f>
        <v>1.9</v>
      </c>
      <c r="S293" s="16" t="n">
        <f aca="false">ROUND(N293*0.35+O293*0.25+P293*0.25+Q293*0.15,1)</f>
        <v>6.4</v>
      </c>
      <c r="T293" s="17" t="n">
        <f aca="false">ROUND(R293*'Como ler'!$B$5+S293*'Como ler'!$B$6,1)</f>
        <v>3.9</v>
      </c>
      <c r="U293" s="18" t="s">
        <v>62</v>
      </c>
      <c r="V293" s="18" t="s">
        <v>63</v>
      </c>
    </row>
    <row r="294" customFormat="false" ht="15" hidden="false" customHeight="false" outlineLevel="0" collapsed="false">
      <c r="A294" s="19" t="n">
        <v>290</v>
      </c>
      <c r="B294" s="20" t="s">
        <v>187</v>
      </c>
      <c r="C294" s="21" t="s">
        <v>87</v>
      </c>
      <c r="D294" s="21" t="s">
        <v>58</v>
      </c>
      <c r="E294" s="19" t="n">
        <v>10</v>
      </c>
      <c r="F294" s="19" t="n">
        <v>1</v>
      </c>
      <c r="G294" s="19" t="n">
        <v>1</v>
      </c>
      <c r="H294" s="19" t="s">
        <v>59</v>
      </c>
      <c r="I294" s="19" t="s">
        <v>60</v>
      </c>
      <c r="J294" s="21" t="s">
        <v>188</v>
      </c>
      <c r="K294" s="15" t="n">
        <v>1</v>
      </c>
      <c r="L294" s="15" t="n">
        <v>2</v>
      </c>
      <c r="M294" s="15" t="n">
        <v>2</v>
      </c>
      <c r="N294" s="15" t="n">
        <v>10</v>
      </c>
      <c r="O294" s="15" t="n">
        <v>7</v>
      </c>
      <c r="P294" s="15" t="n">
        <v>10</v>
      </c>
      <c r="Q294" s="15" t="n">
        <v>9</v>
      </c>
      <c r="R294" s="16" t="n">
        <f aca="false">ROUND(K294*0.55+L294*0.25+M294*0.2,1)</f>
        <v>1.5</v>
      </c>
      <c r="S294" s="16" t="n">
        <f aca="false">ROUND(N294*0.35+O294*0.25+P294*0.25+Q294*0.15,1)</f>
        <v>9.1</v>
      </c>
      <c r="T294" s="17" t="n">
        <f aca="false">ROUND(R294*'Como ler'!$B$5+S294*'Como ler'!$B$6,1)</f>
        <v>4.9</v>
      </c>
      <c r="U294" s="18" t="s">
        <v>62</v>
      </c>
      <c r="V294" s="18" t="s">
        <v>63</v>
      </c>
    </row>
    <row r="295" customFormat="false" ht="15" hidden="false" customHeight="false" outlineLevel="0" collapsed="false">
      <c r="A295" s="19" t="n">
        <v>291</v>
      </c>
      <c r="B295" s="20" t="s">
        <v>182</v>
      </c>
      <c r="C295" s="21" t="s">
        <v>92</v>
      </c>
      <c r="D295" s="21" t="s">
        <v>58</v>
      </c>
      <c r="E295" s="19" t="n">
        <v>10</v>
      </c>
      <c r="F295" s="19" t="n">
        <v>1</v>
      </c>
      <c r="G295" s="19" t="n">
        <v>1</v>
      </c>
      <c r="H295" s="19" t="s">
        <v>59</v>
      </c>
      <c r="I295" s="19" t="s">
        <v>60</v>
      </c>
      <c r="J295" s="21" t="s">
        <v>183</v>
      </c>
      <c r="K295" s="15" t="n">
        <v>1</v>
      </c>
      <c r="L295" s="15" t="n">
        <v>2</v>
      </c>
      <c r="M295" s="15" t="n">
        <v>2</v>
      </c>
      <c r="N295" s="15" t="n">
        <v>10</v>
      </c>
      <c r="O295" s="15" t="n">
        <v>10</v>
      </c>
      <c r="P295" s="15" t="n">
        <v>10</v>
      </c>
      <c r="Q295" s="15" t="n">
        <v>9</v>
      </c>
      <c r="R295" s="16" t="n">
        <f aca="false">ROUND(K295*0.55+L295*0.25+M295*0.2,1)</f>
        <v>1.5</v>
      </c>
      <c r="S295" s="16" t="n">
        <f aca="false">ROUND(N295*0.35+O295*0.25+P295*0.25+Q295*0.15,1)</f>
        <v>9.9</v>
      </c>
      <c r="T295" s="17" t="n">
        <f aca="false">ROUND(R295*'Como ler'!$B$5+S295*'Como ler'!$B$6,1)</f>
        <v>5.3</v>
      </c>
      <c r="U295" s="18" t="s">
        <v>62</v>
      </c>
      <c r="V295" s="18" t="s">
        <v>63</v>
      </c>
    </row>
    <row r="296" customFormat="false" ht="15" hidden="false" customHeight="false" outlineLevel="0" collapsed="false">
      <c r="A296" s="19" t="n">
        <v>292</v>
      </c>
      <c r="B296" s="20" t="s">
        <v>512</v>
      </c>
      <c r="C296" s="21" t="s">
        <v>92</v>
      </c>
      <c r="D296" s="21" t="s">
        <v>229</v>
      </c>
      <c r="E296" s="19" t="n">
        <v>9</v>
      </c>
      <c r="F296" s="19" t="n">
        <v>1</v>
      </c>
      <c r="G296" s="19" t="n">
        <v>1</v>
      </c>
      <c r="H296" s="19" t="s">
        <v>66</v>
      </c>
      <c r="I296" s="19" t="s">
        <v>140</v>
      </c>
      <c r="J296" s="21" t="s">
        <v>141</v>
      </c>
      <c r="K296" s="15" t="n">
        <v>1</v>
      </c>
      <c r="L296" s="15" t="n">
        <v>2</v>
      </c>
      <c r="M296" s="15" t="n">
        <v>2</v>
      </c>
      <c r="N296" s="15" t="n">
        <v>3</v>
      </c>
      <c r="O296" s="15" t="n">
        <v>4</v>
      </c>
      <c r="P296" s="15" t="n">
        <v>1</v>
      </c>
      <c r="Q296" s="15" t="n">
        <v>6</v>
      </c>
      <c r="R296" s="16" t="n">
        <f aca="false">ROUND(K296*0.55+L296*0.25+M296*0.2,1)</f>
        <v>1.5</v>
      </c>
      <c r="S296" s="16" t="n">
        <f aca="false">ROUND(N296*0.35+O296*0.25+P296*0.25+Q296*0.15,1)</f>
        <v>3.2</v>
      </c>
      <c r="T296" s="17" t="n">
        <f aca="false">ROUND(R296*'Como ler'!$B$5+S296*'Como ler'!$B$6,1)</f>
        <v>2.3</v>
      </c>
      <c r="U296" s="18" t="s">
        <v>62</v>
      </c>
      <c r="V296" s="18" t="s">
        <v>63</v>
      </c>
    </row>
    <row r="297" customFormat="false" ht="15" hidden="false" customHeight="false" outlineLevel="0" collapsed="false">
      <c r="A297" s="19" t="n">
        <v>293</v>
      </c>
      <c r="B297" s="20" t="s">
        <v>513</v>
      </c>
      <c r="C297" s="21" t="s">
        <v>92</v>
      </c>
      <c r="D297" s="21" t="s">
        <v>229</v>
      </c>
      <c r="E297" s="19" t="n">
        <v>9</v>
      </c>
      <c r="F297" s="19" t="n">
        <v>1</v>
      </c>
      <c r="G297" s="19" t="n">
        <v>3</v>
      </c>
      <c r="H297" s="19" t="s">
        <v>66</v>
      </c>
      <c r="I297" s="19" t="s">
        <v>210</v>
      </c>
      <c r="J297" s="21" t="s">
        <v>211</v>
      </c>
      <c r="K297" s="15" t="n">
        <v>1</v>
      </c>
      <c r="L297" s="15" t="n">
        <v>2</v>
      </c>
      <c r="M297" s="15" t="n">
        <v>4</v>
      </c>
      <c r="N297" s="15" t="n">
        <v>3</v>
      </c>
      <c r="O297" s="15" t="n">
        <v>4</v>
      </c>
      <c r="P297" s="15" t="n">
        <v>1</v>
      </c>
      <c r="Q297" s="15" t="n">
        <v>6</v>
      </c>
      <c r="R297" s="16" t="n">
        <f aca="false">ROUND(K297*0.55+L297*0.25+M297*0.2,1)</f>
        <v>1.9</v>
      </c>
      <c r="S297" s="16" t="n">
        <f aca="false">ROUND(N297*0.35+O297*0.25+P297*0.25+Q297*0.15,1)</f>
        <v>3.2</v>
      </c>
      <c r="T297" s="17" t="n">
        <f aca="false">ROUND(R297*'Como ler'!$B$5+S297*'Como ler'!$B$6,1)</f>
        <v>2.5</v>
      </c>
      <c r="U297" s="18" t="s">
        <v>62</v>
      </c>
      <c r="V297" s="22" t="s">
        <v>211</v>
      </c>
    </row>
    <row r="298" customFormat="false" ht="15" hidden="false" customHeight="false" outlineLevel="0" collapsed="false">
      <c r="A298" s="19" t="n">
        <v>294</v>
      </c>
      <c r="B298" s="20" t="s">
        <v>514</v>
      </c>
      <c r="C298" s="21" t="s">
        <v>92</v>
      </c>
      <c r="D298" s="21" t="s">
        <v>205</v>
      </c>
      <c r="E298" s="19" t="n">
        <v>9</v>
      </c>
      <c r="F298" s="19" t="n">
        <v>1</v>
      </c>
      <c r="G298" s="19" t="n">
        <v>1</v>
      </c>
      <c r="H298" s="19" t="s">
        <v>59</v>
      </c>
      <c r="I298" s="19" t="s">
        <v>60</v>
      </c>
      <c r="J298" s="21" t="s">
        <v>515</v>
      </c>
      <c r="K298" s="15" t="n">
        <v>1</v>
      </c>
      <c r="L298" s="15" t="n">
        <v>2</v>
      </c>
      <c r="M298" s="15" t="n">
        <v>2</v>
      </c>
      <c r="N298" s="15" t="n">
        <v>10</v>
      </c>
      <c r="O298" s="15" t="n">
        <v>7</v>
      </c>
      <c r="P298" s="15" t="n">
        <v>1</v>
      </c>
      <c r="Q298" s="15" t="n">
        <v>9</v>
      </c>
      <c r="R298" s="16" t="n">
        <f aca="false">ROUND(K298*0.55+L298*0.25+M298*0.2,1)</f>
        <v>1.5</v>
      </c>
      <c r="S298" s="16" t="n">
        <f aca="false">ROUND(N298*0.35+O298*0.25+P298*0.25+Q298*0.15,1)</f>
        <v>6.9</v>
      </c>
      <c r="T298" s="17" t="n">
        <f aca="false">ROUND(R298*'Como ler'!$B$5+S298*'Como ler'!$B$6,1)</f>
        <v>3.9</v>
      </c>
      <c r="U298" s="18" t="s">
        <v>62</v>
      </c>
      <c r="V298" s="18" t="s">
        <v>63</v>
      </c>
    </row>
    <row r="299" customFormat="false" ht="15" hidden="false" customHeight="false" outlineLevel="0" collapsed="false">
      <c r="A299" s="19" t="n">
        <v>295</v>
      </c>
      <c r="B299" s="20" t="s">
        <v>516</v>
      </c>
      <c r="C299" s="21" t="s">
        <v>92</v>
      </c>
      <c r="D299" s="21" t="s">
        <v>229</v>
      </c>
      <c r="E299" s="19" t="n">
        <v>9</v>
      </c>
      <c r="F299" s="19" t="n">
        <v>1</v>
      </c>
      <c r="G299" s="19" t="n">
        <v>3</v>
      </c>
      <c r="H299" s="19" t="s">
        <v>59</v>
      </c>
      <c r="I299" s="19" t="s">
        <v>140</v>
      </c>
      <c r="J299" s="21" t="s">
        <v>141</v>
      </c>
      <c r="K299" s="15" t="n">
        <v>1</v>
      </c>
      <c r="L299" s="15" t="n">
        <v>2</v>
      </c>
      <c r="M299" s="15" t="n">
        <v>4</v>
      </c>
      <c r="N299" s="15" t="n">
        <v>3</v>
      </c>
      <c r="O299" s="15" t="n">
        <v>4</v>
      </c>
      <c r="P299" s="15" t="n">
        <v>1</v>
      </c>
      <c r="Q299" s="15" t="n">
        <v>9</v>
      </c>
      <c r="R299" s="16" t="n">
        <f aca="false">ROUND(K299*0.55+L299*0.25+M299*0.2,1)</f>
        <v>1.9</v>
      </c>
      <c r="S299" s="16" t="n">
        <f aca="false">ROUND(N299*0.35+O299*0.25+P299*0.25+Q299*0.15,1)</f>
        <v>3.7</v>
      </c>
      <c r="T299" s="17" t="n">
        <f aca="false">ROUND(R299*'Como ler'!$B$5+S299*'Como ler'!$B$6,1)</f>
        <v>2.7</v>
      </c>
      <c r="U299" s="18" t="s">
        <v>62</v>
      </c>
      <c r="V299" s="18" t="s">
        <v>63</v>
      </c>
    </row>
    <row r="300" customFormat="false" ht="15" hidden="false" customHeight="false" outlineLevel="0" collapsed="false">
      <c r="A300" s="19" t="n">
        <v>296</v>
      </c>
      <c r="B300" s="20" t="s">
        <v>517</v>
      </c>
      <c r="C300" s="21" t="s">
        <v>92</v>
      </c>
      <c r="D300" s="21" t="s">
        <v>205</v>
      </c>
      <c r="E300" s="19" t="n">
        <v>9</v>
      </c>
      <c r="F300" s="19" t="n">
        <v>1</v>
      </c>
      <c r="G300" s="19" t="n">
        <v>1</v>
      </c>
      <c r="H300" s="19" t="s">
        <v>59</v>
      </c>
      <c r="I300" s="19" t="s">
        <v>167</v>
      </c>
      <c r="J300" s="21" t="s">
        <v>168</v>
      </c>
      <c r="K300" s="15" t="n">
        <v>1</v>
      </c>
      <c r="L300" s="15" t="n">
        <v>2</v>
      </c>
      <c r="M300" s="15" t="n">
        <v>2</v>
      </c>
      <c r="N300" s="15" t="n">
        <v>3</v>
      </c>
      <c r="O300" s="15" t="n">
        <v>4</v>
      </c>
      <c r="P300" s="15" t="n">
        <v>1</v>
      </c>
      <c r="Q300" s="15" t="n">
        <v>9</v>
      </c>
      <c r="R300" s="16" t="n">
        <f aca="false">ROUND(K300*0.55+L300*0.25+M300*0.2,1)</f>
        <v>1.5</v>
      </c>
      <c r="S300" s="16" t="n">
        <f aca="false">ROUND(N300*0.35+O300*0.25+P300*0.25+Q300*0.15,1)</f>
        <v>3.7</v>
      </c>
      <c r="T300" s="17" t="n">
        <f aca="false">ROUND(R300*'Como ler'!$B$5+S300*'Como ler'!$B$6,1)</f>
        <v>2.5</v>
      </c>
      <c r="U300" s="18" t="s">
        <v>62</v>
      </c>
      <c r="V300" s="18" t="s">
        <v>63</v>
      </c>
    </row>
    <row r="301" customFormat="false" ht="15" hidden="false" customHeight="false" outlineLevel="0" collapsed="false">
      <c r="A301" s="19" t="n">
        <v>297</v>
      </c>
      <c r="B301" s="20" t="s">
        <v>518</v>
      </c>
      <c r="C301" s="21" t="s">
        <v>92</v>
      </c>
      <c r="D301" s="21" t="s">
        <v>205</v>
      </c>
      <c r="E301" s="19" t="n">
        <v>9</v>
      </c>
      <c r="F301" s="19" t="n">
        <v>1</v>
      </c>
      <c r="G301" s="19" t="n">
        <v>1</v>
      </c>
      <c r="H301" s="19" t="s">
        <v>66</v>
      </c>
      <c r="I301" s="19" t="s">
        <v>60</v>
      </c>
      <c r="J301" s="21" t="s">
        <v>519</v>
      </c>
      <c r="K301" s="15" t="n">
        <v>1</v>
      </c>
      <c r="L301" s="15" t="n">
        <v>2</v>
      </c>
      <c r="M301" s="15" t="n">
        <v>2</v>
      </c>
      <c r="N301" s="15" t="n">
        <v>10</v>
      </c>
      <c r="O301" s="15" t="n">
        <v>7</v>
      </c>
      <c r="P301" s="15" t="n">
        <v>1</v>
      </c>
      <c r="Q301" s="15" t="n">
        <v>6</v>
      </c>
      <c r="R301" s="16" t="n">
        <f aca="false">ROUND(K301*0.55+L301*0.25+M301*0.2,1)</f>
        <v>1.5</v>
      </c>
      <c r="S301" s="16" t="n">
        <f aca="false">ROUND(N301*0.35+O301*0.25+P301*0.25+Q301*0.15,1)</f>
        <v>6.4</v>
      </c>
      <c r="T301" s="17" t="n">
        <f aca="false">ROUND(R301*'Como ler'!$B$5+S301*'Como ler'!$B$6,1)</f>
        <v>3.7</v>
      </c>
      <c r="U301" s="18" t="s">
        <v>62</v>
      </c>
      <c r="V301" s="18" t="s">
        <v>63</v>
      </c>
    </row>
    <row r="302" customFormat="false" ht="15" hidden="false" customHeight="false" outlineLevel="0" collapsed="false">
      <c r="A302" s="19" t="n">
        <v>298</v>
      </c>
      <c r="B302" s="20" t="s">
        <v>520</v>
      </c>
      <c r="C302" s="21" t="s">
        <v>92</v>
      </c>
      <c r="D302" s="21" t="s">
        <v>205</v>
      </c>
      <c r="E302" s="19" t="n">
        <v>8</v>
      </c>
      <c r="F302" s="19" t="n">
        <v>1</v>
      </c>
      <c r="G302" s="19" t="n">
        <v>4</v>
      </c>
      <c r="H302" s="19" t="s">
        <v>59</v>
      </c>
      <c r="I302" s="19" t="s">
        <v>60</v>
      </c>
      <c r="J302" s="21" t="s">
        <v>521</v>
      </c>
      <c r="K302" s="15" t="n">
        <v>1</v>
      </c>
      <c r="L302" s="15" t="n">
        <v>2</v>
      </c>
      <c r="M302" s="15" t="n">
        <v>6</v>
      </c>
      <c r="N302" s="15" t="n">
        <v>10</v>
      </c>
      <c r="O302" s="15" t="n">
        <v>7</v>
      </c>
      <c r="P302" s="15" t="n">
        <v>1</v>
      </c>
      <c r="Q302" s="15" t="n">
        <v>9</v>
      </c>
      <c r="R302" s="16" t="n">
        <f aca="false">ROUND(K302*0.55+L302*0.25+M302*0.2,1)</f>
        <v>2.3</v>
      </c>
      <c r="S302" s="16" t="n">
        <f aca="false">ROUND(N302*0.35+O302*0.25+P302*0.25+Q302*0.15,1)</f>
        <v>6.9</v>
      </c>
      <c r="T302" s="17" t="n">
        <f aca="false">ROUND(R302*'Como ler'!$B$5+S302*'Como ler'!$B$6,1)</f>
        <v>4.4</v>
      </c>
      <c r="U302" s="18" t="s">
        <v>62</v>
      </c>
      <c r="V302" s="18" t="s">
        <v>63</v>
      </c>
    </row>
    <row r="303" customFormat="false" ht="15" hidden="false" customHeight="false" outlineLevel="0" collapsed="false">
      <c r="A303" s="19" t="n">
        <v>299</v>
      </c>
      <c r="B303" s="20" t="s">
        <v>522</v>
      </c>
      <c r="C303" s="21" t="s">
        <v>92</v>
      </c>
      <c r="D303" s="21" t="s">
        <v>229</v>
      </c>
      <c r="E303" s="19" t="n">
        <v>8</v>
      </c>
      <c r="F303" s="19" t="n">
        <v>1</v>
      </c>
      <c r="G303" s="19" t="n">
        <v>2</v>
      </c>
      <c r="H303" s="19" t="s">
        <v>66</v>
      </c>
      <c r="I303" s="19" t="s">
        <v>140</v>
      </c>
      <c r="J303" s="21" t="s">
        <v>141</v>
      </c>
      <c r="K303" s="15" t="n">
        <v>1</v>
      </c>
      <c r="L303" s="15" t="n">
        <v>2</v>
      </c>
      <c r="M303" s="15" t="n">
        <v>4</v>
      </c>
      <c r="N303" s="15" t="n">
        <v>3</v>
      </c>
      <c r="O303" s="15" t="n">
        <v>4</v>
      </c>
      <c r="P303" s="15" t="n">
        <v>1</v>
      </c>
      <c r="Q303" s="15" t="n">
        <v>6</v>
      </c>
      <c r="R303" s="16" t="n">
        <f aca="false">ROUND(K303*0.55+L303*0.25+M303*0.2,1)</f>
        <v>1.9</v>
      </c>
      <c r="S303" s="16" t="n">
        <f aca="false">ROUND(N303*0.35+O303*0.25+P303*0.25+Q303*0.15,1)</f>
        <v>3.2</v>
      </c>
      <c r="T303" s="17" t="n">
        <f aca="false">ROUND(R303*'Como ler'!$B$5+S303*'Como ler'!$B$6,1)</f>
        <v>2.5</v>
      </c>
      <c r="U303" s="18" t="s">
        <v>62</v>
      </c>
      <c r="V303" s="18" t="s">
        <v>63</v>
      </c>
    </row>
    <row r="304" customFormat="false" ht="15" hidden="false" customHeight="false" outlineLevel="0" collapsed="false">
      <c r="A304" s="19" t="n">
        <v>300</v>
      </c>
      <c r="B304" s="20" t="s">
        <v>523</v>
      </c>
      <c r="C304" s="21" t="s">
        <v>92</v>
      </c>
      <c r="D304" s="21" t="s">
        <v>229</v>
      </c>
      <c r="E304" s="19" t="n">
        <v>8</v>
      </c>
      <c r="F304" s="19" t="n">
        <v>1</v>
      </c>
      <c r="G304" s="19" t="n">
        <v>1</v>
      </c>
      <c r="H304" s="19" t="s">
        <v>66</v>
      </c>
      <c r="I304" s="19" t="s">
        <v>140</v>
      </c>
      <c r="J304" s="21" t="s">
        <v>141</v>
      </c>
      <c r="K304" s="15" t="n">
        <v>1</v>
      </c>
      <c r="L304" s="15" t="n">
        <v>2</v>
      </c>
      <c r="M304" s="15" t="n">
        <v>2</v>
      </c>
      <c r="N304" s="15" t="n">
        <v>3</v>
      </c>
      <c r="O304" s="15" t="n">
        <v>4</v>
      </c>
      <c r="P304" s="15" t="n">
        <v>1</v>
      </c>
      <c r="Q304" s="15" t="n">
        <v>6</v>
      </c>
      <c r="R304" s="16" t="n">
        <f aca="false">ROUND(K304*0.55+L304*0.25+M304*0.2,1)</f>
        <v>1.5</v>
      </c>
      <c r="S304" s="16" t="n">
        <f aca="false">ROUND(N304*0.35+O304*0.25+P304*0.25+Q304*0.15,1)</f>
        <v>3.2</v>
      </c>
      <c r="T304" s="17" t="n">
        <f aca="false">ROUND(R304*'Como ler'!$B$5+S304*'Como ler'!$B$6,1)</f>
        <v>2.3</v>
      </c>
      <c r="U304" s="18" t="s">
        <v>62</v>
      </c>
      <c r="V304" s="18" t="s">
        <v>63</v>
      </c>
    </row>
    <row r="305" customFormat="false" ht="15" hidden="false" customHeight="false" outlineLevel="0" collapsed="false">
      <c r="A305" s="19" t="n">
        <v>301</v>
      </c>
      <c r="B305" s="20" t="s">
        <v>524</v>
      </c>
      <c r="C305" s="21" t="s">
        <v>92</v>
      </c>
      <c r="D305" s="21" t="s">
        <v>233</v>
      </c>
      <c r="E305" s="19" t="n">
        <v>8</v>
      </c>
      <c r="F305" s="19" t="n">
        <v>1</v>
      </c>
      <c r="G305" s="19" t="n">
        <v>1</v>
      </c>
      <c r="H305" s="19" t="s">
        <v>115</v>
      </c>
      <c r="I305" s="19" t="s">
        <v>60</v>
      </c>
      <c r="J305" s="21" t="s">
        <v>525</v>
      </c>
      <c r="K305" s="15" t="n">
        <v>1</v>
      </c>
      <c r="L305" s="15" t="n">
        <v>2</v>
      </c>
      <c r="M305" s="15" t="n">
        <v>2</v>
      </c>
      <c r="N305" s="15" t="n">
        <v>10</v>
      </c>
      <c r="O305" s="15" t="n">
        <v>7</v>
      </c>
      <c r="P305" s="15" t="n">
        <v>3</v>
      </c>
      <c r="Q305" s="15" t="n">
        <v>6</v>
      </c>
      <c r="R305" s="16" t="n">
        <f aca="false">ROUND(K305*0.55+L305*0.25+M305*0.2,1)</f>
        <v>1.5</v>
      </c>
      <c r="S305" s="16" t="n">
        <f aca="false">ROUND(N305*0.35+O305*0.25+P305*0.25+Q305*0.15,1)</f>
        <v>6.9</v>
      </c>
      <c r="T305" s="17" t="n">
        <f aca="false">ROUND(R305*'Como ler'!$B$5+S305*'Como ler'!$B$6,1)</f>
        <v>3.9</v>
      </c>
      <c r="U305" s="18" t="s">
        <v>62</v>
      </c>
      <c r="V305" s="18" t="s">
        <v>63</v>
      </c>
    </row>
    <row r="306" customFormat="false" ht="15" hidden="false" customHeight="false" outlineLevel="0" collapsed="false">
      <c r="A306" s="19" t="n">
        <v>302</v>
      </c>
      <c r="B306" s="20" t="s">
        <v>526</v>
      </c>
      <c r="C306" s="21" t="s">
        <v>92</v>
      </c>
      <c r="D306" s="21" t="s">
        <v>205</v>
      </c>
      <c r="E306" s="19" t="n">
        <v>7</v>
      </c>
      <c r="F306" s="19" t="n">
        <v>1</v>
      </c>
      <c r="G306" s="19" t="n">
        <v>1</v>
      </c>
      <c r="H306" s="19" t="s">
        <v>59</v>
      </c>
      <c r="I306" s="19" t="s">
        <v>60</v>
      </c>
      <c r="J306" s="21" t="s">
        <v>527</v>
      </c>
      <c r="K306" s="15" t="n">
        <v>1</v>
      </c>
      <c r="L306" s="15" t="n">
        <v>2</v>
      </c>
      <c r="M306" s="15" t="n">
        <v>2</v>
      </c>
      <c r="N306" s="15" t="n">
        <v>10</v>
      </c>
      <c r="O306" s="15" t="n">
        <v>7</v>
      </c>
      <c r="P306" s="15" t="n">
        <v>1</v>
      </c>
      <c r="Q306" s="15" t="n">
        <v>9</v>
      </c>
      <c r="R306" s="16" t="n">
        <f aca="false">ROUND(K306*0.55+L306*0.25+M306*0.2,1)</f>
        <v>1.5</v>
      </c>
      <c r="S306" s="16" t="n">
        <f aca="false">ROUND(N306*0.35+O306*0.25+P306*0.25+Q306*0.15,1)</f>
        <v>6.9</v>
      </c>
      <c r="T306" s="17" t="n">
        <f aca="false">ROUND(R306*'Como ler'!$B$5+S306*'Como ler'!$B$6,1)</f>
        <v>3.9</v>
      </c>
      <c r="U306" s="18" t="s">
        <v>62</v>
      </c>
      <c r="V306" s="18" t="s">
        <v>63</v>
      </c>
    </row>
    <row r="307" customFormat="false" ht="15" hidden="false" customHeight="false" outlineLevel="0" collapsed="false">
      <c r="A307" s="19" t="n">
        <v>303</v>
      </c>
      <c r="B307" s="20" t="s">
        <v>185</v>
      </c>
      <c r="C307" s="21" t="s">
        <v>74</v>
      </c>
      <c r="D307" s="21" t="s">
        <v>58</v>
      </c>
      <c r="E307" s="19" t="n">
        <v>7</v>
      </c>
      <c r="F307" s="19" t="n">
        <v>1</v>
      </c>
      <c r="G307" s="19" t="n">
        <v>2</v>
      </c>
      <c r="H307" s="19" t="s">
        <v>59</v>
      </c>
      <c r="I307" s="19" t="s">
        <v>60</v>
      </c>
      <c r="J307" s="21" t="s">
        <v>186</v>
      </c>
      <c r="K307" s="15" t="n">
        <v>1</v>
      </c>
      <c r="L307" s="15" t="n">
        <v>2</v>
      </c>
      <c r="M307" s="15" t="n">
        <v>4</v>
      </c>
      <c r="N307" s="15" t="n">
        <v>10</v>
      </c>
      <c r="O307" s="15" t="n">
        <v>7</v>
      </c>
      <c r="P307" s="15" t="n">
        <v>10</v>
      </c>
      <c r="Q307" s="15" t="n">
        <v>9</v>
      </c>
      <c r="R307" s="16" t="n">
        <f aca="false">ROUND(K307*0.55+L307*0.25+M307*0.2,1)</f>
        <v>1.9</v>
      </c>
      <c r="S307" s="16" t="n">
        <f aca="false">ROUND(N307*0.35+O307*0.25+P307*0.25+Q307*0.15,1)</f>
        <v>9.1</v>
      </c>
      <c r="T307" s="17" t="n">
        <f aca="false">ROUND(R307*'Como ler'!$B$5+S307*'Como ler'!$B$6,1)</f>
        <v>5.1</v>
      </c>
      <c r="U307" s="18" t="s">
        <v>62</v>
      </c>
      <c r="V307" s="18" t="s">
        <v>63</v>
      </c>
    </row>
    <row r="308" customFormat="false" ht="15" hidden="false" customHeight="false" outlineLevel="0" collapsed="false">
      <c r="A308" s="19" t="n">
        <v>304</v>
      </c>
      <c r="B308" s="20" t="s">
        <v>528</v>
      </c>
      <c r="C308" s="21" t="s">
        <v>69</v>
      </c>
      <c r="D308" s="21" t="s">
        <v>205</v>
      </c>
      <c r="E308" s="19" t="n">
        <v>7</v>
      </c>
      <c r="F308" s="19" t="n">
        <v>1</v>
      </c>
      <c r="G308" s="19" t="n">
        <v>2</v>
      </c>
      <c r="H308" s="19" t="s">
        <v>66</v>
      </c>
      <c r="I308" s="19" t="s">
        <v>60</v>
      </c>
      <c r="J308" s="21" t="s">
        <v>529</v>
      </c>
      <c r="K308" s="15" t="n">
        <v>1</v>
      </c>
      <c r="L308" s="15" t="n">
        <v>2</v>
      </c>
      <c r="M308" s="15" t="n">
        <v>4</v>
      </c>
      <c r="N308" s="15" t="n">
        <v>10</v>
      </c>
      <c r="O308" s="15" t="n">
        <v>7</v>
      </c>
      <c r="P308" s="15" t="n">
        <v>1</v>
      </c>
      <c r="Q308" s="15" t="n">
        <v>6</v>
      </c>
      <c r="R308" s="16" t="n">
        <f aca="false">ROUND(K308*0.55+L308*0.25+M308*0.2,1)</f>
        <v>1.9</v>
      </c>
      <c r="S308" s="16" t="n">
        <f aca="false">ROUND(N308*0.35+O308*0.25+P308*0.25+Q308*0.15,1)</f>
        <v>6.4</v>
      </c>
      <c r="T308" s="17" t="n">
        <f aca="false">ROUND(R308*'Como ler'!$B$5+S308*'Como ler'!$B$6,1)</f>
        <v>3.9</v>
      </c>
      <c r="U308" s="18" t="s">
        <v>62</v>
      </c>
      <c r="V308" s="18" t="s">
        <v>63</v>
      </c>
    </row>
    <row r="309" customFormat="false" ht="15" hidden="false" customHeight="false" outlineLevel="0" collapsed="false">
      <c r="A309" s="19" t="n">
        <v>305</v>
      </c>
      <c r="B309" s="20" t="s">
        <v>530</v>
      </c>
      <c r="C309" s="21" t="s">
        <v>92</v>
      </c>
      <c r="D309" s="21" t="s">
        <v>205</v>
      </c>
      <c r="E309" s="19" t="n">
        <v>7</v>
      </c>
      <c r="F309" s="19" t="n">
        <v>1</v>
      </c>
      <c r="G309" s="19" t="n">
        <v>1</v>
      </c>
      <c r="H309" s="19" t="s">
        <v>66</v>
      </c>
      <c r="I309" s="19" t="s">
        <v>149</v>
      </c>
      <c r="J309" s="21" t="s">
        <v>411</v>
      </c>
      <c r="K309" s="15" t="n">
        <v>1</v>
      </c>
      <c r="L309" s="15" t="n">
        <v>2</v>
      </c>
      <c r="M309" s="15" t="n">
        <v>2</v>
      </c>
      <c r="N309" s="15" t="n">
        <v>3</v>
      </c>
      <c r="O309" s="15" t="n">
        <v>4</v>
      </c>
      <c r="P309" s="15" t="n">
        <v>1</v>
      </c>
      <c r="Q309" s="15" t="n">
        <v>6</v>
      </c>
      <c r="R309" s="16" t="n">
        <f aca="false">ROUND(K309*0.55+L309*0.25+M309*0.2,1)</f>
        <v>1.5</v>
      </c>
      <c r="S309" s="16" t="n">
        <f aca="false">ROUND(N309*0.35+O309*0.25+P309*0.25+Q309*0.15,1)</f>
        <v>3.2</v>
      </c>
      <c r="T309" s="17" t="n">
        <f aca="false">ROUND(R309*'Como ler'!$B$5+S309*'Como ler'!$B$6,1)</f>
        <v>2.3</v>
      </c>
      <c r="U309" s="18" t="s">
        <v>62</v>
      </c>
      <c r="V309" s="18" t="s">
        <v>63</v>
      </c>
    </row>
    <row r="310" customFormat="false" ht="15" hidden="false" customHeight="false" outlineLevel="0" collapsed="false">
      <c r="A310" s="19" t="n">
        <v>306</v>
      </c>
      <c r="B310" s="20" t="s">
        <v>531</v>
      </c>
      <c r="C310" s="21" t="s">
        <v>92</v>
      </c>
      <c r="D310" s="21" t="s">
        <v>205</v>
      </c>
      <c r="E310" s="19" t="n">
        <v>7</v>
      </c>
      <c r="F310" s="19" t="n">
        <v>1</v>
      </c>
      <c r="G310" s="19" t="n">
        <v>1</v>
      </c>
      <c r="H310" s="19" t="s">
        <v>66</v>
      </c>
      <c r="I310" s="19" t="s">
        <v>60</v>
      </c>
      <c r="J310" s="21" t="s">
        <v>532</v>
      </c>
      <c r="K310" s="15" t="n">
        <v>1</v>
      </c>
      <c r="L310" s="15" t="n">
        <v>2</v>
      </c>
      <c r="M310" s="15" t="n">
        <v>2</v>
      </c>
      <c r="N310" s="15" t="n">
        <v>10</v>
      </c>
      <c r="O310" s="15" t="n">
        <v>7</v>
      </c>
      <c r="P310" s="15" t="n">
        <v>1</v>
      </c>
      <c r="Q310" s="15" t="n">
        <v>6</v>
      </c>
      <c r="R310" s="16" t="n">
        <f aca="false">ROUND(K310*0.55+L310*0.25+M310*0.2,1)</f>
        <v>1.5</v>
      </c>
      <c r="S310" s="16" t="n">
        <f aca="false">ROUND(N310*0.35+O310*0.25+P310*0.25+Q310*0.15,1)</f>
        <v>6.4</v>
      </c>
      <c r="T310" s="17" t="n">
        <f aca="false">ROUND(R310*'Como ler'!$B$5+S310*'Como ler'!$B$6,1)</f>
        <v>3.7</v>
      </c>
      <c r="U310" s="18" t="s">
        <v>62</v>
      </c>
      <c r="V310" s="18" t="s">
        <v>63</v>
      </c>
    </row>
    <row r="311" customFormat="false" ht="15" hidden="false" customHeight="false" outlineLevel="0" collapsed="false">
      <c r="A311" s="19" t="n">
        <v>307</v>
      </c>
      <c r="B311" s="20" t="s">
        <v>533</v>
      </c>
      <c r="C311" s="21" t="s">
        <v>92</v>
      </c>
      <c r="D311" s="21" t="s">
        <v>208</v>
      </c>
      <c r="E311" s="19" t="n">
        <v>7</v>
      </c>
      <c r="F311" s="19" t="n">
        <v>1</v>
      </c>
      <c r="G311" s="19" t="n">
        <v>1</v>
      </c>
      <c r="H311" s="19" t="s">
        <v>66</v>
      </c>
      <c r="I311" s="19" t="s">
        <v>140</v>
      </c>
      <c r="J311" s="21" t="s">
        <v>141</v>
      </c>
      <c r="K311" s="15" t="n">
        <v>1</v>
      </c>
      <c r="L311" s="15" t="n">
        <v>2</v>
      </c>
      <c r="M311" s="15" t="n">
        <v>2</v>
      </c>
      <c r="N311" s="15" t="n">
        <v>3</v>
      </c>
      <c r="O311" s="15" t="n">
        <v>4</v>
      </c>
      <c r="P311" s="15" t="n">
        <v>1</v>
      </c>
      <c r="Q311" s="15" t="n">
        <v>6</v>
      </c>
      <c r="R311" s="16" t="n">
        <f aca="false">ROUND(K311*0.55+L311*0.25+M311*0.2,1)</f>
        <v>1.5</v>
      </c>
      <c r="S311" s="16" t="n">
        <f aca="false">ROUND(N311*0.35+O311*0.25+P311*0.25+Q311*0.15,1)</f>
        <v>3.2</v>
      </c>
      <c r="T311" s="17" t="n">
        <f aca="false">ROUND(R311*'Como ler'!$B$5+S311*'Como ler'!$B$6,1)</f>
        <v>2.3</v>
      </c>
      <c r="U311" s="18" t="s">
        <v>62</v>
      </c>
      <c r="V311" s="18" t="s">
        <v>63</v>
      </c>
    </row>
    <row r="312" customFormat="false" ht="15" hidden="false" customHeight="false" outlineLevel="0" collapsed="false">
      <c r="A312" s="19" t="n">
        <v>308</v>
      </c>
      <c r="B312" s="20" t="s">
        <v>534</v>
      </c>
      <c r="C312" s="21" t="s">
        <v>92</v>
      </c>
      <c r="D312" s="21" t="s">
        <v>208</v>
      </c>
      <c r="E312" s="19" t="n">
        <v>7</v>
      </c>
      <c r="F312" s="19" t="n">
        <v>1</v>
      </c>
      <c r="G312" s="19" t="n">
        <v>2</v>
      </c>
      <c r="H312" s="19" t="s">
        <v>59</v>
      </c>
      <c r="I312" s="19" t="s">
        <v>60</v>
      </c>
      <c r="J312" s="21" t="s">
        <v>535</v>
      </c>
      <c r="K312" s="15" t="n">
        <v>1</v>
      </c>
      <c r="L312" s="15" t="n">
        <v>2</v>
      </c>
      <c r="M312" s="15" t="n">
        <v>4</v>
      </c>
      <c r="N312" s="15" t="n">
        <v>10</v>
      </c>
      <c r="O312" s="15" t="n">
        <v>7</v>
      </c>
      <c r="P312" s="15" t="n">
        <v>1</v>
      </c>
      <c r="Q312" s="15" t="n">
        <v>9</v>
      </c>
      <c r="R312" s="16" t="n">
        <f aca="false">ROUND(K312*0.55+L312*0.25+M312*0.2,1)</f>
        <v>1.9</v>
      </c>
      <c r="S312" s="16" t="n">
        <f aca="false">ROUND(N312*0.35+O312*0.25+P312*0.25+Q312*0.15,1)</f>
        <v>6.9</v>
      </c>
      <c r="T312" s="17" t="n">
        <f aca="false">ROUND(R312*'Como ler'!$B$5+S312*'Como ler'!$B$6,1)</f>
        <v>4.2</v>
      </c>
      <c r="U312" s="18" t="s">
        <v>62</v>
      </c>
      <c r="V312" s="18" t="s">
        <v>63</v>
      </c>
    </row>
    <row r="313" customFormat="false" ht="15" hidden="false" customHeight="false" outlineLevel="0" collapsed="false">
      <c r="A313" s="19" t="n">
        <v>309</v>
      </c>
      <c r="B313" s="20" t="s">
        <v>201</v>
      </c>
      <c r="C313" s="21" t="s">
        <v>69</v>
      </c>
      <c r="D313" s="21" t="s">
        <v>58</v>
      </c>
      <c r="E313" s="19" t="n">
        <v>7</v>
      </c>
      <c r="F313" s="19" t="n">
        <v>1</v>
      </c>
      <c r="G313" s="19" t="n">
        <v>1</v>
      </c>
      <c r="H313" s="19" t="s">
        <v>59</v>
      </c>
      <c r="I313" s="19" t="s">
        <v>140</v>
      </c>
      <c r="J313" s="21" t="s">
        <v>141</v>
      </c>
      <c r="K313" s="15" t="n">
        <v>1</v>
      </c>
      <c r="L313" s="15" t="n">
        <v>2</v>
      </c>
      <c r="M313" s="15" t="n">
        <v>2</v>
      </c>
      <c r="N313" s="15" t="n">
        <v>3</v>
      </c>
      <c r="O313" s="15" t="n">
        <v>4</v>
      </c>
      <c r="P313" s="15" t="n">
        <v>10</v>
      </c>
      <c r="Q313" s="15" t="n">
        <v>9</v>
      </c>
      <c r="R313" s="16" t="n">
        <f aca="false">ROUND(K313*0.55+L313*0.25+M313*0.2,1)</f>
        <v>1.5</v>
      </c>
      <c r="S313" s="16" t="n">
        <f aca="false">ROUND(N313*0.35+O313*0.25+P313*0.25+Q313*0.15,1)</f>
        <v>5.9</v>
      </c>
      <c r="T313" s="17" t="n">
        <f aca="false">ROUND(R313*'Como ler'!$B$5+S313*'Como ler'!$B$6,1)</f>
        <v>3.5</v>
      </c>
      <c r="U313" s="18" t="s">
        <v>62</v>
      </c>
      <c r="V313" s="18" t="s">
        <v>63</v>
      </c>
    </row>
    <row r="314" customFormat="false" ht="15" hidden="false" customHeight="false" outlineLevel="0" collapsed="false">
      <c r="A314" s="19" t="n">
        <v>310</v>
      </c>
      <c r="B314" s="20" t="s">
        <v>536</v>
      </c>
      <c r="C314" s="21" t="s">
        <v>92</v>
      </c>
      <c r="D314" s="21" t="s">
        <v>205</v>
      </c>
      <c r="E314" s="19" t="n">
        <v>3</v>
      </c>
      <c r="F314" s="19" t="n">
        <v>1</v>
      </c>
      <c r="G314" s="19" t="n">
        <v>1</v>
      </c>
      <c r="H314" s="19" t="s">
        <v>66</v>
      </c>
      <c r="I314" s="19" t="s">
        <v>60</v>
      </c>
      <c r="J314" s="21" t="s">
        <v>537</v>
      </c>
      <c r="K314" s="15" t="n">
        <v>1</v>
      </c>
      <c r="L314" s="15" t="n">
        <v>2</v>
      </c>
      <c r="M314" s="15" t="n">
        <v>2</v>
      </c>
      <c r="N314" s="15" t="n">
        <v>10</v>
      </c>
      <c r="O314" s="15" t="n">
        <v>7</v>
      </c>
      <c r="P314" s="15" t="n">
        <v>1</v>
      </c>
      <c r="Q314" s="15" t="n">
        <v>6</v>
      </c>
      <c r="R314" s="16" t="n">
        <f aca="false">ROUND(K314*0.55+L314*0.25+M314*0.2,1)</f>
        <v>1.5</v>
      </c>
      <c r="S314" s="16" t="n">
        <f aca="false">ROUND(N314*0.35+O314*0.25+P314*0.25+Q314*0.15,1)</f>
        <v>6.4</v>
      </c>
      <c r="T314" s="17" t="n">
        <f aca="false">ROUND(R314*'Como ler'!$B$5+S314*'Como ler'!$B$6,1)</f>
        <v>3.7</v>
      </c>
      <c r="U314" s="18" t="s">
        <v>62</v>
      </c>
      <c r="V314" s="18" t="s">
        <v>63</v>
      </c>
    </row>
    <row r="315" customFormat="false" ht="15" hidden="false" customHeight="false" outlineLevel="0" collapsed="false">
      <c r="A315" s="19" t="n">
        <v>311</v>
      </c>
      <c r="B315" s="20" t="s">
        <v>538</v>
      </c>
      <c r="C315" s="21" t="s">
        <v>92</v>
      </c>
      <c r="D315" s="21" t="s">
        <v>229</v>
      </c>
      <c r="E315" s="19" t="n">
        <v>2</v>
      </c>
      <c r="F315" s="19" t="n">
        <v>1</v>
      </c>
      <c r="G315" s="19" t="n">
        <v>2</v>
      </c>
      <c r="H315" s="19" t="s">
        <v>66</v>
      </c>
      <c r="I315" s="19" t="s">
        <v>140</v>
      </c>
      <c r="J315" s="21" t="s">
        <v>206</v>
      </c>
      <c r="K315" s="15" t="n">
        <v>1</v>
      </c>
      <c r="L315" s="15" t="n">
        <v>2</v>
      </c>
      <c r="M315" s="15" t="n">
        <v>4</v>
      </c>
      <c r="N315" s="15" t="n">
        <v>3</v>
      </c>
      <c r="O315" s="15" t="n">
        <v>4</v>
      </c>
      <c r="P315" s="15" t="n">
        <v>1</v>
      </c>
      <c r="Q315" s="15" t="n">
        <v>6</v>
      </c>
      <c r="R315" s="16" t="n">
        <f aca="false">ROUND(K315*0.55+L315*0.25+M315*0.2,1)</f>
        <v>1.9</v>
      </c>
      <c r="S315" s="16" t="n">
        <f aca="false">ROUND(N315*0.35+O315*0.25+P315*0.25+Q315*0.15,1)</f>
        <v>3.2</v>
      </c>
      <c r="T315" s="17" t="n">
        <f aca="false">ROUND(R315*'Como ler'!$B$5+S315*'Como ler'!$B$6,1)</f>
        <v>2.5</v>
      </c>
      <c r="U315" s="18" t="s">
        <v>62</v>
      </c>
      <c r="V315" s="18" t="s">
        <v>63</v>
      </c>
    </row>
    <row r="316" customFormat="false" ht="15" hidden="false" customHeight="false" outlineLevel="0" collapsed="false">
      <c r="A316" s="19" t="n">
        <v>312</v>
      </c>
      <c r="B316" s="20" t="s">
        <v>539</v>
      </c>
      <c r="C316" s="21" t="s">
        <v>92</v>
      </c>
      <c r="D316" s="21" t="s">
        <v>229</v>
      </c>
      <c r="E316" s="19" t="n">
        <v>2</v>
      </c>
      <c r="F316" s="19" t="n">
        <v>1</v>
      </c>
      <c r="G316" s="19" t="n">
        <v>1</v>
      </c>
      <c r="H316" s="19" t="s">
        <v>66</v>
      </c>
      <c r="I316" s="19" t="s">
        <v>210</v>
      </c>
      <c r="J316" s="21" t="s">
        <v>211</v>
      </c>
      <c r="K316" s="15" t="n">
        <v>1</v>
      </c>
      <c r="L316" s="15" t="n">
        <v>2</v>
      </c>
      <c r="M316" s="15" t="n">
        <v>2</v>
      </c>
      <c r="N316" s="15" t="n">
        <v>3</v>
      </c>
      <c r="O316" s="15" t="n">
        <v>4</v>
      </c>
      <c r="P316" s="15" t="n">
        <v>1</v>
      </c>
      <c r="Q316" s="15" t="n">
        <v>6</v>
      </c>
      <c r="R316" s="16" t="n">
        <f aca="false">ROUND(K316*0.55+L316*0.25+M316*0.2,1)</f>
        <v>1.5</v>
      </c>
      <c r="S316" s="16" t="n">
        <f aca="false">ROUND(N316*0.35+O316*0.25+P316*0.25+Q316*0.15,1)</f>
        <v>3.2</v>
      </c>
      <c r="T316" s="17" t="n">
        <f aca="false">ROUND(R316*'Como ler'!$B$5+S316*'Como ler'!$B$6,1)</f>
        <v>2.3</v>
      </c>
      <c r="U316" s="18" t="s">
        <v>62</v>
      </c>
      <c r="V316" s="22" t="s">
        <v>211</v>
      </c>
    </row>
    <row r="317" customFormat="false" ht="15" hidden="false" customHeight="false" outlineLevel="0" collapsed="false">
      <c r="A317" s="19" t="n">
        <v>313</v>
      </c>
      <c r="B317" s="20" t="s">
        <v>540</v>
      </c>
      <c r="C317" s="21" t="s">
        <v>92</v>
      </c>
      <c r="D317" s="21" t="s">
        <v>229</v>
      </c>
      <c r="E317" s="19" t="n">
        <v>0</v>
      </c>
      <c r="F317" s="19" t="n">
        <v>1</v>
      </c>
      <c r="G317" s="19" t="n">
        <v>1</v>
      </c>
      <c r="H317" s="19" t="s">
        <v>115</v>
      </c>
      <c r="I317" s="19" t="s">
        <v>140</v>
      </c>
      <c r="J317" s="21" t="s">
        <v>206</v>
      </c>
      <c r="K317" s="15" t="n">
        <v>1</v>
      </c>
      <c r="L317" s="15" t="n">
        <v>2</v>
      </c>
      <c r="M317" s="15" t="n">
        <v>2</v>
      </c>
      <c r="N317" s="15" t="n">
        <v>3</v>
      </c>
      <c r="O317" s="15" t="n">
        <v>4</v>
      </c>
      <c r="P317" s="15" t="n">
        <v>1</v>
      </c>
      <c r="Q317" s="15" t="n">
        <v>6</v>
      </c>
      <c r="R317" s="16" t="n">
        <f aca="false">ROUND(K317*0.55+L317*0.25+M317*0.2,1)</f>
        <v>1.5</v>
      </c>
      <c r="S317" s="16" t="n">
        <f aca="false">ROUND(N317*0.35+O317*0.25+P317*0.25+Q317*0.15,1)</f>
        <v>3.2</v>
      </c>
      <c r="T317" s="17" t="n">
        <f aca="false">ROUND(R317*'Como ler'!$B$5+S317*'Como ler'!$B$6,1)</f>
        <v>2.3</v>
      </c>
      <c r="U317" s="18" t="s">
        <v>62</v>
      </c>
      <c r="V317" s="18" t="s">
        <v>63</v>
      </c>
    </row>
    <row r="318" customFormat="false" ht="15" hidden="false" customHeight="false" outlineLevel="0" collapsed="false">
      <c r="A318" s="19" t="n">
        <v>314</v>
      </c>
      <c r="B318" s="20" t="s">
        <v>541</v>
      </c>
      <c r="C318" s="21" t="s">
        <v>69</v>
      </c>
      <c r="D318" s="21" t="s">
        <v>229</v>
      </c>
      <c r="E318" s="19" t="n">
        <v>0</v>
      </c>
      <c r="F318" s="19" t="n">
        <v>1</v>
      </c>
      <c r="G318" s="19" t="n">
        <v>1</v>
      </c>
      <c r="H318" s="19" t="s">
        <v>66</v>
      </c>
      <c r="I318" s="19" t="s">
        <v>140</v>
      </c>
      <c r="J318" s="21" t="s">
        <v>141</v>
      </c>
      <c r="K318" s="15" t="n">
        <v>1</v>
      </c>
      <c r="L318" s="15" t="n">
        <v>2</v>
      </c>
      <c r="M318" s="15" t="n">
        <v>2</v>
      </c>
      <c r="N318" s="15" t="n">
        <v>3</v>
      </c>
      <c r="O318" s="15" t="n">
        <v>4</v>
      </c>
      <c r="P318" s="15" t="n">
        <v>1</v>
      </c>
      <c r="Q318" s="15" t="n">
        <v>6</v>
      </c>
      <c r="R318" s="16" t="n">
        <f aca="false">ROUND(K318*0.55+L318*0.25+M318*0.2,1)</f>
        <v>1.5</v>
      </c>
      <c r="S318" s="16" t="n">
        <f aca="false">ROUND(N318*0.35+O318*0.25+P318*0.25+Q318*0.15,1)</f>
        <v>3.2</v>
      </c>
      <c r="T318" s="17" t="n">
        <f aca="false">ROUND(R318*'Como ler'!$B$5+S318*'Como ler'!$B$6,1)</f>
        <v>2.3</v>
      </c>
      <c r="U318" s="18" t="s">
        <v>62</v>
      </c>
      <c r="V318" s="18" t="s">
        <v>63</v>
      </c>
    </row>
  </sheetData>
  <autoFilter ref="A4:V318"/>
  <hyperlinks>
    <hyperlink ref="U5" r:id="rId1" display="ver anuncios"/>
    <hyperlink ref="V5" r:id="rId2" display="abrir"/>
    <hyperlink ref="U6" r:id="rId3" display="ver anuncios"/>
    <hyperlink ref="V6" r:id="rId4" display="abrir"/>
    <hyperlink ref="U7" r:id="rId5" display="ver anuncios"/>
    <hyperlink ref="U8" r:id="rId6" display="ver anuncios"/>
    <hyperlink ref="V8" r:id="rId7" display="abrir"/>
    <hyperlink ref="U9" r:id="rId8" display="ver anuncios"/>
    <hyperlink ref="V9" r:id="rId9" display="abrir"/>
    <hyperlink ref="U10" r:id="rId10" display="ver anuncios"/>
    <hyperlink ref="V10" r:id="rId11" display="abrir"/>
    <hyperlink ref="U11" r:id="rId12" display="ver anuncios"/>
    <hyperlink ref="V11" r:id="rId13" display="abrir"/>
    <hyperlink ref="U12" r:id="rId14" display="ver anuncios"/>
    <hyperlink ref="V12" r:id="rId15" display="abrir"/>
    <hyperlink ref="U13" r:id="rId16" display="ver anuncios"/>
    <hyperlink ref="V13" r:id="rId17" display="abrir"/>
    <hyperlink ref="U14" r:id="rId18" display="ver anuncios"/>
    <hyperlink ref="V14" r:id="rId19" display="abrir"/>
    <hyperlink ref="U15" r:id="rId20" display="ver anuncios"/>
    <hyperlink ref="V15" r:id="rId21" display="abrir"/>
    <hyperlink ref="U16" r:id="rId22" display="ver anuncios"/>
    <hyperlink ref="V16" r:id="rId23" display="abrir"/>
    <hyperlink ref="U17" r:id="rId24" display="ver anuncios"/>
    <hyperlink ref="V17" r:id="rId25" display="abrir"/>
    <hyperlink ref="U18" r:id="rId26" display="ver anuncios"/>
    <hyperlink ref="V18" r:id="rId27" display="abrir"/>
    <hyperlink ref="U19" r:id="rId28" display="ver anuncios"/>
    <hyperlink ref="V19" r:id="rId29" display="abrir"/>
    <hyperlink ref="U20" r:id="rId30" display="ver anuncios"/>
    <hyperlink ref="V20" r:id="rId31" display="abrir"/>
    <hyperlink ref="U21" r:id="rId32" display="ver anuncios"/>
    <hyperlink ref="V21" r:id="rId33" display="abrir"/>
    <hyperlink ref="U22" r:id="rId34" display="ver anuncios"/>
    <hyperlink ref="V22" r:id="rId35" display="abrir"/>
    <hyperlink ref="U23" r:id="rId36" display="ver anuncios"/>
    <hyperlink ref="V23" r:id="rId37" display="abrir"/>
    <hyperlink ref="U24" r:id="rId38" display="ver anuncios"/>
    <hyperlink ref="V24" r:id="rId39" display="abrir"/>
    <hyperlink ref="U25" r:id="rId40" display="ver anuncios"/>
    <hyperlink ref="V25" r:id="rId41" display="abrir"/>
    <hyperlink ref="U26" r:id="rId42" display="ver anuncios"/>
    <hyperlink ref="U27" r:id="rId43" display="ver anuncios"/>
    <hyperlink ref="V27" r:id="rId44" display="abrir"/>
    <hyperlink ref="U28" r:id="rId45" display="ver anuncios"/>
    <hyperlink ref="V28" r:id="rId46" display="abrir"/>
    <hyperlink ref="U29" r:id="rId47" display="ver anuncios"/>
    <hyperlink ref="V29" r:id="rId48" display="abrir"/>
    <hyperlink ref="U30" r:id="rId49" display="ver anuncios"/>
    <hyperlink ref="V30" r:id="rId50" display="abrir"/>
    <hyperlink ref="U31" r:id="rId51" display="ver anuncios"/>
    <hyperlink ref="V31" r:id="rId52" display="abrir"/>
    <hyperlink ref="U32" r:id="rId53" display="ver anuncios"/>
    <hyperlink ref="V32" r:id="rId54" display="abrir"/>
    <hyperlink ref="U33" r:id="rId55" display="ver anuncios"/>
    <hyperlink ref="V33" r:id="rId56" display="abrir"/>
    <hyperlink ref="U34" r:id="rId57" display="ver anuncios"/>
    <hyperlink ref="V34" r:id="rId58" display="abrir"/>
    <hyperlink ref="U35" r:id="rId59" display="ver anuncios"/>
    <hyperlink ref="V35" r:id="rId60" display="abrir"/>
    <hyperlink ref="U36" r:id="rId61" display="ver anuncios"/>
    <hyperlink ref="V36" r:id="rId62" display="abrir"/>
    <hyperlink ref="U37" r:id="rId63" display="ver anuncios"/>
    <hyperlink ref="V37" r:id="rId64" display="abrir"/>
    <hyperlink ref="U38" r:id="rId65" display="ver anuncios"/>
    <hyperlink ref="V38" r:id="rId66" display="abrir"/>
    <hyperlink ref="U39" r:id="rId67" display="ver anuncios"/>
    <hyperlink ref="V39" r:id="rId68" display="abrir"/>
    <hyperlink ref="U40" r:id="rId69" display="ver anuncios"/>
    <hyperlink ref="V40" r:id="rId70" display="abrir"/>
    <hyperlink ref="U41" r:id="rId71" display="ver anuncios"/>
    <hyperlink ref="V41" r:id="rId72" display="abrir"/>
    <hyperlink ref="U42" r:id="rId73" display="ver anuncios"/>
    <hyperlink ref="V42" r:id="rId74" display="abrir"/>
    <hyperlink ref="U43" r:id="rId75" display="ver anuncios"/>
    <hyperlink ref="V43" r:id="rId76" display="abrir"/>
    <hyperlink ref="U44" r:id="rId77" display="ver anuncios"/>
    <hyperlink ref="V44" r:id="rId78" display="abrir"/>
    <hyperlink ref="U45" r:id="rId79" display="ver anuncios"/>
    <hyperlink ref="V45" r:id="rId80" display="abrir"/>
    <hyperlink ref="U46" r:id="rId81" display="ver anuncios"/>
    <hyperlink ref="V46" r:id="rId82" display="abrir"/>
    <hyperlink ref="U47" r:id="rId83" display="ver anuncios"/>
    <hyperlink ref="V47" r:id="rId84" display="abrir"/>
    <hyperlink ref="U48" r:id="rId85" display="ver anuncios"/>
    <hyperlink ref="V48" r:id="rId86" display="abrir"/>
    <hyperlink ref="U49" r:id="rId87" display="ver anuncios"/>
    <hyperlink ref="V49" r:id="rId88" display="abrir"/>
    <hyperlink ref="U50" r:id="rId89" display="ver anuncios"/>
    <hyperlink ref="V50" r:id="rId90" display="abrir"/>
    <hyperlink ref="U51" r:id="rId91" display="ver anuncios"/>
    <hyperlink ref="V51" r:id="rId92" display="abrir"/>
    <hyperlink ref="U52" r:id="rId93" display="ver anuncios"/>
    <hyperlink ref="V52" r:id="rId94" display="abrir"/>
    <hyperlink ref="U53" r:id="rId95" display="ver anuncios"/>
    <hyperlink ref="V53" r:id="rId96" display="abrir"/>
    <hyperlink ref="U54" r:id="rId97" display="ver anuncios"/>
    <hyperlink ref="V54" r:id="rId98" display="abrir"/>
    <hyperlink ref="U55" r:id="rId99" display="ver anuncios"/>
    <hyperlink ref="V55" r:id="rId100" display="abrir"/>
    <hyperlink ref="U56" r:id="rId101" display="ver anuncios"/>
    <hyperlink ref="V56" r:id="rId102" display="abrir"/>
    <hyperlink ref="U57" r:id="rId103" display="ver anuncios"/>
    <hyperlink ref="V57" r:id="rId104" display="abrir"/>
    <hyperlink ref="U58" r:id="rId105" display="ver anuncios"/>
    <hyperlink ref="V58" r:id="rId106" display="abrir"/>
    <hyperlink ref="U59" r:id="rId107" display="ver anuncios"/>
    <hyperlink ref="V59" r:id="rId108" display="abrir"/>
    <hyperlink ref="U60" r:id="rId109" display="ver anuncios"/>
    <hyperlink ref="V60" r:id="rId110" display="abrir"/>
    <hyperlink ref="U61" r:id="rId111" display="ver anuncios"/>
    <hyperlink ref="V61" r:id="rId112" display="abrir"/>
    <hyperlink ref="U62" r:id="rId113" display="ver anuncios"/>
    <hyperlink ref="U63" r:id="rId114" display="ver anuncios"/>
    <hyperlink ref="V63" r:id="rId115" display="abrir"/>
    <hyperlink ref="U64" r:id="rId116" display="ver anuncios"/>
    <hyperlink ref="V64" r:id="rId117" display="abrir"/>
    <hyperlink ref="U65" r:id="rId118" display="ver anuncios"/>
    <hyperlink ref="V65" r:id="rId119" display="abrir"/>
    <hyperlink ref="U66" r:id="rId120" display="ver anuncios"/>
    <hyperlink ref="V66" r:id="rId121" display="abrir"/>
    <hyperlink ref="U67" r:id="rId122" display="ver anuncios"/>
    <hyperlink ref="V67" r:id="rId123" display="abrir"/>
    <hyperlink ref="U68" r:id="rId124" display="ver anuncios"/>
    <hyperlink ref="V68" r:id="rId125" display="abrir"/>
    <hyperlink ref="U69" r:id="rId126" display="ver anuncios"/>
    <hyperlink ref="V69" r:id="rId127" display="abrir"/>
    <hyperlink ref="U70" r:id="rId128" display="ver anuncios"/>
    <hyperlink ref="V70" r:id="rId129" display="abrir"/>
    <hyperlink ref="U71" r:id="rId130" display="ver anuncios"/>
    <hyperlink ref="V71" r:id="rId131" display="abrir"/>
    <hyperlink ref="U72" r:id="rId132" display="ver anuncios"/>
    <hyperlink ref="V72" r:id="rId133" display="abrir"/>
    <hyperlink ref="U73" r:id="rId134" display="ver anuncios"/>
    <hyperlink ref="V73" r:id="rId135" display="abrir"/>
    <hyperlink ref="U74" r:id="rId136" display="ver anuncios"/>
    <hyperlink ref="V74" r:id="rId137" display="abrir"/>
    <hyperlink ref="U75" r:id="rId138" display="ver anuncios"/>
    <hyperlink ref="V75" r:id="rId139" display="abrir"/>
    <hyperlink ref="U76" r:id="rId140" display="ver anuncios"/>
    <hyperlink ref="V76" r:id="rId141" display="abrir"/>
    <hyperlink ref="U77" r:id="rId142" display="ver anuncios"/>
    <hyperlink ref="V77" r:id="rId143" display="abrir"/>
    <hyperlink ref="U78" r:id="rId144" display="ver anuncios"/>
    <hyperlink ref="V78" r:id="rId145" display="abrir"/>
    <hyperlink ref="U79" r:id="rId146" display="ver anuncios"/>
    <hyperlink ref="V79" r:id="rId147" display="abrir"/>
    <hyperlink ref="U80" r:id="rId148" display="ver anuncios"/>
    <hyperlink ref="V80" r:id="rId149" display="abrir"/>
    <hyperlink ref="U81" r:id="rId150" display="ver anuncios"/>
    <hyperlink ref="V81" r:id="rId151" display="abrir"/>
    <hyperlink ref="U82" r:id="rId152" display="ver anuncios"/>
    <hyperlink ref="V82" r:id="rId153" display="abrir"/>
    <hyperlink ref="U83" r:id="rId154" display="ver anuncios"/>
    <hyperlink ref="V83" r:id="rId155" display="abrir"/>
    <hyperlink ref="U84" r:id="rId156" display="ver anuncios"/>
    <hyperlink ref="V84" r:id="rId157" display="abrir"/>
    <hyperlink ref="U85" r:id="rId158" display="ver anuncios"/>
    <hyperlink ref="V85" r:id="rId159" display="abrir"/>
    <hyperlink ref="U86" r:id="rId160" display="ver anuncios"/>
    <hyperlink ref="V86" r:id="rId161" display="abrir"/>
    <hyperlink ref="U87" r:id="rId162" display="ver anuncios"/>
    <hyperlink ref="V87" r:id="rId163" display="abrir"/>
    <hyperlink ref="U88" r:id="rId164" display="ver anuncios"/>
    <hyperlink ref="V88" r:id="rId165" display="abrir"/>
    <hyperlink ref="U89" r:id="rId166" display="ver anuncios"/>
    <hyperlink ref="V89" r:id="rId167" display="abrir"/>
    <hyperlink ref="U90" r:id="rId168" display="ver anuncios"/>
    <hyperlink ref="V90" r:id="rId169" display="abrir"/>
    <hyperlink ref="U91" r:id="rId170" display="ver anuncios"/>
    <hyperlink ref="U92" r:id="rId171" display="ver anuncios"/>
    <hyperlink ref="V92" r:id="rId172" display="abrir"/>
    <hyperlink ref="U93" r:id="rId173" display="ver anuncios"/>
    <hyperlink ref="V93" r:id="rId174" display="abrir"/>
    <hyperlink ref="U94" r:id="rId175" display="ver anuncios"/>
    <hyperlink ref="V94" r:id="rId176" display="abrir"/>
    <hyperlink ref="U95" r:id="rId177" display="ver anuncios"/>
    <hyperlink ref="V95" r:id="rId178" display="abrir"/>
    <hyperlink ref="U96" r:id="rId179" display="ver anuncios"/>
    <hyperlink ref="V96" r:id="rId180" display="abrir"/>
    <hyperlink ref="U97" r:id="rId181" display="ver anuncios"/>
    <hyperlink ref="V97" r:id="rId182" display="abrir"/>
    <hyperlink ref="U98" r:id="rId183" display="ver anuncios"/>
    <hyperlink ref="V98" r:id="rId184" display="abrir"/>
    <hyperlink ref="U99" r:id="rId185" display="ver anuncios"/>
    <hyperlink ref="V99" r:id="rId186" display="abrir"/>
    <hyperlink ref="U100" r:id="rId187" display="ver anuncios"/>
    <hyperlink ref="V100" r:id="rId188" display="abrir"/>
    <hyperlink ref="U101" r:id="rId189" display="ver anuncios"/>
    <hyperlink ref="V101" r:id="rId190" display="abrir"/>
    <hyperlink ref="U102" r:id="rId191" display="ver anuncios"/>
    <hyperlink ref="V102" r:id="rId192" display="abrir"/>
    <hyperlink ref="U103" r:id="rId193" display="ver anuncios"/>
    <hyperlink ref="V103" r:id="rId194" display="abrir"/>
    <hyperlink ref="U104" r:id="rId195" display="ver anuncios"/>
    <hyperlink ref="V104" r:id="rId196" display="abrir"/>
    <hyperlink ref="U105" r:id="rId197" display="ver anuncios"/>
    <hyperlink ref="V105" r:id="rId198" display="abrir"/>
    <hyperlink ref="U106" r:id="rId199" display="ver anuncios"/>
    <hyperlink ref="V106" r:id="rId200" display="abrir"/>
    <hyperlink ref="U107" r:id="rId201" display="ver anuncios"/>
    <hyperlink ref="V107" r:id="rId202" display="abrir"/>
    <hyperlink ref="U108" r:id="rId203" display="ver anuncios"/>
    <hyperlink ref="V108" r:id="rId204" display="abrir"/>
    <hyperlink ref="U109" r:id="rId205" display="ver anuncios"/>
    <hyperlink ref="V109" r:id="rId206" display="abrir"/>
    <hyperlink ref="U110" r:id="rId207" display="ver anuncios"/>
    <hyperlink ref="V110" r:id="rId208" display="abrir"/>
    <hyperlink ref="U111" r:id="rId209" display="ver anuncios"/>
    <hyperlink ref="V111" r:id="rId210" display="abrir"/>
    <hyperlink ref="U112" r:id="rId211" display="ver anuncios"/>
    <hyperlink ref="V112" r:id="rId212" display="abrir"/>
    <hyperlink ref="U113" r:id="rId213" display="ver anuncios"/>
    <hyperlink ref="U114" r:id="rId214" display="ver anuncios"/>
    <hyperlink ref="V114" r:id="rId215" display="abrir"/>
    <hyperlink ref="U115" r:id="rId216" display="ver anuncios"/>
    <hyperlink ref="V115" r:id="rId217" display="abrir"/>
    <hyperlink ref="U116" r:id="rId218" display="ver anuncios"/>
    <hyperlink ref="V116" r:id="rId219" display="abrir"/>
    <hyperlink ref="U117" r:id="rId220" display="ver anuncios"/>
    <hyperlink ref="V117" r:id="rId221" display="abrir"/>
    <hyperlink ref="U118" r:id="rId222" display="ver anuncios"/>
    <hyperlink ref="V118" r:id="rId223" display="abrir"/>
    <hyperlink ref="U119" r:id="rId224" display="ver anuncios"/>
    <hyperlink ref="V119" r:id="rId225" display="abrir"/>
    <hyperlink ref="U120" r:id="rId226" display="ver anuncios"/>
    <hyperlink ref="V120" r:id="rId227" display="abrir"/>
    <hyperlink ref="U121" r:id="rId228" display="ver anuncios"/>
    <hyperlink ref="V121" r:id="rId229" display="abrir"/>
    <hyperlink ref="U122" r:id="rId230" display="ver anuncios"/>
    <hyperlink ref="V122" r:id="rId231" display="abrir"/>
    <hyperlink ref="U123" r:id="rId232" display="ver anuncios"/>
    <hyperlink ref="U124" r:id="rId233" display="ver anuncios"/>
    <hyperlink ref="V124" r:id="rId234" display="abrir"/>
    <hyperlink ref="U125" r:id="rId235" display="ver anuncios"/>
    <hyperlink ref="V125" r:id="rId236" display="abrir"/>
    <hyperlink ref="U126" r:id="rId237" display="ver anuncios"/>
    <hyperlink ref="V126" r:id="rId238" display="abrir"/>
    <hyperlink ref="U127" r:id="rId239" display="ver anuncios"/>
    <hyperlink ref="V127" r:id="rId240" display="abrir"/>
    <hyperlink ref="U128" r:id="rId241" display="ver anuncios"/>
    <hyperlink ref="V128" r:id="rId242" display="abrir"/>
    <hyperlink ref="U129" r:id="rId243" display="ver anuncios"/>
    <hyperlink ref="V129" r:id="rId244" display="abrir"/>
    <hyperlink ref="U130" r:id="rId245" display="ver anuncios"/>
    <hyperlink ref="V130" r:id="rId246" display="abrir"/>
    <hyperlink ref="U131" r:id="rId247" display="ver anuncios"/>
    <hyperlink ref="V131" r:id="rId248" display="abrir"/>
    <hyperlink ref="U132" r:id="rId249" display="ver anuncios"/>
    <hyperlink ref="V132" r:id="rId250" display="abrir"/>
    <hyperlink ref="U133" r:id="rId251" display="ver anuncios"/>
    <hyperlink ref="V133" r:id="rId252" display="abrir"/>
    <hyperlink ref="U134" r:id="rId253" display="ver anuncios"/>
    <hyperlink ref="V134" r:id="rId254" display="abrir"/>
    <hyperlink ref="U135" r:id="rId255" display="ver anuncios"/>
    <hyperlink ref="U136" r:id="rId256" display="ver anuncios"/>
    <hyperlink ref="V136" r:id="rId257" display="abrir"/>
    <hyperlink ref="U137" r:id="rId258" display="ver anuncios"/>
    <hyperlink ref="V137" r:id="rId259" display="abrir"/>
    <hyperlink ref="U138" r:id="rId260" display="ver anuncios"/>
    <hyperlink ref="V138" r:id="rId261" display="abrir"/>
    <hyperlink ref="U139" r:id="rId262" display="ver anuncios"/>
    <hyperlink ref="V139" r:id="rId263" display="abrir"/>
    <hyperlink ref="U140" r:id="rId264" display="ver anuncios"/>
    <hyperlink ref="V140" r:id="rId265" display="abrir"/>
    <hyperlink ref="U141" r:id="rId266" display="ver anuncios"/>
    <hyperlink ref="V141" r:id="rId267" display="abrir"/>
    <hyperlink ref="U142" r:id="rId268" display="ver anuncios"/>
    <hyperlink ref="V142" r:id="rId269" display="abrir"/>
    <hyperlink ref="U143" r:id="rId270" display="ver anuncios"/>
    <hyperlink ref="V143" r:id="rId271" display="abrir"/>
    <hyperlink ref="U144" r:id="rId272" display="ver anuncios"/>
    <hyperlink ref="V144" r:id="rId273" display="abrir"/>
    <hyperlink ref="U145" r:id="rId274" display="ver anuncios"/>
    <hyperlink ref="V145" r:id="rId275" display="abrir"/>
    <hyperlink ref="U146" r:id="rId276" display="ver anuncios"/>
    <hyperlink ref="V146" r:id="rId277" display="abrir"/>
    <hyperlink ref="U147" r:id="rId278" display="ver anuncios"/>
    <hyperlink ref="V147" r:id="rId279" display="abrir"/>
    <hyperlink ref="U148" r:id="rId280" display="ver anuncios"/>
    <hyperlink ref="V148" r:id="rId281" display="abrir"/>
    <hyperlink ref="U149" r:id="rId282" display="ver anuncios"/>
    <hyperlink ref="V149" r:id="rId283" display="abrir"/>
    <hyperlink ref="U150" r:id="rId284" display="ver anuncios"/>
    <hyperlink ref="V150" r:id="rId285" display="abrir"/>
    <hyperlink ref="U151" r:id="rId286" display="ver anuncios"/>
    <hyperlink ref="V151" r:id="rId287" display="abrir"/>
    <hyperlink ref="U152" r:id="rId288" display="ver anuncios"/>
    <hyperlink ref="V152" r:id="rId289" display="abrir"/>
    <hyperlink ref="U153" r:id="rId290" display="ver anuncios"/>
    <hyperlink ref="V153" r:id="rId291" display="abrir"/>
    <hyperlink ref="U154" r:id="rId292" display="ver anuncios"/>
    <hyperlink ref="V154" r:id="rId293" display="abrir"/>
    <hyperlink ref="U155" r:id="rId294" display="ver anuncios"/>
    <hyperlink ref="V155" r:id="rId295" display="abrir"/>
    <hyperlink ref="U156" r:id="rId296" display="ver anuncios"/>
    <hyperlink ref="V156" r:id="rId297" display="abrir"/>
    <hyperlink ref="U157" r:id="rId298" display="ver anuncios"/>
    <hyperlink ref="V157" r:id="rId299" display="abrir"/>
    <hyperlink ref="U158" r:id="rId300" display="ver anuncios"/>
    <hyperlink ref="V158" r:id="rId301" display="abrir"/>
    <hyperlink ref="U159" r:id="rId302" display="ver anuncios"/>
    <hyperlink ref="V159" r:id="rId303" display="abrir"/>
    <hyperlink ref="U160" r:id="rId304" display="ver anuncios"/>
    <hyperlink ref="V160" r:id="rId305" display="abrir"/>
    <hyperlink ref="U161" r:id="rId306" display="ver anuncios"/>
    <hyperlink ref="V161" r:id="rId307" display="abrir"/>
    <hyperlink ref="U162" r:id="rId308" display="ver anuncios"/>
    <hyperlink ref="V162" r:id="rId309" display="abrir"/>
    <hyperlink ref="U163" r:id="rId310" display="ver anuncios"/>
    <hyperlink ref="V163" r:id="rId311" display="abrir"/>
    <hyperlink ref="U164" r:id="rId312" display="ver anuncios"/>
    <hyperlink ref="V164" r:id="rId313" display="abrir"/>
    <hyperlink ref="U165" r:id="rId314" display="ver anuncios"/>
    <hyperlink ref="V165" r:id="rId315" display="abrir"/>
    <hyperlink ref="U166" r:id="rId316" display="ver anuncios"/>
    <hyperlink ref="V166" r:id="rId317" display="abrir"/>
    <hyperlink ref="U167" r:id="rId318" display="ver anuncios"/>
    <hyperlink ref="V167" r:id="rId319" display="abrir"/>
    <hyperlink ref="U168" r:id="rId320" display="ver anuncios"/>
    <hyperlink ref="V168" r:id="rId321" display="abrir"/>
    <hyperlink ref="U169" r:id="rId322" display="ver anuncios"/>
    <hyperlink ref="V169" r:id="rId323" display="abrir"/>
    <hyperlink ref="U170" r:id="rId324" display="ver anuncios"/>
    <hyperlink ref="V170" r:id="rId325" display="abrir"/>
    <hyperlink ref="U171" r:id="rId326" display="ver anuncios"/>
    <hyperlink ref="V171" r:id="rId327" display="abrir"/>
    <hyperlink ref="U172" r:id="rId328" display="ver anuncios"/>
    <hyperlink ref="V172" r:id="rId329" display="abrir"/>
    <hyperlink ref="U173" r:id="rId330" display="ver anuncios"/>
    <hyperlink ref="V173" r:id="rId331" display="abrir"/>
    <hyperlink ref="U174" r:id="rId332" display="ver anuncios"/>
    <hyperlink ref="U175" r:id="rId333" display="ver anuncios"/>
    <hyperlink ref="V175" r:id="rId334" display="abrir"/>
    <hyperlink ref="U176" r:id="rId335" display="ver anuncios"/>
    <hyperlink ref="V176" r:id="rId336" display="abrir"/>
    <hyperlink ref="U177" r:id="rId337" display="ver anuncios"/>
    <hyperlink ref="V177" r:id="rId338" display="abrir"/>
    <hyperlink ref="U178" r:id="rId339" display="ver anuncios"/>
    <hyperlink ref="V178" r:id="rId340" display="abrir"/>
    <hyperlink ref="U179" r:id="rId341" display="ver anuncios"/>
    <hyperlink ref="V179" r:id="rId342" display="abrir"/>
    <hyperlink ref="U180" r:id="rId343" display="ver anuncios"/>
    <hyperlink ref="V180" r:id="rId344" display="abrir"/>
    <hyperlink ref="U181" r:id="rId345" display="ver anuncios"/>
    <hyperlink ref="V181" r:id="rId346" display="abrir"/>
    <hyperlink ref="U182" r:id="rId347" display="ver anuncios"/>
    <hyperlink ref="V182" r:id="rId348" display="abrir"/>
    <hyperlink ref="U183" r:id="rId349" display="ver anuncios"/>
    <hyperlink ref="V183" r:id="rId350" display="abrir"/>
    <hyperlink ref="U184" r:id="rId351" display="ver anuncios"/>
    <hyperlink ref="V184" r:id="rId352" display="abrir"/>
    <hyperlink ref="U185" r:id="rId353" display="ver anuncios"/>
    <hyperlink ref="V185" r:id="rId354" display="abrir"/>
    <hyperlink ref="U186" r:id="rId355" display="ver anuncios"/>
    <hyperlink ref="V186" r:id="rId356" display="abrir"/>
    <hyperlink ref="U187" r:id="rId357" display="ver anuncios"/>
    <hyperlink ref="U188" r:id="rId358" display="ver anuncios"/>
    <hyperlink ref="V188" r:id="rId359" display="abrir"/>
    <hyperlink ref="U189" r:id="rId360" display="ver anuncios"/>
    <hyperlink ref="U190" r:id="rId361" display="ver anuncios"/>
    <hyperlink ref="V190" r:id="rId362" display="abrir"/>
    <hyperlink ref="U191" r:id="rId363" display="ver anuncios"/>
    <hyperlink ref="V191" r:id="rId364" display="abrir"/>
    <hyperlink ref="U192" r:id="rId365" display="ver anuncios"/>
    <hyperlink ref="V192" r:id="rId366" display="abrir"/>
    <hyperlink ref="U193" r:id="rId367" display="ver anuncios"/>
    <hyperlink ref="V193" r:id="rId368" display="abrir"/>
    <hyperlink ref="U194" r:id="rId369" display="ver anuncios"/>
    <hyperlink ref="V194" r:id="rId370" display="abrir"/>
    <hyperlink ref="U195" r:id="rId371" display="ver anuncios"/>
    <hyperlink ref="V195" r:id="rId372" display="abrir"/>
    <hyperlink ref="U196" r:id="rId373" display="ver anuncios"/>
    <hyperlink ref="V196" r:id="rId374" display="abrir"/>
    <hyperlink ref="U197" r:id="rId375" display="ver anuncios"/>
    <hyperlink ref="V197" r:id="rId376" display="abrir"/>
    <hyperlink ref="U198" r:id="rId377" display="ver anuncios"/>
    <hyperlink ref="V198" r:id="rId378" display="abrir"/>
    <hyperlink ref="U199" r:id="rId379" display="ver anuncios"/>
    <hyperlink ref="V199" r:id="rId380" display="abrir"/>
    <hyperlink ref="U200" r:id="rId381" display="ver anuncios"/>
    <hyperlink ref="U201" r:id="rId382" display="ver anuncios"/>
    <hyperlink ref="V201" r:id="rId383" display="abrir"/>
    <hyperlink ref="U202" r:id="rId384" display="ver anuncios"/>
    <hyperlink ref="V202" r:id="rId385" display="abrir"/>
    <hyperlink ref="U203" r:id="rId386" display="ver anuncios"/>
    <hyperlink ref="V203" r:id="rId387" display="abrir"/>
    <hyperlink ref="U204" r:id="rId388" display="ver anuncios"/>
    <hyperlink ref="V204" r:id="rId389" display="abrir"/>
    <hyperlink ref="U205" r:id="rId390" display="ver anuncios"/>
    <hyperlink ref="V205" r:id="rId391" display="abrir"/>
    <hyperlink ref="U206" r:id="rId392" display="ver anuncios"/>
    <hyperlink ref="V206" r:id="rId393" display="abrir"/>
    <hyperlink ref="U207" r:id="rId394" display="ver anuncios"/>
    <hyperlink ref="V207" r:id="rId395" display="abrir"/>
    <hyperlink ref="U208" r:id="rId396" display="ver anuncios"/>
    <hyperlink ref="V208" r:id="rId397" display="abrir"/>
    <hyperlink ref="U209" r:id="rId398" display="ver anuncios"/>
    <hyperlink ref="V209" r:id="rId399" display="abrir"/>
    <hyperlink ref="U210" r:id="rId400" display="ver anuncios"/>
    <hyperlink ref="V210" r:id="rId401" display="abrir"/>
    <hyperlink ref="U211" r:id="rId402" display="ver anuncios"/>
    <hyperlink ref="V211" r:id="rId403" display="abrir"/>
    <hyperlink ref="U212" r:id="rId404" display="ver anuncios"/>
    <hyperlink ref="V212" r:id="rId405" display="abrir"/>
    <hyperlink ref="U213" r:id="rId406" display="ver anuncios"/>
    <hyperlink ref="V213" r:id="rId407" display="abrir"/>
    <hyperlink ref="U214" r:id="rId408" display="ver anuncios"/>
    <hyperlink ref="V214" r:id="rId409" display="abrir"/>
    <hyperlink ref="U215" r:id="rId410" display="ver anuncios"/>
    <hyperlink ref="V215" r:id="rId411" display="abrir"/>
    <hyperlink ref="U216" r:id="rId412" display="ver anuncios"/>
    <hyperlink ref="V216" r:id="rId413" display="abrir"/>
    <hyperlink ref="U217" r:id="rId414" display="ver anuncios"/>
    <hyperlink ref="V217" r:id="rId415" display="abrir"/>
    <hyperlink ref="U218" r:id="rId416" display="ver anuncios"/>
    <hyperlink ref="V218" r:id="rId417" display="abrir"/>
    <hyperlink ref="U219" r:id="rId418" display="ver anuncios"/>
    <hyperlink ref="V219" r:id="rId419" display="abrir"/>
    <hyperlink ref="U220" r:id="rId420" display="ver anuncios"/>
    <hyperlink ref="V220" r:id="rId421" display="abrir"/>
    <hyperlink ref="U221" r:id="rId422" display="ver anuncios"/>
    <hyperlink ref="V221" r:id="rId423" display="abrir"/>
    <hyperlink ref="U222" r:id="rId424" display="ver anuncios"/>
    <hyperlink ref="V222" r:id="rId425" display="abrir"/>
    <hyperlink ref="U223" r:id="rId426" display="ver anuncios"/>
    <hyperlink ref="V223" r:id="rId427" display="abrir"/>
    <hyperlink ref="U224" r:id="rId428" display="ver anuncios"/>
    <hyperlink ref="V224" r:id="rId429" display="abrir"/>
    <hyperlink ref="U225" r:id="rId430" display="ver anuncios"/>
    <hyperlink ref="V225" r:id="rId431" display="abrir"/>
    <hyperlink ref="U226" r:id="rId432" display="ver anuncios"/>
    <hyperlink ref="V226" r:id="rId433" display="abrir"/>
    <hyperlink ref="U227" r:id="rId434" display="ver anuncios"/>
    <hyperlink ref="V227" r:id="rId435" display="abrir"/>
    <hyperlink ref="U228" r:id="rId436" display="ver anuncios"/>
    <hyperlink ref="V228" r:id="rId437" display="abrir"/>
    <hyperlink ref="U229" r:id="rId438" display="ver anuncios"/>
    <hyperlink ref="V229" r:id="rId439" display="abrir"/>
    <hyperlink ref="U230" r:id="rId440" display="ver anuncios"/>
    <hyperlink ref="V230" r:id="rId441" display="abrir"/>
    <hyperlink ref="U231" r:id="rId442" display="ver anuncios"/>
    <hyperlink ref="V231" r:id="rId443" display="abrir"/>
    <hyperlink ref="U232" r:id="rId444" display="ver anuncios"/>
    <hyperlink ref="V232" r:id="rId445" display="abrir"/>
    <hyperlink ref="U233" r:id="rId446" display="ver anuncios"/>
    <hyperlink ref="V233" r:id="rId447" display="abrir"/>
    <hyperlink ref="U234" r:id="rId448" display="ver anuncios"/>
    <hyperlink ref="U235" r:id="rId449" display="ver anuncios"/>
    <hyperlink ref="V235" r:id="rId450" display="abrir"/>
    <hyperlink ref="U236" r:id="rId451" display="ver anuncios"/>
    <hyperlink ref="V236" r:id="rId452" display="abrir"/>
    <hyperlink ref="U237" r:id="rId453" display="ver anuncios"/>
    <hyperlink ref="V237" r:id="rId454" display="abrir"/>
    <hyperlink ref="U238" r:id="rId455" display="ver anuncios"/>
    <hyperlink ref="V238" r:id="rId456" display="abrir"/>
    <hyperlink ref="U239" r:id="rId457" display="ver anuncios"/>
    <hyperlink ref="V239" r:id="rId458" display="abrir"/>
    <hyperlink ref="U240" r:id="rId459" display="ver anuncios"/>
    <hyperlink ref="V240" r:id="rId460" display="abrir"/>
    <hyperlink ref="U241" r:id="rId461" display="ver anuncios"/>
    <hyperlink ref="V241" r:id="rId462" display="abrir"/>
    <hyperlink ref="U242" r:id="rId463" display="ver anuncios"/>
    <hyperlink ref="V242" r:id="rId464" display="abrir"/>
    <hyperlink ref="U243" r:id="rId465" display="ver anuncios"/>
    <hyperlink ref="V243" r:id="rId466" display="abrir"/>
    <hyperlink ref="U244" r:id="rId467" display="ver anuncios"/>
    <hyperlink ref="V244" r:id="rId468" display="abrir"/>
    <hyperlink ref="U245" r:id="rId469" display="ver anuncios"/>
    <hyperlink ref="V245" r:id="rId470" display="abrir"/>
    <hyperlink ref="U246" r:id="rId471" display="ver anuncios"/>
    <hyperlink ref="V246" r:id="rId472" display="abrir"/>
    <hyperlink ref="U247" r:id="rId473" display="ver anuncios"/>
    <hyperlink ref="V247" r:id="rId474" display="abrir"/>
    <hyperlink ref="U248" r:id="rId475" display="ver anuncios"/>
    <hyperlink ref="V248" r:id="rId476" display="abrir"/>
    <hyperlink ref="U249" r:id="rId477" display="ver anuncios"/>
    <hyperlink ref="U250" r:id="rId478" display="ver anuncios"/>
    <hyperlink ref="V250" r:id="rId479" display="abrir"/>
    <hyperlink ref="U251" r:id="rId480" display="ver anuncios"/>
    <hyperlink ref="V251" r:id="rId481" display="abrir"/>
    <hyperlink ref="U252" r:id="rId482" display="ver anuncios"/>
    <hyperlink ref="V252" r:id="rId483" display="abrir"/>
    <hyperlink ref="U253" r:id="rId484" display="ver anuncios"/>
    <hyperlink ref="V253" r:id="rId485" display="abrir"/>
    <hyperlink ref="U254" r:id="rId486" display="ver anuncios"/>
    <hyperlink ref="V254" r:id="rId487" display="abrir"/>
    <hyperlink ref="U255" r:id="rId488" display="ver anuncios"/>
    <hyperlink ref="V255" r:id="rId489" display="abrir"/>
    <hyperlink ref="U256" r:id="rId490" display="ver anuncios"/>
    <hyperlink ref="V256" r:id="rId491" display="abrir"/>
    <hyperlink ref="U257" r:id="rId492" display="ver anuncios"/>
    <hyperlink ref="V257" r:id="rId493" display="abrir"/>
    <hyperlink ref="U258" r:id="rId494" display="ver anuncios"/>
    <hyperlink ref="V258" r:id="rId495" display="abrir"/>
    <hyperlink ref="U259" r:id="rId496" display="ver anuncios"/>
    <hyperlink ref="V259" r:id="rId497" display="abrir"/>
    <hyperlink ref="U260" r:id="rId498" display="ver anuncios"/>
    <hyperlink ref="V260" r:id="rId499" display="abrir"/>
    <hyperlink ref="U261" r:id="rId500" display="ver anuncios"/>
    <hyperlink ref="V261" r:id="rId501" display="abrir"/>
    <hyperlink ref="U262" r:id="rId502" display="ver anuncios"/>
    <hyperlink ref="V262" r:id="rId503" display="abrir"/>
    <hyperlink ref="U263" r:id="rId504" display="ver anuncios"/>
    <hyperlink ref="V263" r:id="rId505" display="abrir"/>
    <hyperlink ref="U264" r:id="rId506" display="ver anuncios"/>
    <hyperlink ref="V264" r:id="rId507" display="abrir"/>
    <hyperlink ref="U265" r:id="rId508" display="ver anuncios"/>
    <hyperlink ref="V265" r:id="rId509" display="abrir"/>
    <hyperlink ref="U266" r:id="rId510" display="ver anuncios"/>
    <hyperlink ref="V266" r:id="rId511" display="abrir"/>
    <hyperlink ref="U267" r:id="rId512" display="ver anuncios"/>
    <hyperlink ref="V267" r:id="rId513" display="abrir"/>
    <hyperlink ref="U268" r:id="rId514" display="ver anuncios"/>
    <hyperlink ref="V268" r:id="rId515" display="abrir"/>
    <hyperlink ref="U269" r:id="rId516" display="ver anuncios"/>
    <hyperlink ref="U270" r:id="rId517" display="ver anuncios"/>
    <hyperlink ref="V270" r:id="rId518" display="abrir"/>
    <hyperlink ref="U271" r:id="rId519" display="ver anuncios"/>
    <hyperlink ref="U272" r:id="rId520" display="ver anuncios"/>
    <hyperlink ref="V272" r:id="rId521" display="abrir"/>
    <hyperlink ref="U273" r:id="rId522" display="ver anuncios"/>
    <hyperlink ref="V273" r:id="rId523" display="abrir"/>
    <hyperlink ref="U274" r:id="rId524" display="ver anuncios"/>
    <hyperlink ref="V274" r:id="rId525" display="abrir"/>
    <hyperlink ref="U275" r:id="rId526" display="ver anuncios"/>
    <hyperlink ref="V275" r:id="rId527" display="abrir"/>
    <hyperlink ref="U276" r:id="rId528" display="ver anuncios"/>
    <hyperlink ref="V276" r:id="rId529" display="abrir"/>
    <hyperlink ref="U277" r:id="rId530" display="ver anuncios"/>
    <hyperlink ref="V277" r:id="rId531" display="abrir"/>
    <hyperlink ref="U278" r:id="rId532" display="ver anuncios"/>
    <hyperlink ref="V278" r:id="rId533" display="abrir"/>
    <hyperlink ref="U279" r:id="rId534" display="ver anuncios"/>
    <hyperlink ref="V279" r:id="rId535" display="abrir"/>
    <hyperlink ref="U280" r:id="rId536" display="ver anuncios"/>
    <hyperlink ref="V280" r:id="rId537" display="abrir"/>
    <hyperlink ref="U281" r:id="rId538" display="ver anuncios"/>
    <hyperlink ref="V281" r:id="rId539" display="abrir"/>
    <hyperlink ref="U282" r:id="rId540" display="ver anuncios"/>
    <hyperlink ref="V282" r:id="rId541" display="abrir"/>
    <hyperlink ref="U283" r:id="rId542" display="ver anuncios"/>
    <hyperlink ref="V283" r:id="rId543" display="abrir"/>
    <hyperlink ref="U284" r:id="rId544" display="ver anuncios"/>
    <hyperlink ref="V284" r:id="rId545" display="abrir"/>
    <hyperlink ref="U285" r:id="rId546" display="ver anuncios"/>
    <hyperlink ref="V285" r:id="rId547" display="abrir"/>
    <hyperlink ref="U286" r:id="rId548" display="ver anuncios"/>
    <hyperlink ref="V286" r:id="rId549" display="abrir"/>
    <hyperlink ref="U287" r:id="rId550" display="ver anuncios"/>
    <hyperlink ref="V287" r:id="rId551" display="abrir"/>
    <hyperlink ref="U288" r:id="rId552" display="ver anuncios"/>
    <hyperlink ref="V288" r:id="rId553" display="abrir"/>
    <hyperlink ref="U289" r:id="rId554" display="ver anuncios"/>
    <hyperlink ref="V289" r:id="rId555" display="abrir"/>
    <hyperlink ref="U290" r:id="rId556" display="ver anuncios"/>
    <hyperlink ref="U291" r:id="rId557" display="ver anuncios"/>
    <hyperlink ref="V291" r:id="rId558" display="abrir"/>
    <hyperlink ref="U292" r:id="rId559" display="ver anuncios"/>
    <hyperlink ref="V292" r:id="rId560" display="abrir"/>
    <hyperlink ref="U293" r:id="rId561" display="ver anuncios"/>
    <hyperlink ref="V293" r:id="rId562" display="abrir"/>
    <hyperlink ref="U294" r:id="rId563" display="ver anuncios"/>
    <hyperlink ref="V294" r:id="rId564" display="abrir"/>
    <hyperlink ref="U295" r:id="rId565" display="ver anuncios"/>
    <hyperlink ref="V295" r:id="rId566" display="abrir"/>
    <hyperlink ref="U296" r:id="rId567" display="ver anuncios"/>
    <hyperlink ref="V296" r:id="rId568" display="abrir"/>
    <hyperlink ref="U297" r:id="rId569" display="ver anuncios"/>
    <hyperlink ref="U298" r:id="rId570" display="ver anuncios"/>
    <hyperlink ref="V298" r:id="rId571" display="abrir"/>
    <hyperlink ref="U299" r:id="rId572" display="ver anuncios"/>
    <hyperlink ref="V299" r:id="rId573" display="abrir"/>
    <hyperlink ref="U300" r:id="rId574" display="ver anuncios"/>
    <hyperlink ref="V300" r:id="rId575" display="abrir"/>
    <hyperlink ref="U301" r:id="rId576" display="ver anuncios"/>
    <hyperlink ref="V301" r:id="rId577" display="abrir"/>
    <hyperlink ref="U302" r:id="rId578" display="ver anuncios"/>
    <hyperlink ref="V302" r:id="rId579" display="abrir"/>
    <hyperlink ref="U303" r:id="rId580" display="ver anuncios"/>
    <hyperlink ref="V303" r:id="rId581" display="abrir"/>
    <hyperlink ref="U304" r:id="rId582" display="ver anuncios"/>
    <hyperlink ref="V304" r:id="rId583" display="abrir"/>
    <hyperlink ref="U305" r:id="rId584" display="ver anuncios"/>
    <hyperlink ref="V305" r:id="rId585" display="abrir"/>
    <hyperlink ref="U306" r:id="rId586" display="ver anuncios"/>
    <hyperlink ref="V306" r:id="rId587" display="abrir"/>
    <hyperlink ref="U307" r:id="rId588" display="ver anuncios"/>
    <hyperlink ref="V307" r:id="rId589" display="abrir"/>
    <hyperlink ref="U308" r:id="rId590" display="ver anuncios"/>
    <hyperlink ref="V308" r:id="rId591" display="abrir"/>
    <hyperlink ref="U309" r:id="rId592" display="ver anuncios"/>
    <hyperlink ref="V309" r:id="rId593" display="abrir"/>
    <hyperlink ref="U310" r:id="rId594" display="ver anuncios"/>
    <hyperlink ref="V310" r:id="rId595" display="abrir"/>
    <hyperlink ref="U311" r:id="rId596" display="ver anuncios"/>
    <hyperlink ref="V311" r:id="rId597" display="abrir"/>
    <hyperlink ref="U312" r:id="rId598" display="ver anuncios"/>
    <hyperlink ref="V312" r:id="rId599" display="abrir"/>
    <hyperlink ref="U313" r:id="rId600" display="ver anuncios"/>
    <hyperlink ref="V313" r:id="rId601" display="abrir"/>
    <hyperlink ref="U314" r:id="rId602" display="ver anuncios"/>
    <hyperlink ref="V314" r:id="rId603" display="abrir"/>
    <hyperlink ref="U315" r:id="rId604" display="ver anuncios"/>
    <hyperlink ref="V315" r:id="rId605" display="abrir"/>
    <hyperlink ref="U316" r:id="rId606" display="ver anuncios"/>
    <hyperlink ref="U317" r:id="rId607" display="ver anuncios"/>
    <hyperlink ref="V317" r:id="rId608" location="" display="abrir"/>
    <hyperlink ref="U318" r:id="rId609" display="ver anuncios"/>
    <hyperlink ref="V318" r:id="rId610" display="abri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1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34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16.15" hidden="false" customHeight="false" outlineLevel="0" collapsed="false">
      <c r="A1" s="9" t="s">
        <v>542</v>
      </c>
    </row>
    <row r="2" customFormat="false" ht="15" hidden="false" customHeight="false" outlineLevel="0" collapsed="false">
      <c r="A2" s="10" t="s">
        <v>543</v>
      </c>
    </row>
    <row r="4" customFormat="false" ht="33.75" hidden="false" customHeight="true" outlineLevel="0" collapsed="false">
      <c r="A4" s="11" t="s">
        <v>34</v>
      </c>
      <c r="B4" s="11" t="s">
        <v>35</v>
      </c>
      <c r="C4" s="11" t="s">
        <v>37</v>
      </c>
      <c r="D4" s="11" t="s">
        <v>544</v>
      </c>
      <c r="E4" s="11" t="s">
        <v>545</v>
      </c>
      <c r="F4" s="11" t="s">
        <v>40</v>
      </c>
      <c r="G4" s="11" t="s">
        <v>41</v>
      </c>
      <c r="H4" s="11" t="s">
        <v>43</v>
      </c>
      <c r="I4" s="11" t="s">
        <v>546</v>
      </c>
      <c r="J4" s="11" t="s">
        <v>547</v>
      </c>
    </row>
    <row r="5" customFormat="false" ht="15" hidden="false" customHeight="false" outlineLevel="0" collapsed="false">
      <c r="A5" s="22" t="n">
        <v>1</v>
      </c>
      <c r="B5" s="23" t="s">
        <v>204</v>
      </c>
      <c r="C5" s="23" t="s">
        <v>205</v>
      </c>
      <c r="D5" s="23" t="s">
        <v>548</v>
      </c>
      <c r="E5" s="22" t="n">
        <v>1148</v>
      </c>
      <c r="F5" s="22" t="n">
        <v>1</v>
      </c>
      <c r="G5" s="22" t="s">
        <v>59</v>
      </c>
      <c r="H5" s="23" t="s">
        <v>206</v>
      </c>
      <c r="I5" s="18" t="s">
        <v>62</v>
      </c>
      <c r="J5" s="18" t="s">
        <v>63</v>
      </c>
    </row>
    <row r="6" customFormat="false" ht="15" hidden="false" customHeight="false" outlineLevel="0" collapsed="false">
      <c r="A6" s="22" t="n">
        <v>2</v>
      </c>
      <c r="B6" s="23" t="s">
        <v>207</v>
      </c>
      <c r="C6" s="23" t="s">
        <v>208</v>
      </c>
      <c r="D6" s="23" t="s">
        <v>549</v>
      </c>
      <c r="E6" s="22" t="n">
        <v>1028</v>
      </c>
      <c r="F6" s="22" t="n">
        <v>1</v>
      </c>
      <c r="G6" s="22" t="s">
        <v>66</v>
      </c>
      <c r="H6" s="23" t="s">
        <v>141</v>
      </c>
      <c r="I6" s="18" t="s">
        <v>62</v>
      </c>
      <c r="J6" s="18" t="s">
        <v>63</v>
      </c>
    </row>
    <row r="7" customFormat="false" ht="15" hidden="false" customHeight="false" outlineLevel="0" collapsed="false">
      <c r="A7" s="22" t="n">
        <v>3</v>
      </c>
      <c r="B7" s="23" t="s">
        <v>209</v>
      </c>
      <c r="C7" s="23" t="s">
        <v>205</v>
      </c>
      <c r="D7" s="23" t="s">
        <v>550</v>
      </c>
      <c r="E7" s="22" t="n">
        <v>896</v>
      </c>
      <c r="F7" s="22" t="n">
        <v>1</v>
      </c>
      <c r="G7" s="22" t="s">
        <v>59</v>
      </c>
      <c r="H7" s="23" t="s">
        <v>211</v>
      </c>
      <c r="I7" s="18" t="s">
        <v>62</v>
      </c>
      <c r="J7" s="22" t="s">
        <v>211</v>
      </c>
    </row>
    <row r="8" customFormat="false" ht="15" hidden="false" customHeight="false" outlineLevel="0" collapsed="false">
      <c r="A8" s="22" t="n">
        <v>4</v>
      </c>
      <c r="B8" s="23" t="s">
        <v>209</v>
      </c>
      <c r="C8" s="23" t="s">
        <v>205</v>
      </c>
      <c r="D8" s="23" t="s">
        <v>550</v>
      </c>
      <c r="E8" s="22" t="n">
        <v>896</v>
      </c>
      <c r="F8" s="22" t="n">
        <v>1</v>
      </c>
      <c r="G8" s="22" t="s">
        <v>59</v>
      </c>
      <c r="H8" s="23" t="s">
        <v>211</v>
      </c>
      <c r="I8" s="18" t="s">
        <v>62</v>
      </c>
      <c r="J8" s="22" t="s">
        <v>211</v>
      </c>
    </row>
    <row r="9" customFormat="false" ht="15" hidden="false" customHeight="false" outlineLevel="0" collapsed="false">
      <c r="A9" s="22" t="n">
        <v>5</v>
      </c>
      <c r="B9" s="23" t="s">
        <v>212</v>
      </c>
      <c r="C9" s="23" t="s">
        <v>205</v>
      </c>
      <c r="D9" s="23" t="s">
        <v>551</v>
      </c>
      <c r="E9" s="22" t="n">
        <v>878</v>
      </c>
      <c r="F9" s="22" t="n">
        <v>1</v>
      </c>
      <c r="G9" s="22" t="s">
        <v>66</v>
      </c>
      <c r="H9" s="23" t="s">
        <v>168</v>
      </c>
      <c r="I9" s="18" t="s">
        <v>62</v>
      </c>
      <c r="J9" s="18" t="s">
        <v>63</v>
      </c>
    </row>
    <row r="10" customFormat="false" ht="15" hidden="false" customHeight="false" outlineLevel="0" collapsed="false">
      <c r="A10" s="22" t="n">
        <v>6</v>
      </c>
      <c r="B10" s="23" t="s">
        <v>213</v>
      </c>
      <c r="C10" s="23" t="s">
        <v>205</v>
      </c>
      <c r="D10" s="23" t="s">
        <v>552</v>
      </c>
      <c r="E10" s="22" t="n">
        <v>854</v>
      </c>
      <c r="F10" s="22" t="n">
        <v>1</v>
      </c>
      <c r="G10" s="22" t="s">
        <v>66</v>
      </c>
      <c r="H10" s="23" t="s">
        <v>168</v>
      </c>
      <c r="I10" s="18" t="s">
        <v>62</v>
      </c>
      <c r="J10" s="18" t="s">
        <v>63</v>
      </c>
    </row>
    <row r="11" customFormat="false" ht="15" hidden="false" customHeight="false" outlineLevel="0" collapsed="false">
      <c r="A11" s="22" t="n">
        <v>7</v>
      </c>
      <c r="B11" s="23" t="s">
        <v>214</v>
      </c>
      <c r="C11" s="23" t="s">
        <v>205</v>
      </c>
      <c r="D11" s="23" t="s">
        <v>553</v>
      </c>
      <c r="E11" s="22" t="n">
        <v>848</v>
      </c>
      <c r="F11" s="22" t="n">
        <v>1</v>
      </c>
      <c r="G11" s="22" t="s">
        <v>66</v>
      </c>
      <c r="H11" s="23" t="s">
        <v>141</v>
      </c>
      <c r="I11" s="18" t="s">
        <v>62</v>
      </c>
      <c r="J11" s="18" t="s">
        <v>63</v>
      </c>
    </row>
    <row r="12" customFormat="false" ht="15" hidden="false" customHeight="false" outlineLevel="0" collapsed="false">
      <c r="A12" s="22" t="n">
        <v>8</v>
      </c>
      <c r="B12" s="23" t="s">
        <v>215</v>
      </c>
      <c r="C12" s="23" t="s">
        <v>205</v>
      </c>
      <c r="D12" s="23" t="s">
        <v>554</v>
      </c>
      <c r="E12" s="22" t="n">
        <v>837</v>
      </c>
      <c r="F12" s="22" t="n">
        <v>1</v>
      </c>
      <c r="G12" s="22" t="s">
        <v>66</v>
      </c>
      <c r="H12" s="23" t="s">
        <v>141</v>
      </c>
      <c r="I12" s="18" t="s">
        <v>62</v>
      </c>
      <c r="J12" s="18" t="s">
        <v>63</v>
      </c>
    </row>
    <row r="13" customFormat="false" ht="15" hidden="false" customHeight="false" outlineLevel="0" collapsed="false">
      <c r="A13" s="22" t="n">
        <v>9</v>
      </c>
      <c r="B13" s="23" t="s">
        <v>215</v>
      </c>
      <c r="C13" s="23" t="s">
        <v>205</v>
      </c>
      <c r="D13" s="23" t="s">
        <v>555</v>
      </c>
      <c r="E13" s="22" t="n">
        <v>791</v>
      </c>
      <c r="F13" s="22" t="n">
        <v>1</v>
      </c>
      <c r="G13" s="22" t="s">
        <v>66</v>
      </c>
      <c r="H13" s="23" t="s">
        <v>141</v>
      </c>
      <c r="I13" s="18" t="s">
        <v>62</v>
      </c>
      <c r="J13" s="18" t="s">
        <v>63</v>
      </c>
    </row>
    <row r="14" customFormat="false" ht="15" hidden="false" customHeight="false" outlineLevel="0" collapsed="false">
      <c r="A14" s="22" t="n">
        <v>10</v>
      </c>
      <c r="B14" s="23" t="s">
        <v>216</v>
      </c>
      <c r="C14" s="23" t="s">
        <v>205</v>
      </c>
      <c r="D14" s="23" t="s">
        <v>556</v>
      </c>
      <c r="E14" s="22" t="n">
        <v>700</v>
      </c>
      <c r="F14" s="22" t="n">
        <v>1</v>
      </c>
      <c r="G14" s="22" t="s">
        <v>59</v>
      </c>
      <c r="H14" s="23" t="s">
        <v>168</v>
      </c>
      <c r="I14" s="18" t="s">
        <v>62</v>
      </c>
      <c r="J14" s="18" t="s">
        <v>63</v>
      </c>
    </row>
    <row r="15" customFormat="false" ht="15" hidden="false" customHeight="false" outlineLevel="0" collapsed="false">
      <c r="A15" s="22" t="n">
        <v>11</v>
      </c>
      <c r="B15" s="23" t="s">
        <v>217</v>
      </c>
      <c r="C15" s="23" t="s">
        <v>205</v>
      </c>
      <c r="D15" s="23" t="s">
        <v>557</v>
      </c>
      <c r="E15" s="22" t="n">
        <v>667</v>
      </c>
      <c r="F15" s="22" t="n">
        <v>1</v>
      </c>
      <c r="G15" s="22" t="s">
        <v>66</v>
      </c>
      <c r="H15" s="23" t="s">
        <v>168</v>
      </c>
      <c r="I15" s="18" t="s">
        <v>62</v>
      </c>
      <c r="J15" s="18" t="s">
        <v>63</v>
      </c>
    </row>
    <row r="16" customFormat="false" ht="15" hidden="false" customHeight="false" outlineLevel="0" collapsed="false">
      <c r="A16" s="22" t="n">
        <v>12</v>
      </c>
      <c r="B16" s="23" t="s">
        <v>218</v>
      </c>
      <c r="C16" s="23" t="s">
        <v>205</v>
      </c>
      <c r="D16" s="23" t="s">
        <v>558</v>
      </c>
      <c r="E16" s="22" t="n">
        <v>647</v>
      </c>
      <c r="F16" s="22" t="n">
        <v>1</v>
      </c>
      <c r="G16" s="22" t="s">
        <v>66</v>
      </c>
      <c r="H16" s="23" t="s">
        <v>168</v>
      </c>
      <c r="I16" s="18" t="s">
        <v>62</v>
      </c>
      <c r="J16" s="18" t="s">
        <v>63</v>
      </c>
    </row>
    <row r="17" customFormat="false" ht="15" hidden="false" customHeight="false" outlineLevel="0" collapsed="false">
      <c r="A17" s="22" t="n">
        <v>13</v>
      </c>
      <c r="B17" s="23" t="s">
        <v>219</v>
      </c>
      <c r="C17" s="23" t="s">
        <v>205</v>
      </c>
      <c r="D17" s="23" t="s">
        <v>559</v>
      </c>
      <c r="E17" s="22" t="n">
        <v>586</v>
      </c>
      <c r="F17" s="22" t="n">
        <v>1</v>
      </c>
      <c r="G17" s="22" t="s">
        <v>59</v>
      </c>
      <c r="H17" s="23" t="s">
        <v>141</v>
      </c>
      <c r="I17" s="18" t="s">
        <v>62</v>
      </c>
      <c r="J17" s="18" t="s">
        <v>63</v>
      </c>
    </row>
    <row r="18" customFormat="false" ht="15" hidden="false" customHeight="false" outlineLevel="0" collapsed="false">
      <c r="A18" s="22" t="n">
        <v>14</v>
      </c>
      <c r="B18" s="23" t="s">
        <v>218</v>
      </c>
      <c r="C18" s="23" t="s">
        <v>205</v>
      </c>
      <c r="D18" s="23" t="s">
        <v>560</v>
      </c>
      <c r="E18" s="22" t="n">
        <v>583</v>
      </c>
      <c r="F18" s="22" t="n">
        <v>1</v>
      </c>
      <c r="G18" s="22" t="s">
        <v>66</v>
      </c>
      <c r="H18" s="23" t="s">
        <v>168</v>
      </c>
      <c r="I18" s="18" t="s">
        <v>62</v>
      </c>
      <c r="J18" s="18" t="s">
        <v>63</v>
      </c>
    </row>
    <row r="19" customFormat="false" ht="15" hidden="false" customHeight="false" outlineLevel="0" collapsed="false">
      <c r="A19" s="22" t="n">
        <v>15</v>
      </c>
      <c r="B19" s="23" t="s">
        <v>139</v>
      </c>
      <c r="C19" s="23" t="s">
        <v>58</v>
      </c>
      <c r="D19" s="23" t="s">
        <v>561</v>
      </c>
      <c r="E19" s="22" t="n">
        <v>564</v>
      </c>
      <c r="F19" s="22" t="n">
        <v>1</v>
      </c>
      <c r="G19" s="22" t="s">
        <v>59</v>
      </c>
      <c r="H19" s="23" t="s">
        <v>141</v>
      </c>
      <c r="I19" s="18" t="s">
        <v>62</v>
      </c>
      <c r="J19" s="18" t="s">
        <v>63</v>
      </c>
    </row>
    <row r="20" customFormat="false" ht="15" hidden="false" customHeight="false" outlineLevel="0" collapsed="false">
      <c r="A20" s="22" t="n">
        <v>16</v>
      </c>
      <c r="B20" s="23" t="s">
        <v>221</v>
      </c>
      <c r="C20" s="23" t="s">
        <v>208</v>
      </c>
      <c r="D20" s="23" t="s">
        <v>562</v>
      </c>
      <c r="E20" s="22" t="n">
        <v>562</v>
      </c>
      <c r="F20" s="22" t="n">
        <v>1</v>
      </c>
      <c r="G20" s="22" t="s">
        <v>59</v>
      </c>
      <c r="H20" s="23" t="s">
        <v>141</v>
      </c>
      <c r="I20" s="18" t="s">
        <v>62</v>
      </c>
      <c r="J20" s="18" t="s">
        <v>63</v>
      </c>
    </row>
    <row r="21" customFormat="false" ht="15" hidden="false" customHeight="false" outlineLevel="0" collapsed="false">
      <c r="A21" s="22" t="n">
        <v>17</v>
      </c>
      <c r="B21" s="23" t="s">
        <v>219</v>
      </c>
      <c r="C21" s="23" t="s">
        <v>205</v>
      </c>
      <c r="D21" s="23" t="s">
        <v>563</v>
      </c>
      <c r="E21" s="22" t="n">
        <v>515</v>
      </c>
      <c r="F21" s="22" t="n">
        <v>1</v>
      </c>
      <c r="G21" s="22" t="s">
        <v>66</v>
      </c>
      <c r="H21" s="23" t="s">
        <v>168</v>
      </c>
      <c r="I21" s="18" t="s">
        <v>62</v>
      </c>
      <c r="J21" s="18" t="s">
        <v>63</v>
      </c>
    </row>
    <row r="22" customFormat="false" ht="15" hidden="false" customHeight="false" outlineLevel="0" collapsed="false">
      <c r="A22" s="22" t="n">
        <v>18</v>
      </c>
      <c r="B22" s="23" t="s">
        <v>222</v>
      </c>
      <c r="C22" s="23" t="s">
        <v>208</v>
      </c>
      <c r="D22" s="23" t="s">
        <v>564</v>
      </c>
      <c r="E22" s="22" t="n">
        <v>479</v>
      </c>
      <c r="F22" s="22" t="n">
        <v>1</v>
      </c>
      <c r="G22" s="22" t="s">
        <v>59</v>
      </c>
      <c r="H22" s="23" t="s">
        <v>141</v>
      </c>
      <c r="I22" s="18" t="s">
        <v>62</v>
      </c>
      <c r="J22" s="18" t="s">
        <v>63</v>
      </c>
    </row>
    <row r="23" customFormat="false" ht="15" hidden="false" customHeight="false" outlineLevel="0" collapsed="false">
      <c r="A23" s="22" t="n">
        <v>19</v>
      </c>
      <c r="B23" s="23" t="s">
        <v>78</v>
      </c>
      <c r="C23" s="23" t="s">
        <v>58</v>
      </c>
      <c r="D23" s="23" t="s">
        <v>565</v>
      </c>
      <c r="E23" s="22" t="n">
        <v>471</v>
      </c>
      <c r="F23" s="22" t="n">
        <v>1</v>
      </c>
      <c r="G23" s="22" t="s">
        <v>66</v>
      </c>
      <c r="H23" s="23" t="s">
        <v>79</v>
      </c>
      <c r="I23" s="18" t="s">
        <v>62</v>
      </c>
      <c r="J23" s="18" t="s">
        <v>63</v>
      </c>
    </row>
    <row r="24" customFormat="false" ht="15" hidden="false" customHeight="false" outlineLevel="0" collapsed="false">
      <c r="A24" s="22" t="n">
        <v>20</v>
      </c>
      <c r="B24" s="23" t="s">
        <v>222</v>
      </c>
      <c r="C24" s="23" t="s">
        <v>208</v>
      </c>
      <c r="D24" s="23" t="s">
        <v>566</v>
      </c>
      <c r="E24" s="22" t="n">
        <v>467</v>
      </c>
      <c r="F24" s="22" t="n">
        <v>1</v>
      </c>
      <c r="G24" s="22" t="s">
        <v>115</v>
      </c>
      <c r="H24" s="23" t="s">
        <v>141</v>
      </c>
      <c r="I24" s="18" t="s">
        <v>62</v>
      </c>
      <c r="J24" s="18" t="s">
        <v>63</v>
      </c>
    </row>
    <row r="25" customFormat="false" ht="15" hidden="false" customHeight="false" outlineLevel="0" collapsed="false">
      <c r="A25" s="22" t="n">
        <v>21</v>
      </c>
      <c r="B25" s="23" t="s">
        <v>71</v>
      </c>
      <c r="C25" s="23" t="s">
        <v>58</v>
      </c>
      <c r="D25" s="23" t="s">
        <v>567</v>
      </c>
      <c r="E25" s="22" t="n">
        <v>464</v>
      </c>
      <c r="F25" s="22" t="n">
        <v>2</v>
      </c>
      <c r="G25" s="22" t="s">
        <v>66</v>
      </c>
      <c r="H25" s="23" t="s">
        <v>72</v>
      </c>
      <c r="I25" s="18" t="s">
        <v>62</v>
      </c>
      <c r="J25" s="18" t="s">
        <v>63</v>
      </c>
    </row>
    <row r="26" customFormat="false" ht="15" hidden="false" customHeight="false" outlineLevel="0" collapsed="false">
      <c r="A26" s="22" t="n">
        <v>22</v>
      </c>
      <c r="B26" s="23" t="s">
        <v>71</v>
      </c>
      <c r="C26" s="23" t="s">
        <v>58</v>
      </c>
      <c r="D26" s="23" t="s">
        <v>568</v>
      </c>
      <c r="E26" s="22" t="n">
        <v>462</v>
      </c>
      <c r="F26" s="22" t="n">
        <v>2</v>
      </c>
      <c r="G26" s="22" t="s">
        <v>66</v>
      </c>
      <c r="H26" s="23" t="s">
        <v>72</v>
      </c>
      <c r="I26" s="18" t="s">
        <v>62</v>
      </c>
      <c r="J26" s="18" t="s">
        <v>63</v>
      </c>
    </row>
    <row r="27" customFormat="false" ht="15" hidden="false" customHeight="false" outlineLevel="0" collapsed="false">
      <c r="A27" s="22" t="n">
        <v>23</v>
      </c>
      <c r="B27" s="23" t="s">
        <v>71</v>
      </c>
      <c r="C27" s="23" t="s">
        <v>58</v>
      </c>
      <c r="D27" s="23" t="s">
        <v>568</v>
      </c>
      <c r="E27" s="22" t="n">
        <v>462</v>
      </c>
      <c r="F27" s="22" t="n">
        <v>2</v>
      </c>
      <c r="G27" s="22" t="s">
        <v>66</v>
      </c>
      <c r="H27" s="23" t="s">
        <v>72</v>
      </c>
      <c r="I27" s="18" t="s">
        <v>62</v>
      </c>
      <c r="J27" s="18" t="s">
        <v>63</v>
      </c>
    </row>
    <row r="28" customFormat="false" ht="15" hidden="false" customHeight="false" outlineLevel="0" collapsed="false">
      <c r="A28" s="22" t="n">
        <v>24</v>
      </c>
      <c r="B28" s="23" t="s">
        <v>56</v>
      </c>
      <c r="C28" s="23" t="s">
        <v>58</v>
      </c>
      <c r="D28" s="23" t="s">
        <v>569</v>
      </c>
      <c r="E28" s="22" t="n">
        <v>456</v>
      </c>
      <c r="F28" s="22" t="n">
        <v>1</v>
      </c>
      <c r="G28" s="22" t="s">
        <v>115</v>
      </c>
      <c r="H28" s="23" t="s">
        <v>570</v>
      </c>
      <c r="I28" s="18" t="s">
        <v>62</v>
      </c>
      <c r="J28" s="18" t="s">
        <v>63</v>
      </c>
    </row>
    <row r="29" customFormat="false" ht="15" hidden="false" customHeight="false" outlineLevel="0" collapsed="false">
      <c r="A29" s="22" t="n">
        <v>25</v>
      </c>
      <c r="B29" s="23" t="s">
        <v>86</v>
      </c>
      <c r="C29" s="23" t="s">
        <v>58</v>
      </c>
      <c r="D29" s="23" t="s">
        <v>571</v>
      </c>
      <c r="E29" s="22" t="n">
        <v>449</v>
      </c>
      <c r="F29" s="22" t="n">
        <v>1</v>
      </c>
      <c r="G29" s="22" t="s">
        <v>66</v>
      </c>
      <c r="H29" s="23" t="s">
        <v>88</v>
      </c>
      <c r="I29" s="18" t="s">
        <v>62</v>
      </c>
      <c r="J29" s="18" t="s">
        <v>63</v>
      </c>
    </row>
    <row r="30" customFormat="false" ht="15" hidden="false" customHeight="false" outlineLevel="0" collapsed="false">
      <c r="A30" s="22" t="n">
        <v>26</v>
      </c>
      <c r="B30" s="23" t="s">
        <v>223</v>
      </c>
      <c r="C30" s="23" t="s">
        <v>205</v>
      </c>
      <c r="D30" s="23" t="s">
        <v>572</v>
      </c>
      <c r="E30" s="22" t="n">
        <v>435</v>
      </c>
      <c r="F30" s="22" t="n">
        <v>2</v>
      </c>
      <c r="G30" s="22" t="s">
        <v>59</v>
      </c>
      <c r="H30" s="23" t="s">
        <v>224</v>
      </c>
      <c r="I30" s="18" t="s">
        <v>62</v>
      </c>
      <c r="J30" s="18" t="s">
        <v>63</v>
      </c>
    </row>
    <row r="31" customFormat="false" ht="15" hidden="false" customHeight="false" outlineLevel="0" collapsed="false">
      <c r="A31" s="22" t="n">
        <v>27</v>
      </c>
      <c r="B31" s="23" t="s">
        <v>225</v>
      </c>
      <c r="C31" s="23" t="s">
        <v>205</v>
      </c>
      <c r="D31" s="23" t="s">
        <v>573</v>
      </c>
      <c r="E31" s="22" t="n">
        <v>423</v>
      </c>
      <c r="F31" s="22" t="n">
        <v>1</v>
      </c>
      <c r="G31" s="22" t="s">
        <v>59</v>
      </c>
      <c r="H31" s="23" t="s">
        <v>168</v>
      </c>
      <c r="I31" s="18" t="s">
        <v>62</v>
      </c>
      <c r="J31" s="18" t="s">
        <v>63</v>
      </c>
    </row>
    <row r="32" customFormat="false" ht="15" hidden="false" customHeight="false" outlineLevel="0" collapsed="false">
      <c r="A32" s="22" t="n">
        <v>28</v>
      </c>
      <c r="B32" s="23" t="s">
        <v>226</v>
      </c>
      <c r="C32" s="23" t="s">
        <v>205</v>
      </c>
      <c r="D32" s="23" t="s">
        <v>573</v>
      </c>
      <c r="E32" s="22" t="n">
        <v>423</v>
      </c>
      <c r="F32" s="22" t="n">
        <v>1</v>
      </c>
      <c r="G32" s="22" t="s">
        <v>59</v>
      </c>
      <c r="H32" s="23" t="s">
        <v>227</v>
      </c>
      <c r="I32" s="18" t="s">
        <v>62</v>
      </c>
      <c r="J32" s="18" t="s">
        <v>63</v>
      </c>
    </row>
    <row r="33" customFormat="false" ht="15" hidden="false" customHeight="false" outlineLevel="0" collapsed="false">
      <c r="A33" s="22" t="n">
        <v>29</v>
      </c>
      <c r="B33" s="23" t="s">
        <v>226</v>
      </c>
      <c r="C33" s="23" t="s">
        <v>205</v>
      </c>
      <c r="D33" s="23" t="s">
        <v>573</v>
      </c>
      <c r="E33" s="22" t="n">
        <v>423</v>
      </c>
      <c r="F33" s="22" t="n">
        <v>1</v>
      </c>
      <c r="G33" s="22" t="s">
        <v>59</v>
      </c>
      <c r="H33" s="23" t="s">
        <v>227</v>
      </c>
      <c r="I33" s="18" t="s">
        <v>62</v>
      </c>
      <c r="J33" s="18" t="s">
        <v>63</v>
      </c>
    </row>
    <row r="34" customFormat="false" ht="15" hidden="false" customHeight="false" outlineLevel="0" collapsed="false">
      <c r="A34" s="22" t="n">
        <v>30</v>
      </c>
      <c r="B34" s="23" t="s">
        <v>228</v>
      </c>
      <c r="C34" s="23" t="s">
        <v>229</v>
      </c>
      <c r="D34" s="23" t="s">
        <v>574</v>
      </c>
      <c r="E34" s="22" t="n">
        <v>415</v>
      </c>
      <c r="F34" s="22" t="n">
        <v>1</v>
      </c>
      <c r="G34" s="22" t="s">
        <v>66</v>
      </c>
      <c r="H34" s="23" t="s">
        <v>211</v>
      </c>
      <c r="I34" s="18" t="s">
        <v>62</v>
      </c>
      <c r="J34" s="18" t="s">
        <v>63</v>
      </c>
    </row>
    <row r="35" customFormat="false" ht="15" hidden="false" customHeight="false" outlineLevel="0" collapsed="false">
      <c r="A35" s="22" t="n">
        <v>31</v>
      </c>
      <c r="B35" s="23" t="s">
        <v>230</v>
      </c>
      <c r="C35" s="23" t="s">
        <v>205</v>
      </c>
      <c r="D35" s="23" t="s">
        <v>575</v>
      </c>
      <c r="E35" s="22" t="n">
        <v>402</v>
      </c>
      <c r="F35" s="22" t="n">
        <v>2</v>
      </c>
      <c r="G35" s="22" t="s">
        <v>66</v>
      </c>
      <c r="H35" s="23" t="s">
        <v>576</v>
      </c>
      <c r="I35" s="18" t="s">
        <v>62</v>
      </c>
      <c r="J35" s="18" t="s">
        <v>63</v>
      </c>
    </row>
    <row r="36" customFormat="false" ht="15" hidden="false" customHeight="false" outlineLevel="0" collapsed="false">
      <c r="A36" s="22" t="n">
        <v>32</v>
      </c>
      <c r="B36" s="23" t="s">
        <v>73</v>
      </c>
      <c r="C36" s="23" t="s">
        <v>58</v>
      </c>
      <c r="D36" s="23" t="s">
        <v>577</v>
      </c>
      <c r="E36" s="22" t="n">
        <v>401</v>
      </c>
      <c r="F36" s="22" t="n">
        <v>1</v>
      </c>
      <c r="G36" s="22" t="s">
        <v>59</v>
      </c>
      <c r="H36" s="23" t="s">
        <v>75</v>
      </c>
      <c r="I36" s="18" t="s">
        <v>62</v>
      </c>
      <c r="J36" s="18" t="s">
        <v>63</v>
      </c>
    </row>
    <row r="37" customFormat="false" ht="15" hidden="false" customHeight="false" outlineLevel="0" collapsed="false">
      <c r="A37" s="22" t="n">
        <v>33</v>
      </c>
      <c r="B37" s="23" t="s">
        <v>73</v>
      </c>
      <c r="C37" s="23" t="s">
        <v>58</v>
      </c>
      <c r="D37" s="23" t="s">
        <v>577</v>
      </c>
      <c r="E37" s="22" t="n">
        <v>401</v>
      </c>
      <c r="F37" s="22" t="n">
        <v>1</v>
      </c>
      <c r="G37" s="22" t="s">
        <v>59</v>
      </c>
      <c r="H37" s="23" t="s">
        <v>75</v>
      </c>
      <c r="I37" s="18" t="s">
        <v>62</v>
      </c>
      <c r="J37" s="18" t="s">
        <v>63</v>
      </c>
    </row>
    <row r="38" customFormat="false" ht="15" hidden="false" customHeight="false" outlineLevel="0" collapsed="false">
      <c r="A38" s="22" t="n">
        <v>34</v>
      </c>
      <c r="B38" s="23" t="s">
        <v>73</v>
      </c>
      <c r="C38" s="23" t="s">
        <v>58</v>
      </c>
      <c r="D38" s="23" t="s">
        <v>577</v>
      </c>
      <c r="E38" s="22" t="n">
        <v>401</v>
      </c>
      <c r="F38" s="22" t="n">
        <v>1</v>
      </c>
      <c r="G38" s="22" t="s">
        <v>59</v>
      </c>
      <c r="H38" s="23" t="s">
        <v>75</v>
      </c>
      <c r="I38" s="18" t="s">
        <v>62</v>
      </c>
      <c r="J38" s="18" t="s">
        <v>63</v>
      </c>
    </row>
    <row r="39" customFormat="false" ht="15" hidden="false" customHeight="false" outlineLevel="0" collapsed="false">
      <c r="A39" s="22" t="n">
        <v>35</v>
      </c>
      <c r="B39" s="23" t="s">
        <v>68</v>
      </c>
      <c r="C39" s="23" t="s">
        <v>58</v>
      </c>
      <c r="D39" s="23" t="s">
        <v>578</v>
      </c>
      <c r="E39" s="22" t="n">
        <v>388</v>
      </c>
      <c r="F39" s="22" t="n">
        <v>1</v>
      </c>
      <c r="G39" s="22" t="s">
        <v>59</v>
      </c>
      <c r="H39" s="23" t="s">
        <v>70</v>
      </c>
      <c r="I39" s="18" t="s">
        <v>62</v>
      </c>
      <c r="J39" s="18" t="s">
        <v>63</v>
      </c>
    </row>
    <row r="40" customFormat="false" ht="15" hidden="false" customHeight="false" outlineLevel="0" collapsed="false">
      <c r="A40" s="22" t="n">
        <v>36</v>
      </c>
      <c r="B40" s="23" t="s">
        <v>68</v>
      </c>
      <c r="C40" s="23" t="s">
        <v>58</v>
      </c>
      <c r="D40" s="23" t="s">
        <v>578</v>
      </c>
      <c r="E40" s="22" t="n">
        <v>388</v>
      </c>
      <c r="F40" s="22" t="n">
        <v>2</v>
      </c>
      <c r="G40" s="22" t="s">
        <v>59</v>
      </c>
      <c r="H40" s="23" t="s">
        <v>70</v>
      </c>
      <c r="I40" s="18" t="s">
        <v>62</v>
      </c>
      <c r="J40" s="18" t="s">
        <v>63</v>
      </c>
    </row>
    <row r="41" customFormat="false" ht="15" hidden="false" customHeight="false" outlineLevel="0" collapsed="false">
      <c r="A41" s="22" t="n">
        <v>37</v>
      </c>
      <c r="B41" s="23" t="s">
        <v>64</v>
      </c>
      <c r="C41" s="23" t="s">
        <v>58</v>
      </c>
      <c r="D41" s="23" t="s">
        <v>579</v>
      </c>
      <c r="E41" s="22" t="n">
        <v>380</v>
      </c>
      <c r="F41" s="22" t="n">
        <v>1</v>
      </c>
      <c r="G41" s="22" t="s">
        <v>66</v>
      </c>
      <c r="H41" s="23" t="s">
        <v>580</v>
      </c>
      <c r="I41" s="18" t="s">
        <v>62</v>
      </c>
      <c r="J41" s="18" t="s">
        <v>63</v>
      </c>
    </row>
    <row r="42" customFormat="false" ht="15" hidden="false" customHeight="false" outlineLevel="0" collapsed="false">
      <c r="A42" s="22" t="n">
        <v>38</v>
      </c>
      <c r="B42" s="23" t="s">
        <v>232</v>
      </c>
      <c r="C42" s="23" t="s">
        <v>233</v>
      </c>
      <c r="D42" s="23" t="s">
        <v>579</v>
      </c>
      <c r="E42" s="22" t="n">
        <v>380</v>
      </c>
      <c r="F42" s="22" t="n">
        <v>1</v>
      </c>
      <c r="G42" s="22" t="s">
        <v>115</v>
      </c>
      <c r="H42" s="23" t="s">
        <v>234</v>
      </c>
      <c r="I42" s="18" t="s">
        <v>62</v>
      </c>
      <c r="J42" s="18" t="s">
        <v>63</v>
      </c>
    </row>
    <row r="43" customFormat="false" ht="15" hidden="false" customHeight="false" outlineLevel="0" collapsed="false">
      <c r="A43" s="22" t="n">
        <v>39</v>
      </c>
      <c r="B43" s="23" t="s">
        <v>142</v>
      </c>
      <c r="C43" s="23" t="s">
        <v>58</v>
      </c>
      <c r="D43" s="23" t="s">
        <v>581</v>
      </c>
      <c r="E43" s="22" t="n">
        <v>371</v>
      </c>
      <c r="F43" s="22" t="n">
        <v>1</v>
      </c>
      <c r="G43" s="22" t="s">
        <v>59</v>
      </c>
      <c r="H43" s="23" t="s">
        <v>143</v>
      </c>
      <c r="I43" s="18" t="s">
        <v>62</v>
      </c>
      <c r="J43" s="18" t="s">
        <v>63</v>
      </c>
    </row>
    <row r="44" customFormat="false" ht="15" hidden="false" customHeight="false" outlineLevel="0" collapsed="false">
      <c r="A44" s="22" t="n">
        <v>40</v>
      </c>
      <c r="B44" s="23" t="s">
        <v>235</v>
      </c>
      <c r="C44" s="23" t="s">
        <v>205</v>
      </c>
      <c r="D44" s="23" t="s">
        <v>582</v>
      </c>
      <c r="E44" s="22" t="n">
        <v>367</v>
      </c>
      <c r="F44" s="22" t="n">
        <v>1</v>
      </c>
      <c r="G44" s="22" t="s">
        <v>115</v>
      </c>
      <c r="H44" s="23" t="s">
        <v>141</v>
      </c>
      <c r="I44" s="18" t="s">
        <v>62</v>
      </c>
      <c r="J44" s="18" t="s">
        <v>63</v>
      </c>
    </row>
    <row r="45" customFormat="false" ht="15" hidden="false" customHeight="false" outlineLevel="0" collapsed="false">
      <c r="A45" s="22" t="n">
        <v>41</v>
      </c>
      <c r="B45" s="23" t="s">
        <v>80</v>
      </c>
      <c r="C45" s="23" t="s">
        <v>58</v>
      </c>
      <c r="D45" s="23" t="s">
        <v>582</v>
      </c>
      <c r="E45" s="22" t="n">
        <v>367</v>
      </c>
      <c r="F45" s="22" t="n">
        <v>2</v>
      </c>
      <c r="G45" s="22" t="s">
        <v>59</v>
      </c>
      <c r="H45" s="23" t="s">
        <v>81</v>
      </c>
      <c r="I45" s="18" t="s">
        <v>62</v>
      </c>
      <c r="J45" s="18" t="s">
        <v>63</v>
      </c>
    </row>
    <row r="46" customFormat="false" ht="15" hidden="false" customHeight="false" outlineLevel="0" collapsed="false">
      <c r="A46" s="22" t="n">
        <v>42</v>
      </c>
      <c r="B46" s="23" t="s">
        <v>236</v>
      </c>
      <c r="C46" s="23" t="s">
        <v>205</v>
      </c>
      <c r="D46" s="23" t="s">
        <v>582</v>
      </c>
      <c r="E46" s="22" t="n">
        <v>367</v>
      </c>
      <c r="F46" s="22" t="n">
        <v>1</v>
      </c>
      <c r="G46" s="22" t="s">
        <v>66</v>
      </c>
      <c r="H46" s="23" t="s">
        <v>168</v>
      </c>
      <c r="I46" s="18" t="s">
        <v>62</v>
      </c>
      <c r="J46" s="18" t="s">
        <v>63</v>
      </c>
    </row>
    <row r="47" customFormat="false" ht="15" hidden="false" customHeight="false" outlineLevel="0" collapsed="false">
      <c r="A47" s="22" t="n">
        <v>43</v>
      </c>
      <c r="B47" s="23" t="s">
        <v>237</v>
      </c>
      <c r="C47" s="23" t="s">
        <v>205</v>
      </c>
      <c r="D47" s="23" t="s">
        <v>583</v>
      </c>
      <c r="E47" s="22" t="n">
        <v>359</v>
      </c>
      <c r="F47" s="22" t="n">
        <v>2</v>
      </c>
      <c r="G47" s="22" t="s">
        <v>66</v>
      </c>
      <c r="H47" s="23" t="s">
        <v>141</v>
      </c>
      <c r="I47" s="18" t="s">
        <v>62</v>
      </c>
      <c r="J47" s="18" t="s">
        <v>63</v>
      </c>
    </row>
    <row r="48" customFormat="false" ht="15" hidden="false" customHeight="false" outlineLevel="0" collapsed="false">
      <c r="A48" s="22" t="n">
        <v>44</v>
      </c>
      <c r="B48" s="23" t="s">
        <v>78</v>
      </c>
      <c r="C48" s="23" t="s">
        <v>58</v>
      </c>
      <c r="D48" s="23" t="s">
        <v>583</v>
      </c>
      <c r="E48" s="22" t="n">
        <v>359</v>
      </c>
      <c r="F48" s="22" t="n">
        <v>1</v>
      </c>
      <c r="G48" s="22" t="s">
        <v>115</v>
      </c>
      <c r="H48" s="23" t="s">
        <v>79</v>
      </c>
      <c r="I48" s="18" t="s">
        <v>62</v>
      </c>
      <c r="J48" s="18" t="s">
        <v>63</v>
      </c>
    </row>
    <row r="49" customFormat="false" ht="15" hidden="false" customHeight="false" outlineLevel="0" collapsed="false">
      <c r="A49" s="22" t="n">
        <v>45</v>
      </c>
      <c r="B49" s="23" t="s">
        <v>68</v>
      </c>
      <c r="C49" s="23" t="s">
        <v>58</v>
      </c>
      <c r="D49" s="23" t="s">
        <v>584</v>
      </c>
      <c r="E49" s="22" t="n">
        <v>358</v>
      </c>
      <c r="F49" s="22" t="n">
        <v>2</v>
      </c>
      <c r="G49" s="22" t="s">
        <v>59</v>
      </c>
      <c r="H49" s="23" t="s">
        <v>70</v>
      </c>
      <c r="I49" s="18" t="s">
        <v>62</v>
      </c>
      <c r="J49" s="18" t="s">
        <v>63</v>
      </c>
    </row>
    <row r="50" customFormat="false" ht="15" hidden="false" customHeight="false" outlineLevel="0" collapsed="false">
      <c r="A50" s="22" t="n">
        <v>46</v>
      </c>
      <c r="B50" s="23" t="s">
        <v>68</v>
      </c>
      <c r="C50" s="23" t="s">
        <v>58</v>
      </c>
      <c r="D50" s="23" t="s">
        <v>584</v>
      </c>
      <c r="E50" s="22" t="n">
        <v>358</v>
      </c>
      <c r="F50" s="22" t="n">
        <v>1</v>
      </c>
      <c r="G50" s="22" t="s">
        <v>59</v>
      </c>
      <c r="H50" s="23" t="s">
        <v>70</v>
      </c>
      <c r="I50" s="18" t="s">
        <v>62</v>
      </c>
      <c r="J50" s="18" t="s">
        <v>63</v>
      </c>
    </row>
    <row r="51" customFormat="false" ht="15" hidden="false" customHeight="false" outlineLevel="0" collapsed="false">
      <c r="A51" s="22" t="n">
        <v>47</v>
      </c>
      <c r="B51" s="23" t="s">
        <v>238</v>
      </c>
      <c r="C51" s="23" t="s">
        <v>205</v>
      </c>
      <c r="D51" s="23" t="s">
        <v>585</v>
      </c>
      <c r="E51" s="22" t="n">
        <v>350</v>
      </c>
      <c r="F51" s="22" t="n">
        <v>1</v>
      </c>
      <c r="G51" s="22" t="s">
        <v>59</v>
      </c>
      <c r="H51" s="23" t="s">
        <v>168</v>
      </c>
      <c r="I51" s="18" t="s">
        <v>62</v>
      </c>
      <c r="J51" s="18" t="s">
        <v>63</v>
      </c>
    </row>
    <row r="52" customFormat="false" ht="15" hidden="false" customHeight="false" outlineLevel="0" collapsed="false">
      <c r="A52" s="22" t="n">
        <v>48</v>
      </c>
      <c r="B52" s="23" t="s">
        <v>238</v>
      </c>
      <c r="C52" s="23" t="s">
        <v>205</v>
      </c>
      <c r="D52" s="23" t="s">
        <v>585</v>
      </c>
      <c r="E52" s="22" t="n">
        <v>350</v>
      </c>
      <c r="F52" s="22" t="n">
        <v>1</v>
      </c>
      <c r="G52" s="22" t="s">
        <v>59</v>
      </c>
      <c r="H52" s="23" t="s">
        <v>168</v>
      </c>
      <c r="I52" s="18" t="s">
        <v>62</v>
      </c>
      <c r="J52" s="18" t="s">
        <v>63</v>
      </c>
    </row>
    <row r="53" customFormat="false" ht="15" hidden="false" customHeight="false" outlineLevel="0" collapsed="false">
      <c r="A53" s="22" t="n">
        <v>49</v>
      </c>
      <c r="B53" s="23" t="s">
        <v>238</v>
      </c>
      <c r="C53" s="23" t="s">
        <v>205</v>
      </c>
      <c r="D53" s="23" t="s">
        <v>585</v>
      </c>
      <c r="E53" s="22" t="n">
        <v>350</v>
      </c>
      <c r="F53" s="22" t="n">
        <v>1</v>
      </c>
      <c r="G53" s="22" t="s">
        <v>66</v>
      </c>
      <c r="H53" s="23" t="s">
        <v>168</v>
      </c>
      <c r="I53" s="18" t="s">
        <v>62</v>
      </c>
      <c r="J53" s="18" t="s">
        <v>63</v>
      </c>
    </row>
    <row r="54" customFormat="false" ht="15" hidden="false" customHeight="false" outlineLevel="0" collapsed="false">
      <c r="A54" s="22" t="n">
        <v>50</v>
      </c>
      <c r="B54" s="23" t="s">
        <v>239</v>
      </c>
      <c r="C54" s="23" t="s">
        <v>205</v>
      </c>
      <c r="D54" s="23" t="s">
        <v>586</v>
      </c>
      <c r="E54" s="22" t="n">
        <v>343</v>
      </c>
      <c r="F54" s="22" t="n">
        <v>1</v>
      </c>
      <c r="G54" s="22" t="s">
        <v>66</v>
      </c>
      <c r="H54" s="23" t="s">
        <v>240</v>
      </c>
      <c r="I54" s="18" t="s">
        <v>62</v>
      </c>
      <c r="J54" s="18" t="s">
        <v>63</v>
      </c>
    </row>
    <row r="55" customFormat="false" ht="15" hidden="false" customHeight="false" outlineLevel="0" collapsed="false">
      <c r="A55" s="22" t="n">
        <v>51</v>
      </c>
      <c r="B55" s="23" t="s">
        <v>239</v>
      </c>
      <c r="C55" s="23" t="s">
        <v>205</v>
      </c>
      <c r="D55" s="23" t="s">
        <v>586</v>
      </c>
      <c r="E55" s="22" t="n">
        <v>343</v>
      </c>
      <c r="F55" s="22" t="n">
        <v>1</v>
      </c>
      <c r="G55" s="22" t="s">
        <v>66</v>
      </c>
      <c r="H55" s="23" t="s">
        <v>240</v>
      </c>
      <c r="I55" s="18" t="s">
        <v>62</v>
      </c>
      <c r="J55" s="18" t="s">
        <v>63</v>
      </c>
    </row>
    <row r="56" customFormat="false" ht="15" hidden="false" customHeight="false" outlineLevel="0" collapsed="false">
      <c r="A56" s="22" t="n">
        <v>52</v>
      </c>
      <c r="B56" s="23" t="s">
        <v>241</v>
      </c>
      <c r="C56" s="23" t="s">
        <v>205</v>
      </c>
      <c r="D56" s="23" t="s">
        <v>587</v>
      </c>
      <c r="E56" s="22" t="n">
        <v>341</v>
      </c>
      <c r="F56" s="22" t="n">
        <v>1</v>
      </c>
      <c r="G56" s="22" t="s">
        <v>66</v>
      </c>
      <c r="H56" s="23" t="s">
        <v>168</v>
      </c>
      <c r="I56" s="18" t="s">
        <v>62</v>
      </c>
      <c r="J56" s="18" t="s">
        <v>63</v>
      </c>
    </row>
    <row r="57" customFormat="false" ht="15" hidden="false" customHeight="false" outlineLevel="0" collapsed="false">
      <c r="A57" s="22" t="n">
        <v>53</v>
      </c>
      <c r="B57" s="23" t="s">
        <v>242</v>
      </c>
      <c r="C57" s="23" t="s">
        <v>205</v>
      </c>
      <c r="D57" s="23" t="s">
        <v>588</v>
      </c>
      <c r="E57" s="22" t="n">
        <v>340</v>
      </c>
      <c r="F57" s="22" t="n">
        <v>1</v>
      </c>
      <c r="G57" s="22" t="s">
        <v>66</v>
      </c>
      <c r="H57" s="23" t="s">
        <v>168</v>
      </c>
      <c r="I57" s="18" t="s">
        <v>62</v>
      </c>
      <c r="J57" s="18" t="s">
        <v>63</v>
      </c>
    </row>
    <row r="58" customFormat="false" ht="15" hidden="false" customHeight="false" outlineLevel="0" collapsed="false">
      <c r="A58" s="22" t="n">
        <v>54</v>
      </c>
      <c r="B58" s="23" t="s">
        <v>243</v>
      </c>
      <c r="C58" s="23" t="s">
        <v>208</v>
      </c>
      <c r="D58" s="23" t="s">
        <v>589</v>
      </c>
      <c r="E58" s="22" t="n">
        <v>332</v>
      </c>
      <c r="F58" s="22" t="n">
        <v>1</v>
      </c>
      <c r="G58" s="22" t="s">
        <v>66</v>
      </c>
      <c r="H58" s="23" t="s">
        <v>168</v>
      </c>
      <c r="I58" s="18" t="s">
        <v>62</v>
      </c>
      <c r="J58" s="18" t="s">
        <v>63</v>
      </c>
    </row>
    <row r="59" customFormat="false" ht="15" hidden="false" customHeight="false" outlineLevel="0" collapsed="false">
      <c r="A59" s="22" t="n">
        <v>55</v>
      </c>
      <c r="B59" s="23" t="s">
        <v>244</v>
      </c>
      <c r="C59" s="23" t="s">
        <v>205</v>
      </c>
      <c r="D59" s="23" t="s">
        <v>590</v>
      </c>
      <c r="E59" s="22" t="n">
        <v>331</v>
      </c>
      <c r="F59" s="22" t="n">
        <v>1</v>
      </c>
      <c r="G59" s="22" t="s">
        <v>66</v>
      </c>
      <c r="H59" s="23" t="s">
        <v>168</v>
      </c>
      <c r="I59" s="18" t="s">
        <v>62</v>
      </c>
      <c r="J59" s="18" t="s">
        <v>63</v>
      </c>
    </row>
    <row r="60" customFormat="false" ht="15" hidden="false" customHeight="false" outlineLevel="0" collapsed="false">
      <c r="A60" s="22" t="n">
        <v>56</v>
      </c>
      <c r="B60" s="23" t="s">
        <v>244</v>
      </c>
      <c r="C60" s="23" t="s">
        <v>205</v>
      </c>
      <c r="D60" s="23" t="s">
        <v>590</v>
      </c>
      <c r="E60" s="22" t="n">
        <v>331</v>
      </c>
      <c r="F60" s="22" t="n">
        <v>1</v>
      </c>
      <c r="G60" s="22" t="s">
        <v>66</v>
      </c>
      <c r="H60" s="23" t="s">
        <v>168</v>
      </c>
      <c r="I60" s="18" t="s">
        <v>62</v>
      </c>
      <c r="J60" s="18" t="s">
        <v>63</v>
      </c>
    </row>
    <row r="61" customFormat="false" ht="15" hidden="false" customHeight="false" outlineLevel="0" collapsed="false">
      <c r="A61" s="22" t="n">
        <v>57</v>
      </c>
      <c r="B61" s="23" t="s">
        <v>245</v>
      </c>
      <c r="C61" s="23" t="s">
        <v>205</v>
      </c>
      <c r="D61" s="23" t="s">
        <v>591</v>
      </c>
      <c r="E61" s="22" t="n">
        <v>329</v>
      </c>
      <c r="F61" s="22" t="n">
        <v>1</v>
      </c>
      <c r="G61" s="22" t="s">
        <v>66</v>
      </c>
      <c r="H61" s="23" t="s">
        <v>246</v>
      </c>
      <c r="I61" s="18" t="s">
        <v>62</v>
      </c>
      <c r="J61" s="18" t="s">
        <v>63</v>
      </c>
    </row>
    <row r="62" customFormat="false" ht="15" hidden="false" customHeight="false" outlineLevel="0" collapsed="false">
      <c r="A62" s="22" t="n">
        <v>58</v>
      </c>
      <c r="B62" s="23" t="s">
        <v>247</v>
      </c>
      <c r="C62" s="23" t="s">
        <v>205</v>
      </c>
      <c r="D62" s="23" t="s">
        <v>592</v>
      </c>
      <c r="E62" s="22" t="n">
        <v>323</v>
      </c>
      <c r="F62" s="22" t="n">
        <v>1</v>
      </c>
      <c r="G62" s="22" t="s">
        <v>59</v>
      </c>
      <c r="H62" s="23" t="s">
        <v>141</v>
      </c>
      <c r="I62" s="18" t="s">
        <v>62</v>
      </c>
      <c r="J62" s="18" t="s">
        <v>63</v>
      </c>
    </row>
    <row r="63" customFormat="false" ht="15" hidden="false" customHeight="false" outlineLevel="0" collapsed="false">
      <c r="A63" s="22" t="n">
        <v>59</v>
      </c>
      <c r="B63" s="23" t="s">
        <v>248</v>
      </c>
      <c r="C63" s="23" t="s">
        <v>205</v>
      </c>
      <c r="D63" s="23" t="s">
        <v>593</v>
      </c>
      <c r="E63" s="22" t="n">
        <v>319</v>
      </c>
      <c r="F63" s="22" t="n">
        <v>1</v>
      </c>
      <c r="G63" s="22" t="s">
        <v>66</v>
      </c>
      <c r="H63" s="23" t="s">
        <v>168</v>
      </c>
      <c r="I63" s="18" t="s">
        <v>62</v>
      </c>
      <c r="J63" s="18" t="s">
        <v>63</v>
      </c>
    </row>
    <row r="64" customFormat="false" ht="15" hidden="false" customHeight="false" outlineLevel="0" collapsed="false">
      <c r="A64" s="22" t="n">
        <v>60</v>
      </c>
      <c r="B64" s="23" t="s">
        <v>249</v>
      </c>
      <c r="C64" s="23" t="s">
        <v>205</v>
      </c>
      <c r="D64" s="23" t="s">
        <v>594</v>
      </c>
      <c r="E64" s="22" t="n">
        <v>314</v>
      </c>
      <c r="F64" s="22" t="n">
        <v>1</v>
      </c>
      <c r="G64" s="22" t="s">
        <v>115</v>
      </c>
      <c r="H64" s="23" t="s">
        <v>141</v>
      </c>
      <c r="I64" s="18" t="s">
        <v>62</v>
      </c>
      <c r="J64" s="18" t="s">
        <v>63</v>
      </c>
    </row>
    <row r="65" customFormat="false" ht="15" hidden="false" customHeight="false" outlineLevel="0" collapsed="false">
      <c r="A65" s="22" t="n">
        <v>61</v>
      </c>
      <c r="B65" s="23" t="s">
        <v>250</v>
      </c>
      <c r="C65" s="23" t="s">
        <v>208</v>
      </c>
      <c r="D65" s="23" t="s">
        <v>594</v>
      </c>
      <c r="E65" s="22" t="n">
        <v>314</v>
      </c>
      <c r="F65" s="22" t="n">
        <v>1</v>
      </c>
      <c r="G65" s="22" t="s">
        <v>59</v>
      </c>
      <c r="H65" s="23" t="s">
        <v>168</v>
      </c>
      <c r="I65" s="18" t="s">
        <v>62</v>
      </c>
      <c r="J65" s="18" t="s">
        <v>63</v>
      </c>
    </row>
    <row r="66" customFormat="false" ht="15" hidden="false" customHeight="false" outlineLevel="0" collapsed="false">
      <c r="A66" s="22" t="n">
        <v>62</v>
      </c>
      <c r="B66" s="23" t="s">
        <v>251</v>
      </c>
      <c r="C66" s="23" t="s">
        <v>205</v>
      </c>
      <c r="D66" s="23" t="s">
        <v>595</v>
      </c>
      <c r="E66" s="22" t="n">
        <v>306</v>
      </c>
      <c r="F66" s="22" t="n">
        <v>1</v>
      </c>
      <c r="G66" s="22" t="s">
        <v>66</v>
      </c>
      <c r="H66" s="23" t="s">
        <v>141</v>
      </c>
      <c r="I66" s="18" t="s">
        <v>62</v>
      </c>
      <c r="J66" s="18" t="s">
        <v>63</v>
      </c>
    </row>
    <row r="67" customFormat="false" ht="15" hidden="false" customHeight="false" outlineLevel="0" collapsed="false">
      <c r="A67" s="22" t="n">
        <v>63</v>
      </c>
      <c r="B67" s="23" t="s">
        <v>242</v>
      </c>
      <c r="C67" s="23" t="s">
        <v>205</v>
      </c>
      <c r="D67" s="23" t="s">
        <v>596</v>
      </c>
      <c r="E67" s="22" t="n">
        <v>302</v>
      </c>
      <c r="F67" s="22" t="n">
        <v>1</v>
      </c>
      <c r="G67" s="22" t="s">
        <v>59</v>
      </c>
      <c r="H67" s="23" t="s">
        <v>168</v>
      </c>
      <c r="I67" s="18" t="s">
        <v>62</v>
      </c>
      <c r="J67" s="18" t="s">
        <v>63</v>
      </c>
    </row>
    <row r="68" customFormat="false" ht="15" hidden="false" customHeight="false" outlineLevel="0" collapsed="false">
      <c r="A68" s="22" t="n">
        <v>64</v>
      </c>
      <c r="B68" s="23" t="s">
        <v>242</v>
      </c>
      <c r="C68" s="23" t="s">
        <v>205</v>
      </c>
      <c r="D68" s="23" t="s">
        <v>596</v>
      </c>
      <c r="E68" s="22" t="n">
        <v>302</v>
      </c>
      <c r="F68" s="22" t="n">
        <v>1</v>
      </c>
      <c r="G68" s="22" t="s">
        <v>59</v>
      </c>
      <c r="H68" s="23" t="s">
        <v>168</v>
      </c>
      <c r="I68" s="18" t="s">
        <v>62</v>
      </c>
      <c r="J68" s="18" t="s">
        <v>63</v>
      </c>
    </row>
    <row r="69" customFormat="false" ht="15" hidden="false" customHeight="false" outlineLevel="0" collapsed="false">
      <c r="A69" s="22" t="n">
        <v>65</v>
      </c>
      <c r="B69" s="23" t="s">
        <v>252</v>
      </c>
      <c r="C69" s="23" t="s">
        <v>205</v>
      </c>
      <c r="D69" s="23" t="s">
        <v>597</v>
      </c>
      <c r="E69" s="22" t="n">
        <v>289</v>
      </c>
      <c r="F69" s="22" t="n">
        <v>1</v>
      </c>
      <c r="G69" s="22" t="s">
        <v>59</v>
      </c>
      <c r="H69" s="23" t="s">
        <v>141</v>
      </c>
      <c r="I69" s="18" t="s">
        <v>62</v>
      </c>
      <c r="J69" s="18" t="s">
        <v>63</v>
      </c>
    </row>
    <row r="70" customFormat="false" ht="15" hidden="false" customHeight="false" outlineLevel="0" collapsed="false">
      <c r="A70" s="22" t="n">
        <v>66</v>
      </c>
      <c r="B70" s="23" t="s">
        <v>253</v>
      </c>
      <c r="C70" s="23" t="s">
        <v>205</v>
      </c>
      <c r="D70" s="23" t="s">
        <v>598</v>
      </c>
      <c r="E70" s="22" t="n">
        <v>284</v>
      </c>
      <c r="F70" s="22" t="n">
        <v>1</v>
      </c>
      <c r="G70" s="22" t="s">
        <v>59</v>
      </c>
      <c r="H70" s="23" t="s">
        <v>141</v>
      </c>
      <c r="I70" s="18" t="s">
        <v>62</v>
      </c>
      <c r="J70" s="18" t="s">
        <v>63</v>
      </c>
    </row>
    <row r="71" customFormat="false" ht="15" hidden="false" customHeight="false" outlineLevel="0" collapsed="false">
      <c r="A71" s="22" t="n">
        <v>67</v>
      </c>
      <c r="B71" s="23" t="s">
        <v>254</v>
      </c>
      <c r="C71" s="23" t="s">
        <v>205</v>
      </c>
      <c r="D71" s="23" t="s">
        <v>599</v>
      </c>
      <c r="E71" s="22" t="n">
        <v>283</v>
      </c>
      <c r="F71" s="22" t="n">
        <v>1</v>
      </c>
      <c r="G71" s="22" t="s">
        <v>66</v>
      </c>
      <c r="H71" s="23" t="s">
        <v>168</v>
      </c>
      <c r="I71" s="18" t="s">
        <v>62</v>
      </c>
      <c r="J71" s="18" t="s">
        <v>63</v>
      </c>
    </row>
    <row r="72" customFormat="false" ht="15" hidden="false" customHeight="false" outlineLevel="0" collapsed="false">
      <c r="A72" s="22" t="n">
        <v>68</v>
      </c>
      <c r="B72" s="23" t="s">
        <v>255</v>
      </c>
      <c r="C72" s="23" t="s">
        <v>205</v>
      </c>
      <c r="D72" s="23" t="s">
        <v>600</v>
      </c>
      <c r="E72" s="22" t="n">
        <v>278</v>
      </c>
      <c r="F72" s="22" t="n">
        <v>1</v>
      </c>
      <c r="G72" s="22" t="s">
        <v>59</v>
      </c>
      <c r="H72" s="23" t="s">
        <v>256</v>
      </c>
      <c r="I72" s="18" t="s">
        <v>62</v>
      </c>
      <c r="J72" s="18" t="s">
        <v>63</v>
      </c>
    </row>
    <row r="73" customFormat="false" ht="15" hidden="false" customHeight="false" outlineLevel="0" collapsed="false">
      <c r="A73" s="22" t="n">
        <v>69</v>
      </c>
      <c r="B73" s="23" t="s">
        <v>255</v>
      </c>
      <c r="C73" s="23" t="s">
        <v>205</v>
      </c>
      <c r="D73" s="23" t="s">
        <v>601</v>
      </c>
      <c r="E73" s="22" t="n">
        <v>276</v>
      </c>
      <c r="F73" s="22" t="n">
        <v>1</v>
      </c>
      <c r="G73" s="22" t="s">
        <v>59</v>
      </c>
      <c r="H73" s="23" t="s">
        <v>256</v>
      </c>
      <c r="I73" s="18" t="s">
        <v>62</v>
      </c>
      <c r="J73" s="18" t="s">
        <v>63</v>
      </c>
    </row>
    <row r="74" customFormat="false" ht="15" hidden="false" customHeight="false" outlineLevel="0" collapsed="false">
      <c r="A74" s="22" t="n">
        <v>70</v>
      </c>
      <c r="B74" s="23" t="s">
        <v>257</v>
      </c>
      <c r="C74" s="23" t="s">
        <v>205</v>
      </c>
      <c r="D74" s="23" t="s">
        <v>601</v>
      </c>
      <c r="E74" s="22" t="n">
        <v>276</v>
      </c>
      <c r="F74" s="22" t="n">
        <v>1</v>
      </c>
      <c r="G74" s="22" t="s">
        <v>59</v>
      </c>
      <c r="H74" s="23" t="s">
        <v>168</v>
      </c>
      <c r="I74" s="18" t="s">
        <v>62</v>
      </c>
      <c r="J74" s="18" t="s">
        <v>63</v>
      </c>
    </row>
    <row r="75" customFormat="false" ht="15" hidden="false" customHeight="false" outlineLevel="0" collapsed="false">
      <c r="A75" s="22" t="n">
        <v>71</v>
      </c>
      <c r="B75" s="23" t="s">
        <v>258</v>
      </c>
      <c r="C75" s="23" t="s">
        <v>205</v>
      </c>
      <c r="D75" s="23" t="s">
        <v>601</v>
      </c>
      <c r="E75" s="22" t="n">
        <v>276</v>
      </c>
      <c r="F75" s="22" t="n">
        <v>1</v>
      </c>
      <c r="G75" s="22" t="s">
        <v>66</v>
      </c>
      <c r="H75" s="23" t="s">
        <v>168</v>
      </c>
      <c r="I75" s="18" t="s">
        <v>62</v>
      </c>
      <c r="J75" s="18" t="s">
        <v>63</v>
      </c>
    </row>
    <row r="76" customFormat="false" ht="15" hidden="false" customHeight="false" outlineLevel="0" collapsed="false">
      <c r="A76" s="22" t="n">
        <v>72</v>
      </c>
      <c r="B76" s="23" t="s">
        <v>259</v>
      </c>
      <c r="C76" s="23" t="s">
        <v>205</v>
      </c>
      <c r="D76" s="23" t="s">
        <v>602</v>
      </c>
      <c r="E76" s="22" t="n">
        <v>270</v>
      </c>
      <c r="F76" s="22" t="n">
        <v>1</v>
      </c>
      <c r="G76" s="22" t="s">
        <v>66</v>
      </c>
      <c r="H76" s="23" t="s">
        <v>143</v>
      </c>
      <c r="I76" s="18" t="s">
        <v>62</v>
      </c>
      <c r="J76" s="18" t="s">
        <v>63</v>
      </c>
    </row>
    <row r="77" customFormat="false" ht="15" hidden="false" customHeight="false" outlineLevel="0" collapsed="false">
      <c r="A77" s="22" t="n">
        <v>73</v>
      </c>
      <c r="B77" s="23" t="s">
        <v>259</v>
      </c>
      <c r="C77" s="23" t="s">
        <v>205</v>
      </c>
      <c r="D77" s="23" t="s">
        <v>602</v>
      </c>
      <c r="E77" s="22" t="n">
        <v>270</v>
      </c>
      <c r="F77" s="22" t="n">
        <v>1</v>
      </c>
      <c r="G77" s="22" t="s">
        <v>66</v>
      </c>
      <c r="H77" s="23" t="s">
        <v>143</v>
      </c>
      <c r="I77" s="18" t="s">
        <v>62</v>
      </c>
      <c r="J77" s="18" t="s">
        <v>63</v>
      </c>
    </row>
    <row r="78" customFormat="false" ht="15" hidden="false" customHeight="false" outlineLevel="0" collapsed="false">
      <c r="A78" s="22" t="n">
        <v>74</v>
      </c>
      <c r="B78" s="23" t="s">
        <v>76</v>
      </c>
      <c r="C78" s="23" t="s">
        <v>58</v>
      </c>
      <c r="D78" s="23" t="s">
        <v>603</v>
      </c>
      <c r="E78" s="22" t="n">
        <v>266</v>
      </c>
      <c r="F78" s="22" t="n">
        <v>2</v>
      </c>
      <c r="G78" s="22" t="s">
        <v>66</v>
      </c>
      <c r="H78" s="23" t="s">
        <v>77</v>
      </c>
      <c r="I78" s="18" t="s">
        <v>62</v>
      </c>
      <c r="J78" s="18" t="s">
        <v>63</v>
      </c>
    </row>
    <row r="79" customFormat="false" ht="15" hidden="false" customHeight="false" outlineLevel="0" collapsed="false">
      <c r="A79" s="22" t="n">
        <v>75</v>
      </c>
      <c r="B79" s="23" t="s">
        <v>260</v>
      </c>
      <c r="C79" s="23" t="s">
        <v>205</v>
      </c>
      <c r="D79" s="23" t="s">
        <v>603</v>
      </c>
      <c r="E79" s="22" t="n">
        <v>266</v>
      </c>
      <c r="F79" s="22" t="n">
        <v>1</v>
      </c>
      <c r="G79" s="22" t="s">
        <v>59</v>
      </c>
      <c r="H79" s="23" t="s">
        <v>168</v>
      </c>
      <c r="I79" s="18" t="s">
        <v>62</v>
      </c>
      <c r="J79" s="18" t="s">
        <v>63</v>
      </c>
    </row>
    <row r="80" customFormat="false" ht="15" hidden="false" customHeight="false" outlineLevel="0" collapsed="false">
      <c r="A80" s="22" t="n">
        <v>76</v>
      </c>
      <c r="B80" s="23" t="s">
        <v>261</v>
      </c>
      <c r="C80" s="23" t="s">
        <v>205</v>
      </c>
      <c r="D80" s="23" t="s">
        <v>604</v>
      </c>
      <c r="E80" s="22" t="n">
        <v>263</v>
      </c>
      <c r="F80" s="22" t="n">
        <v>1</v>
      </c>
      <c r="G80" s="22" t="s">
        <v>66</v>
      </c>
      <c r="H80" s="23" t="s">
        <v>141</v>
      </c>
      <c r="I80" s="18" t="s">
        <v>62</v>
      </c>
      <c r="J80" s="18" t="s">
        <v>63</v>
      </c>
    </row>
    <row r="81" customFormat="false" ht="15" hidden="false" customHeight="false" outlineLevel="0" collapsed="false">
      <c r="A81" s="22" t="n">
        <v>77</v>
      </c>
      <c r="B81" s="23" t="s">
        <v>94</v>
      </c>
      <c r="C81" s="23" t="s">
        <v>58</v>
      </c>
      <c r="D81" s="23" t="s">
        <v>605</v>
      </c>
      <c r="E81" s="22" t="n">
        <v>255</v>
      </c>
      <c r="F81" s="22" t="n">
        <v>1</v>
      </c>
      <c r="G81" s="22" t="s">
        <v>59</v>
      </c>
      <c r="H81" s="23" t="s">
        <v>96</v>
      </c>
      <c r="I81" s="18" t="s">
        <v>62</v>
      </c>
      <c r="J81" s="18" t="s">
        <v>63</v>
      </c>
    </row>
    <row r="82" customFormat="false" ht="15" hidden="false" customHeight="false" outlineLevel="0" collapsed="false">
      <c r="A82" s="22" t="n">
        <v>78</v>
      </c>
      <c r="B82" s="23" t="s">
        <v>262</v>
      </c>
      <c r="C82" s="23" t="s">
        <v>233</v>
      </c>
      <c r="D82" s="23" t="s">
        <v>606</v>
      </c>
      <c r="E82" s="22" t="n">
        <v>252</v>
      </c>
      <c r="F82" s="22" t="n">
        <v>1</v>
      </c>
      <c r="G82" s="22" t="s">
        <v>59</v>
      </c>
      <c r="H82" s="23" t="s">
        <v>168</v>
      </c>
      <c r="I82" s="18" t="s">
        <v>62</v>
      </c>
      <c r="J82" s="18" t="s">
        <v>63</v>
      </c>
    </row>
    <row r="83" customFormat="false" ht="15" hidden="false" customHeight="false" outlineLevel="0" collapsed="false">
      <c r="A83" s="22" t="n">
        <v>79</v>
      </c>
      <c r="B83" s="23" t="s">
        <v>262</v>
      </c>
      <c r="C83" s="23" t="s">
        <v>233</v>
      </c>
      <c r="D83" s="23" t="s">
        <v>606</v>
      </c>
      <c r="E83" s="22" t="n">
        <v>252</v>
      </c>
      <c r="F83" s="22" t="n">
        <v>1</v>
      </c>
      <c r="G83" s="22" t="s">
        <v>59</v>
      </c>
      <c r="H83" s="23" t="s">
        <v>168</v>
      </c>
      <c r="I83" s="18" t="s">
        <v>62</v>
      </c>
      <c r="J83" s="18" t="s">
        <v>63</v>
      </c>
    </row>
    <row r="84" customFormat="false" ht="15" hidden="false" customHeight="false" outlineLevel="0" collapsed="false">
      <c r="A84" s="22" t="n">
        <v>80</v>
      </c>
      <c r="B84" s="23" t="s">
        <v>263</v>
      </c>
      <c r="C84" s="23" t="s">
        <v>205</v>
      </c>
      <c r="D84" s="23" t="s">
        <v>607</v>
      </c>
      <c r="E84" s="22" t="n">
        <v>248</v>
      </c>
      <c r="F84" s="22" t="n">
        <v>1</v>
      </c>
      <c r="G84" s="22" t="s">
        <v>59</v>
      </c>
      <c r="H84" s="23" t="s">
        <v>168</v>
      </c>
      <c r="I84" s="18" t="s">
        <v>62</v>
      </c>
      <c r="J84" s="18" t="s">
        <v>63</v>
      </c>
    </row>
    <row r="85" customFormat="false" ht="15" hidden="false" customHeight="false" outlineLevel="0" collapsed="false">
      <c r="A85" s="22" t="n">
        <v>81</v>
      </c>
      <c r="B85" s="23" t="s">
        <v>64</v>
      </c>
      <c r="C85" s="23" t="s">
        <v>58</v>
      </c>
      <c r="D85" s="23" t="s">
        <v>608</v>
      </c>
      <c r="E85" s="22" t="n">
        <v>246</v>
      </c>
      <c r="F85" s="22" t="n">
        <v>1</v>
      </c>
      <c r="G85" s="22" t="s">
        <v>59</v>
      </c>
      <c r="H85" s="23" t="s">
        <v>580</v>
      </c>
      <c r="I85" s="18" t="s">
        <v>62</v>
      </c>
      <c r="J85" s="18" t="s">
        <v>63</v>
      </c>
    </row>
    <row r="86" customFormat="false" ht="15" hidden="false" customHeight="false" outlineLevel="0" collapsed="false">
      <c r="A86" s="22" t="n">
        <v>82</v>
      </c>
      <c r="B86" s="23" t="s">
        <v>264</v>
      </c>
      <c r="C86" s="23" t="s">
        <v>205</v>
      </c>
      <c r="D86" s="23" t="s">
        <v>609</v>
      </c>
      <c r="E86" s="22" t="n">
        <v>242</v>
      </c>
      <c r="F86" s="22" t="n">
        <v>2</v>
      </c>
      <c r="G86" s="22" t="s">
        <v>66</v>
      </c>
      <c r="H86" s="23" t="s">
        <v>211</v>
      </c>
      <c r="I86" s="18" t="s">
        <v>62</v>
      </c>
      <c r="J86" s="18" t="s">
        <v>63</v>
      </c>
    </row>
    <row r="87" customFormat="false" ht="15" hidden="false" customHeight="false" outlineLevel="0" collapsed="false">
      <c r="A87" s="22" t="n">
        <v>83</v>
      </c>
      <c r="B87" s="23" t="s">
        <v>264</v>
      </c>
      <c r="C87" s="23" t="s">
        <v>205</v>
      </c>
      <c r="D87" s="23" t="s">
        <v>609</v>
      </c>
      <c r="E87" s="22" t="n">
        <v>242</v>
      </c>
      <c r="F87" s="22" t="n">
        <v>1</v>
      </c>
      <c r="G87" s="22" t="s">
        <v>66</v>
      </c>
      <c r="H87" s="23" t="s">
        <v>211</v>
      </c>
      <c r="I87" s="18" t="s">
        <v>62</v>
      </c>
      <c r="J87" s="18" t="s">
        <v>63</v>
      </c>
    </row>
    <row r="88" customFormat="false" ht="15" hidden="false" customHeight="false" outlineLevel="0" collapsed="false">
      <c r="A88" s="22" t="n">
        <v>84</v>
      </c>
      <c r="B88" s="23" t="s">
        <v>262</v>
      </c>
      <c r="C88" s="23" t="s">
        <v>233</v>
      </c>
      <c r="D88" s="23" t="s">
        <v>610</v>
      </c>
      <c r="E88" s="22" t="n">
        <v>240</v>
      </c>
      <c r="F88" s="22" t="n">
        <v>1</v>
      </c>
      <c r="G88" s="22" t="s">
        <v>59</v>
      </c>
      <c r="H88" s="23" t="s">
        <v>168</v>
      </c>
      <c r="I88" s="18" t="s">
        <v>62</v>
      </c>
      <c r="J88" s="18" t="s">
        <v>63</v>
      </c>
    </row>
    <row r="89" customFormat="false" ht="15" hidden="false" customHeight="false" outlineLevel="0" collapsed="false">
      <c r="A89" s="22" t="n">
        <v>85</v>
      </c>
      <c r="B89" s="23" t="s">
        <v>265</v>
      </c>
      <c r="C89" s="23" t="s">
        <v>205</v>
      </c>
      <c r="D89" s="23" t="s">
        <v>611</v>
      </c>
      <c r="E89" s="22" t="n">
        <v>239</v>
      </c>
      <c r="F89" s="22" t="n">
        <v>1</v>
      </c>
      <c r="G89" s="22" t="s">
        <v>66</v>
      </c>
      <c r="H89" s="23" t="s">
        <v>141</v>
      </c>
      <c r="I89" s="18" t="s">
        <v>62</v>
      </c>
      <c r="J89" s="18" t="s">
        <v>63</v>
      </c>
    </row>
    <row r="90" customFormat="false" ht="15" hidden="false" customHeight="false" outlineLevel="0" collapsed="false">
      <c r="A90" s="22" t="n">
        <v>86</v>
      </c>
      <c r="B90" s="23" t="s">
        <v>266</v>
      </c>
      <c r="C90" s="23" t="s">
        <v>205</v>
      </c>
      <c r="D90" s="23" t="s">
        <v>612</v>
      </c>
      <c r="E90" s="22" t="n">
        <v>234</v>
      </c>
      <c r="F90" s="22" t="n">
        <v>1</v>
      </c>
      <c r="G90" s="22" t="s">
        <v>59</v>
      </c>
      <c r="H90" s="23" t="s">
        <v>141</v>
      </c>
      <c r="I90" s="18" t="s">
        <v>62</v>
      </c>
      <c r="J90" s="18" t="s">
        <v>63</v>
      </c>
    </row>
    <row r="91" customFormat="false" ht="15" hidden="false" customHeight="false" outlineLevel="0" collapsed="false">
      <c r="A91" s="22" t="n">
        <v>87</v>
      </c>
      <c r="B91" s="23" t="s">
        <v>266</v>
      </c>
      <c r="C91" s="23" t="s">
        <v>205</v>
      </c>
      <c r="D91" s="23" t="s">
        <v>612</v>
      </c>
      <c r="E91" s="22" t="n">
        <v>234</v>
      </c>
      <c r="F91" s="22" t="n">
        <v>1</v>
      </c>
      <c r="G91" s="22" t="s">
        <v>59</v>
      </c>
      <c r="H91" s="23" t="s">
        <v>613</v>
      </c>
      <c r="I91" s="18" t="s">
        <v>62</v>
      </c>
      <c r="J91" s="18" t="s">
        <v>63</v>
      </c>
    </row>
    <row r="92" customFormat="false" ht="15" hidden="false" customHeight="false" outlineLevel="0" collapsed="false">
      <c r="A92" s="22" t="n">
        <v>88</v>
      </c>
      <c r="B92" s="23" t="s">
        <v>268</v>
      </c>
      <c r="C92" s="23" t="s">
        <v>205</v>
      </c>
      <c r="D92" s="23" t="s">
        <v>614</v>
      </c>
      <c r="E92" s="22" t="n">
        <v>227</v>
      </c>
      <c r="F92" s="22" t="n">
        <v>1</v>
      </c>
      <c r="G92" s="22" t="s">
        <v>59</v>
      </c>
      <c r="H92" s="23" t="s">
        <v>168</v>
      </c>
      <c r="I92" s="18" t="s">
        <v>62</v>
      </c>
      <c r="J92" s="18" t="s">
        <v>63</v>
      </c>
    </row>
    <row r="93" customFormat="false" ht="15" hidden="false" customHeight="false" outlineLevel="0" collapsed="false">
      <c r="A93" s="22" t="n">
        <v>89</v>
      </c>
      <c r="B93" s="23" t="s">
        <v>268</v>
      </c>
      <c r="C93" s="23" t="s">
        <v>205</v>
      </c>
      <c r="D93" s="23" t="s">
        <v>614</v>
      </c>
      <c r="E93" s="22" t="n">
        <v>227</v>
      </c>
      <c r="F93" s="22" t="n">
        <v>2</v>
      </c>
      <c r="G93" s="22" t="s">
        <v>66</v>
      </c>
      <c r="H93" s="23" t="s">
        <v>168</v>
      </c>
      <c r="I93" s="18" t="s">
        <v>62</v>
      </c>
      <c r="J93" s="18" t="s">
        <v>63</v>
      </c>
    </row>
    <row r="94" customFormat="false" ht="15" hidden="false" customHeight="false" outlineLevel="0" collapsed="false">
      <c r="A94" s="22" t="n">
        <v>90</v>
      </c>
      <c r="B94" s="23" t="s">
        <v>268</v>
      </c>
      <c r="C94" s="23" t="s">
        <v>205</v>
      </c>
      <c r="D94" s="23" t="s">
        <v>615</v>
      </c>
      <c r="E94" s="22" t="n">
        <v>226</v>
      </c>
      <c r="F94" s="22" t="n">
        <v>2</v>
      </c>
      <c r="G94" s="22" t="s">
        <v>66</v>
      </c>
      <c r="H94" s="23" t="s">
        <v>168</v>
      </c>
      <c r="I94" s="18" t="s">
        <v>62</v>
      </c>
      <c r="J94" s="18" t="s">
        <v>63</v>
      </c>
    </row>
    <row r="95" customFormat="false" ht="15" hidden="false" customHeight="false" outlineLevel="0" collapsed="false">
      <c r="A95" s="22" t="n">
        <v>91</v>
      </c>
      <c r="B95" s="23" t="s">
        <v>269</v>
      </c>
      <c r="C95" s="23" t="s">
        <v>205</v>
      </c>
      <c r="D95" s="23" t="s">
        <v>616</v>
      </c>
      <c r="E95" s="22" t="n">
        <v>224</v>
      </c>
      <c r="F95" s="22" t="n">
        <v>1</v>
      </c>
      <c r="G95" s="22" t="s">
        <v>115</v>
      </c>
      <c r="H95" s="23" t="s">
        <v>270</v>
      </c>
      <c r="I95" s="18" t="s">
        <v>62</v>
      </c>
      <c r="J95" s="18" t="s">
        <v>63</v>
      </c>
    </row>
    <row r="96" customFormat="false" ht="15" hidden="false" customHeight="false" outlineLevel="0" collapsed="false">
      <c r="A96" s="22" t="n">
        <v>92</v>
      </c>
      <c r="B96" s="23" t="s">
        <v>269</v>
      </c>
      <c r="C96" s="23" t="s">
        <v>205</v>
      </c>
      <c r="D96" s="23" t="s">
        <v>617</v>
      </c>
      <c r="E96" s="22" t="n">
        <v>221</v>
      </c>
      <c r="F96" s="22" t="n">
        <v>1</v>
      </c>
      <c r="G96" s="22" t="s">
        <v>66</v>
      </c>
      <c r="H96" s="23" t="s">
        <v>270</v>
      </c>
      <c r="I96" s="18" t="s">
        <v>62</v>
      </c>
      <c r="J96" s="18" t="s">
        <v>63</v>
      </c>
    </row>
    <row r="97" customFormat="false" ht="15" hidden="false" customHeight="false" outlineLevel="0" collapsed="false">
      <c r="A97" s="22" t="n">
        <v>93</v>
      </c>
      <c r="B97" s="23" t="s">
        <v>271</v>
      </c>
      <c r="C97" s="23" t="s">
        <v>205</v>
      </c>
      <c r="D97" s="23" t="s">
        <v>618</v>
      </c>
      <c r="E97" s="22" t="n">
        <v>220</v>
      </c>
      <c r="F97" s="22" t="n">
        <v>1</v>
      </c>
      <c r="G97" s="22" t="s">
        <v>59</v>
      </c>
      <c r="H97" s="23" t="s">
        <v>168</v>
      </c>
      <c r="I97" s="18" t="s">
        <v>62</v>
      </c>
      <c r="J97" s="18" t="s">
        <v>63</v>
      </c>
    </row>
    <row r="98" customFormat="false" ht="15" hidden="false" customHeight="false" outlineLevel="0" collapsed="false">
      <c r="A98" s="22" t="n">
        <v>94</v>
      </c>
      <c r="B98" s="23" t="s">
        <v>64</v>
      </c>
      <c r="C98" s="23" t="s">
        <v>58</v>
      </c>
      <c r="D98" s="23" t="s">
        <v>619</v>
      </c>
      <c r="E98" s="22" t="n">
        <v>217</v>
      </c>
      <c r="F98" s="22" t="n">
        <v>1</v>
      </c>
      <c r="G98" s="22" t="s">
        <v>59</v>
      </c>
      <c r="H98" s="23" t="s">
        <v>580</v>
      </c>
      <c r="I98" s="18" t="s">
        <v>62</v>
      </c>
      <c r="J98" s="18" t="s">
        <v>63</v>
      </c>
    </row>
    <row r="99" customFormat="false" ht="15" hidden="false" customHeight="false" outlineLevel="0" collapsed="false">
      <c r="A99" s="22" t="n">
        <v>95</v>
      </c>
      <c r="B99" s="23" t="s">
        <v>272</v>
      </c>
      <c r="C99" s="23" t="s">
        <v>205</v>
      </c>
      <c r="D99" s="23" t="s">
        <v>620</v>
      </c>
      <c r="E99" s="22" t="n">
        <v>212</v>
      </c>
      <c r="F99" s="22" t="n">
        <v>1</v>
      </c>
      <c r="G99" s="22" t="s">
        <v>59</v>
      </c>
      <c r="H99" s="23" t="s">
        <v>168</v>
      </c>
      <c r="I99" s="18" t="s">
        <v>62</v>
      </c>
      <c r="J99" s="18" t="s">
        <v>63</v>
      </c>
    </row>
    <row r="100" customFormat="false" ht="15" hidden="false" customHeight="false" outlineLevel="0" collapsed="false">
      <c r="A100" s="22" t="n">
        <v>96</v>
      </c>
      <c r="B100" s="23" t="s">
        <v>64</v>
      </c>
      <c r="C100" s="23" t="s">
        <v>58</v>
      </c>
      <c r="D100" s="23" t="s">
        <v>621</v>
      </c>
      <c r="E100" s="22" t="n">
        <v>210</v>
      </c>
      <c r="F100" s="22" t="n">
        <v>1</v>
      </c>
      <c r="G100" s="22" t="s">
        <v>66</v>
      </c>
      <c r="H100" s="23" t="s">
        <v>580</v>
      </c>
      <c r="I100" s="18" t="s">
        <v>62</v>
      </c>
      <c r="J100" s="18" t="s">
        <v>63</v>
      </c>
    </row>
    <row r="101" customFormat="false" ht="15" hidden="false" customHeight="false" outlineLevel="0" collapsed="false">
      <c r="A101" s="22" t="n">
        <v>97</v>
      </c>
      <c r="B101" s="23" t="s">
        <v>273</v>
      </c>
      <c r="C101" s="23" t="s">
        <v>205</v>
      </c>
      <c r="D101" s="23" t="s">
        <v>621</v>
      </c>
      <c r="E101" s="22" t="n">
        <v>210</v>
      </c>
      <c r="F101" s="22" t="n">
        <v>1</v>
      </c>
      <c r="G101" s="22" t="s">
        <v>66</v>
      </c>
      <c r="H101" s="23" t="s">
        <v>168</v>
      </c>
      <c r="I101" s="18" t="s">
        <v>62</v>
      </c>
      <c r="J101" s="18" t="s">
        <v>63</v>
      </c>
    </row>
    <row r="102" customFormat="false" ht="15" hidden="false" customHeight="false" outlineLevel="0" collapsed="false">
      <c r="A102" s="22" t="n">
        <v>98</v>
      </c>
      <c r="B102" s="23" t="s">
        <v>237</v>
      </c>
      <c r="C102" s="23" t="s">
        <v>205</v>
      </c>
      <c r="D102" s="23" t="s">
        <v>622</v>
      </c>
      <c r="E102" s="22" t="n">
        <v>197</v>
      </c>
      <c r="F102" s="22" t="n">
        <v>2</v>
      </c>
      <c r="G102" s="22" t="s">
        <v>66</v>
      </c>
      <c r="H102" s="23" t="s">
        <v>141</v>
      </c>
      <c r="I102" s="18" t="s">
        <v>62</v>
      </c>
      <c r="J102" s="18" t="s">
        <v>63</v>
      </c>
    </row>
    <row r="103" customFormat="false" ht="15" hidden="false" customHeight="false" outlineLevel="0" collapsed="false">
      <c r="A103" s="22" t="n">
        <v>99</v>
      </c>
      <c r="B103" s="23" t="s">
        <v>274</v>
      </c>
      <c r="C103" s="23" t="s">
        <v>205</v>
      </c>
      <c r="D103" s="23" t="s">
        <v>622</v>
      </c>
      <c r="E103" s="22" t="n">
        <v>197</v>
      </c>
      <c r="F103" s="22" t="n">
        <v>1</v>
      </c>
      <c r="G103" s="22" t="s">
        <v>66</v>
      </c>
      <c r="H103" s="23" t="s">
        <v>141</v>
      </c>
      <c r="I103" s="18" t="s">
        <v>62</v>
      </c>
      <c r="J103" s="18" t="s">
        <v>63</v>
      </c>
    </row>
    <row r="104" customFormat="false" ht="15" hidden="false" customHeight="false" outlineLevel="0" collapsed="false">
      <c r="A104" s="22" t="n">
        <v>100</v>
      </c>
      <c r="B104" s="23" t="s">
        <v>275</v>
      </c>
      <c r="C104" s="23" t="s">
        <v>205</v>
      </c>
      <c r="D104" s="23" t="s">
        <v>623</v>
      </c>
      <c r="E104" s="22" t="n">
        <v>196</v>
      </c>
      <c r="F104" s="22" t="n">
        <v>1</v>
      </c>
      <c r="G104" s="22" t="s">
        <v>66</v>
      </c>
      <c r="H104" s="23" t="s">
        <v>168</v>
      </c>
      <c r="I104" s="18" t="s">
        <v>62</v>
      </c>
      <c r="J104" s="18" t="s">
        <v>63</v>
      </c>
    </row>
    <row r="105" customFormat="false" ht="15" hidden="false" customHeight="false" outlineLevel="0" collapsed="false">
      <c r="A105" s="22" t="n">
        <v>101</v>
      </c>
      <c r="B105" s="23" t="s">
        <v>64</v>
      </c>
      <c r="C105" s="23" t="s">
        <v>58</v>
      </c>
      <c r="D105" s="23" t="s">
        <v>624</v>
      </c>
      <c r="E105" s="22" t="n">
        <v>193</v>
      </c>
      <c r="F105" s="22" t="n">
        <v>2</v>
      </c>
      <c r="G105" s="22" t="s">
        <v>66</v>
      </c>
      <c r="H105" s="23" t="s">
        <v>580</v>
      </c>
      <c r="I105" s="18" t="s">
        <v>62</v>
      </c>
      <c r="J105" s="18" t="s">
        <v>63</v>
      </c>
    </row>
    <row r="106" customFormat="false" ht="15" hidden="false" customHeight="false" outlineLevel="0" collapsed="false">
      <c r="A106" s="22" t="n">
        <v>102</v>
      </c>
      <c r="B106" s="23" t="s">
        <v>276</v>
      </c>
      <c r="C106" s="23" t="s">
        <v>205</v>
      </c>
      <c r="D106" s="23" t="s">
        <v>624</v>
      </c>
      <c r="E106" s="22" t="n">
        <v>193</v>
      </c>
      <c r="F106" s="22" t="n">
        <v>1</v>
      </c>
      <c r="G106" s="22" t="s">
        <v>66</v>
      </c>
      <c r="H106" s="23" t="s">
        <v>141</v>
      </c>
      <c r="I106" s="18" t="s">
        <v>62</v>
      </c>
      <c r="J106" s="18" t="s">
        <v>63</v>
      </c>
    </row>
    <row r="107" customFormat="false" ht="15" hidden="false" customHeight="false" outlineLevel="0" collapsed="false">
      <c r="A107" s="22" t="n">
        <v>103</v>
      </c>
      <c r="B107" s="23" t="s">
        <v>277</v>
      </c>
      <c r="C107" s="23" t="s">
        <v>205</v>
      </c>
      <c r="D107" s="23" t="s">
        <v>624</v>
      </c>
      <c r="E107" s="22" t="n">
        <v>193</v>
      </c>
      <c r="F107" s="22" t="n">
        <v>1</v>
      </c>
      <c r="G107" s="22" t="s">
        <v>66</v>
      </c>
      <c r="H107" s="23" t="s">
        <v>168</v>
      </c>
      <c r="I107" s="18" t="s">
        <v>62</v>
      </c>
      <c r="J107" s="18" t="s">
        <v>63</v>
      </c>
    </row>
    <row r="108" customFormat="false" ht="15" hidden="false" customHeight="false" outlineLevel="0" collapsed="false">
      <c r="A108" s="22" t="n">
        <v>104</v>
      </c>
      <c r="B108" s="23" t="s">
        <v>278</v>
      </c>
      <c r="C108" s="23" t="s">
        <v>205</v>
      </c>
      <c r="D108" s="23" t="s">
        <v>625</v>
      </c>
      <c r="E108" s="22" t="n">
        <v>190</v>
      </c>
      <c r="F108" s="22" t="n">
        <v>1</v>
      </c>
      <c r="G108" s="22" t="s">
        <v>59</v>
      </c>
      <c r="H108" s="23" t="s">
        <v>279</v>
      </c>
      <c r="I108" s="18" t="s">
        <v>62</v>
      </c>
      <c r="J108" s="18" t="s">
        <v>63</v>
      </c>
    </row>
    <row r="109" customFormat="false" ht="15" hidden="false" customHeight="false" outlineLevel="0" collapsed="false">
      <c r="A109" s="22" t="n">
        <v>105</v>
      </c>
      <c r="B109" s="23" t="s">
        <v>89</v>
      </c>
      <c r="C109" s="23" t="s">
        <v>58</v>
      </c>
      <c r="D109" s="23" t="s">
        <v>626</v>
      </c>
      <c r="E109" s="22" t="n">
        <v>186</v>
      </c>
      <c r="F109" s="22" t="n">
        <v>3</v>
      </c>
      <c r="G109" s="22" t="s">
        <v>66</v>
      </c>
      <c r="H109" s="23" t="s">
        <v>90</v>
      </c>
      <c r="I109" s="18" t="s">
        <v>62</v>
      </c>
      <c r="J109" s="18" t="s">
        <v>63</v>
      </c>
    </row>
    <row r="110" customFormat="false" ht="15" hidden="false" customHeight="false" outlineLevel="0" collapsed="false">
      <c r="A110" s="22" t="n">
        <v>106</v>
      </c>
      <c r="B110" s="23" t="s">
        <v>280</v>
      </c>
      <c r="C110" s="23" t="s">
        <v>208</v>
      </c>
      <c r="D110" s="23" t="s">
        <v>627</v>
      </c>
      <c r="E110" s="22" t="n">
        <v>185</v>
      </c>
      <c r="F110" s="22" t="n">
        <v>1</v>
      </c>
      <c r="G110" s="22" t="s">
        <v>59</v>
      </c>
      <c r="H110" s="23" t="s">
        <v>143</v>
      </c>
      <c r="I110" s="18" t="s">
        <v>62</v>
      </c>
      <c r="J110" s="18" t="s">
        <v>63</v>
      </c>
    </row>
    <row r="111" customFormat="false" ht="15" hidden="false" customHeight="false" outlineLevel="0" collapsed="false">
      <c r="A111" s="22" t="n">
        <v>107</v>
      </c>
      <c r="B111" s="23" t="s">
        <v>281</v>
      </c>
      <c r="C111" s="23" t="s">
        <v>205</v>
      </c>
      <c r="D111" s="23" t="s">
        <v>628</v>
      </c>
      <c r="E111" s="22" t="n">
        <v>184</v>
      </c>
      <c r="F111" s="22" t="n">
        <v>2</v>
      </c>
      <c r="G111" s="22" t="s">
        <v>66</v>
      </c>
      <c r="H111" s="23" t="s">
        <v>629</v>
      </c>
      <c r="I111" s="18" t="s">
        <v>62</v>
      </c>
      <c r="J111" s="18" t="s">
        <v>63</v>
      </c>
    </row>
    <row r="112" customFormat="false" ht="15" hidden="false" customHeight="false" outlineLevel="0" collapsed="false">
      <c r="A112" s="22" t="n">
        <v>108</v>
      </c>
      <c r="B112" s="23" t="s">
        <v>283</v>
      </c>
      <c r="C112" s="23" t="s">
        <v>205</v>
      </c>
      <c r="D112" s="23" t="s">
        <v>630</v>
      </c>
      <c r="E112" s="22" t="n">
        <v>183</v>
      </c>
      <c r="F112" s="22" t="n">
        <v>1</v>
      </c>
      <c r="G112" s="22" t="s">
        <v>66</v>
      </c>
      <c r="H112" s="23" t="s">
        <v>168</v>
      </c>
      <c r="I112" s="18" t="s">
        <v>62</v>
      </c>
      <c r="J112" s="18" t="s">
        <v>63</v>
      </c>
    </row>
    <row r="113" customFormat="false" ht="15" hidden="false" customHeight="false" outlineLevel="0" collapsed="false">
      <c r="A113" s="22" t="n">
        <v>109</v>
      </c>
      <c r="B113" s="23" t="s">
        <v>284</v>
      </c>
      <c r="C113" s="23" t="s">
        <v>205</v>
      </c>
      <c r="D113" s="23" t="s">
        <v>631</v>
      </c>
      <c r="E113" s="22" t="n">
        <v>182</v>
      </c>
      <c r="F113" s="22" t="n">
        <v>1</v>
      </c>
      <c r="G113" s="22" t="s">
        <v>59</v>
      </c>
      <c r="H113" s="23" t="s">
        <v>168</v>
      </c>
      <c r="I113" s="18" t="s">
        <v>62</v>
      </c>
      <c r="J113" s="18" t="s">
        <v>63</v>
      </c>
    </row>
    <row r="114" customFormat="false" ht="15" hidden="false" customHeight="false" outlineLevel="0" collapsed="false">
      <c r="A114" s="22" t="n">
        <v>110</v>
      </c>
      <c r="B114" s="23" t="s">
        <v>285</v>
      </c>
      <c r="C114" s="23" t="s">
        <v>205</v>
      </c>
      <c r="D114" s="23" t="s">
        <v>632</v>
      </c>
      <c r="E114" s="22" t="n">
        <v>177</v>
      </c>
      <c r="F114" s="22" t="n">
        <v>1</v>
      </c>
      <c r="G114" s="22" t="s">
        <v>59</v>
      </c>
      <c r="H114" s="23" t="s">
        <v>143</v>
      </c>
      <c r="I114" s="18" t="s">
        <v>62</v>
      </c>
      <c r="J114" s="18" t="s">
        <v>63</v>
      </c>
    </row>
    <row r="115" customFormat="false" ht="15" hidden="false" customHeight="false" outlineLevel="0" collapsed="false">
      <c r="A115" s="22" t="n">
        <v>111</v>
      </c>
      <c r="B115" s="23" t="s">
        <v>286</v>
      </c>
      <c r="C115" s="23" t="s">
        <v>205</v>
      </c>
      <c r="D115" s="23" t="s">
        <v>633</v>
      </c>
      <c r="E115" s="22" t="n">
        <v>176</v>
      </c>
      <c r="F115" s="22" t="n">
        <v>1</v>
      </c>
      <c r="G115" s="22" t="s">
        <v>66</v>
      </c>
      <c r="H115" s="23" t="s">
        <v>287</v>
      </c>
      <c r="I115" s="18" t="s">
        <v>62</v>
      </c>
      <c r="J115" s="18" t="s">
        <v>63</v>
      </c>
    </row>
    <row r="116" customFormat="false" ht="15" hidden="false" customHeight="false" outlineLevel="0" collapsed="false">
      <c r="A116" s="22" t="n">
        <v>112</v>
      </c>
      <c r="B116" s="23" t="s">
        <v>288</v>
      </c>
      <c r="C116" s="23" t="s">
        <v>205</v>
      </c>
      <c r="D116" s="23" t="s">
        <v>634</v>
      </c>
      <c r="E116" s="22" t="n">
        <v>173</v>
      </c>
      <c r="F116" s="22" t="n">
        <v>1</v>
      </c>
      <c r="G116" s="22" t="s">
        <v>59</v>
      </c>
      <c r="H116" s="23" t="s">
        <v>168</v>
      </c>
      <c r="I116" s="18" t="s">
        <v>62</v>
      </c>
      <c r="J116" s="18" t="s">
        <v>63</v>
      </c>
    </row>
    <row r="117" customFormat="false" ht="15" hidden="false" customHeight="false" outlineLevel="0" collapsed="false">
      <c r="A117" s="22" t="n">
        <v>113</v>
      </c>
      <c r="B117" s="23" t="s">
        <v>289</v>
      </c>
      <c r="C117" s="23" t="s">
        <v>205</v>
      </c>
      <c r="D117" s="23" t="s">
        <v>635</v>
      </c>
      <c r="E117" s="22" t="n">
        <v>172</v>
      </c>
      <c r="F117" s="22" t="n">
        <v>1</v>
      </c>
      <c r="G117" s="22" t="s">
        <v>115</v>
      </c>
      <c r="H117" s="23" t="s">
        <v>141</v>
      </c>
      <c r="I117" s="18" t="s">
        <v>62</v>
      </c>
      <c r="J117" s="18" t="s">
        <v>63</v>
      </c>
    </row>
    <row r="118" customFormat="false" ht="15" hidden="false" customHeight="false" outlineLevel="0" collapsed="false">
      <c r="A118" s="22" t="n">
        <v>114</v>
      </c>
      <c r="B118" s="23" t="s">
        <v>290</v>
      </c>
      <c r="C118" s="23" t="s">
        <v>205</v>
      </c>
      <c r="D118" s="23" t="s">
        <v>636</v>
      </c>
      <c r="E118" s="22" t="n">
        <v>170</v>
      </c>
      <c r="F118" s="22" t="n">
        <v>1</v>
      </c>
      <c r="G118" s="22" t="s">
        <v>66</v>
      </c>
      <c r="H118" s="23" t="s">
        <v>141</v>
      </c>
      <c r="I118" s="18" t="s">
        <v>62</v>
      </c>
      <c r="J118" s="18" t="s">
        <v>63</v>
      </c>
    </row>
    <row r="119" customFormat="false" ht="15" hidden="false" customHeight="false" outlineLevel="0" collapsed="false">
      <c r="A119" s="22" t="n">
        <v>115</v>
      </c>
      <c r="B119" s="23" t="s">
        <v>64</v>
      </c>
      <c r="C119" s="23" t="s">
        <v>58</v>
      </c>
      <c r="D119" s="23" t="s">
        <v>637</v>
      </c>
      <c r="E119" s="22" t="n">
        <v>163</v>
      </c>
      <c r="F119" s="22" t="n">
        <v>2</v>
      </c>
      <c r="G119" s="22" t="s">
        <v>66</v>
      </c>
      <c r="H119" s="23" t="s">
        <v>580</v>
      </c>
      <c r="I119" s="18" t="s">
        <v>62</v>
      </c>
      <c r="J119" s="18" t="s">
        <v>63</v>
      </c>
    </row>
    <row r="120" customFormat="false" ht="15" hidden="false" customHeight="false" outlineLevel="0" collapsed="false">
      <c r="A120" s="22" t="n">
        <v>116</v>
      </c>
      <c r="B120" s="23" t="s">
        <v>291</v>
      </c>
      <c r="C120" s="23" t="s">
        <v>205</v>
      </c>
      <c r="D120" s="23" t="s">
        <v>637</v>
      </c>
      <c r="E120" s="22" t="n">
        <v>163</v>
      </c>
      <c r="F120" s="22" t="n">
        <v>2</v>
      </c>
      <c r="G120" s="22" t="s">
        <v>115</v>
      </c>
      <c r="H120" s="23" t="s">
        <v>168</v>
      </c>
      <c r="I120" s="18" t="s">
        <v>62</v>
      </c>
      <c r="J120" s="18" t="s">
        <v>63</v>
      </c>
    </row>
    <row r="121" customFormat="false" ht="15" hidden="false" customHeight="false" outlineLevel="0" collapsed="false">
      <c r="A121" s="22" t="n">
        <v>117</v>
      </c>
      <c r="B121" s="23" t="s">
        <v>292</v>
      </c>
      <c r="C121" s="23" t="s">
        <v>208</v>
      </c>
      <c r="D121" s="23" t="s">
        <v>637</v>
      </c>
      <c r="E121" s="22" t="n">
        <v>163</v>
      </c>
      <c r="F121" s="22" t="n">
        <v>1</v>
      </c>
      <c r="G121" s="22" t="s">
        <v>66</v>
      </c>
      <c r="H121" s="23" t="s">
        <v>141</v>
      </c>
      <c r="I121" s="18" t="s">
        <v>62</v>
      </c>
      <c r="J121" s="18" t="s">
        <v>63</v>
      </c>
    </row>
    <row r="122" customFormat="false" ht="15" hidden="false" customHeight="false" outlineLevel="0" collapsed="false">
      <c r="A122" s="22" t="n">
        <v>118</v>
      </c>
      <c r="B122" s="23" t="s">
        <v>293</v>
      </c>
      <c r="C122" s="23" t="s">
        <v>205</v>
      </c>
      <c r="D122" s="23" t="s">
        <v>638</v>
      </c>
      <c r="E122" s="22" t="n">
        <v>162</v>
      </c>
      <c r="F122" s="22" t="n">
        <v>1</v>
      </c>
      <c r="G122" s="22" t="s">
        <v>66</v>
      </c>
      <c r="H122" s="23" t="s">
        <v>168</v>
      </c>
      <c r="I122" s="18" t="s">
        <v>62</v>
      </c>
      <c r="J122" s="18" t="s">
        <v>63</v>
      </c>
    </row>
    <row r="123" customFormat="false" ht="15" hidden="false" customHeight="false" outlineLevel="0" collapsed="false">
      <c r="A123" s="22" t="n">
        <v>119</v>
      </c>
      <c r="B123" s="23" t="s">
        <v>294</v>
      </c>
      <c r="C123" s="23" t="s">
        <v>205</v>
      </c>
      <c r="D123" s="23" t="s">
        <v>639</v>
      </c>
      <c r="E123" s="22" t="n">
        <v>161</v>
      </c>
      <c r="F123" s="22" t="n">
        <v>1</v>
      </c>
      <c r="G123" s="22" t="s">
        <v>59</v>
      </c>
      <c r="H123" s="23" t="s">
        <v>295</v>
      </c>
      <c r="I123" s="18" t="s">
        <v>62</v>
      </c>
      <c r="J123" s="18" t="s">
        <v>63</v>
      </c>
    </row>
    <row r="124" customFormat="false" ht="15" hidden="false" customHeight="false" outlineLevel="0" collapsed="false">
      <c r="A124" s="22" t="n">
        <v>120</v>
      </c>
      <c r="B124" s="23" t="s">
        <v>296</v>
      </c>
      <c r="C124" s="23" t="s">
        <v>297</v>
      </c>
      <c r="D124" s="23" t="s">
        <v>640</v>
      </c>
      <c r="E124" s="22" t="n">
        <v>158</v>
      </c>
      <c r="F124" s="22" t="n">
        <v>1</v>
      </c>
      <c r="G124" s="22" t="s">
        <v>59</v>
      </c>
      <c r="H124" s="23" t="s">
        <v>168</v>
      </c>
      <c r="I124" s="18" t="s">
        <v>62</v>
      </c>
      <c r="J124" s="18" t="s">
        <v>63</v>
      </c>
    </row>
    <row r="125" customFormat="false" ht="15" hidden="false" customHeight="false" outlineLevel="0" collapsed="false">
      <c r="A125" s="22" t="n">
        <v>121</v>
      </c>
      <c r="B125" s="23" t="s">
        <v>296</v>
      </c>
      <c r="C125" s="23" t="s">
        <v>297</v>
      </c>
      <c r="D125" s="23" t="s">
        <v>641</v>
      </c>
      <c r="E125" s="22" t="n">
        <v>157</v>
      </c>
      <c r="F125" s="22" t="n">
        <v>5</v>
      </c>
      <c r="G125" s="22" t="s">
        <v>59</v>
      </c>
      <c r="H125" s="23" t="s">
        <v>168</v>
      </c>
      <c r="I125" s="18" t="s">
        <v>62</v>
      </c>
      <c r="J125" s="18" t="s">
        <v>63</v>
      </c>
    </row>
    <row r="126" customFormat="false" ht="15" hidden="false" customHeight="false" outlineLevel="0" collapsed="false">
      <c r="A126" s="22" t="n">
        <v>122</v>
      </c>
      <c r="B126" s="23" t="s">
        <v>298</v>
      </c>
      <c r="C126" s="23" t="s">
        <v>233</v>
      </c>
      <c r="D126" s="23" t="s">
        <v>641</v>
      </c>
      <c r="E126" s="22" t="n">
        <v>157</v>
      </c>
      <c r="F126" s="22" t="n">
        <v>1</v>
      </c>
      <c r="G126" s="22" t="s">
        <v>59</v>
      </c>
      <c r="H126" s="23" t="s">
        <v>642</v>
      </c>
      <c r="I126" s="18" t="s">
        <v>62</v>
      </c>
      <c r="J126" s="18" t="s">
        <v>63</v>
      </c>
    </row>
    <row r="127" customFormat="false" ht="15" hidden="false" customHeight="false" outlineLevel="0" collapsed="false">
      <c r="A127" s="22" t="n">
        <v>123</v>
      </c>
      <c r="B127" s="23" t="s">
        <v>296</v>
      </c>
      <c r="C127" s="23" t="s">
        <v>297</v>
      </c>
      <c r="D127" s="23" t="s">
        <v>641</v>
      </c>
      <c r="E127" s="22" t="n">
        <v>157</v>
      </c>
      <c r="F127" s="22" t="n">
        <v>2</v>
      </c>
      <c r="G127" s="22" t="s">
        <v>59</v>
      </c>
      <c r="H127" s="23" t="s">
        <v>168</v>
      </c>
      <c r="I127" s="18" t="s">
        <v>62</v>
      </c>
      <c r="J127" s="18" t="s">
        <v>63</v>
      </c>
    </row>
    <row r="128" customFormat="false" ht="15" hidden="false" customHeight="false" outlineLevel="0" collapsed="false">
      <c r="A128" s="22" t="n">
        <v>124</v>
      </c>
      <c r="B128" s="23" t="s">
        <v>296</v>
      </c>
      <c r="C128" s="23" t="s">
        <v>297</v>
      </c>
      <c r="D128" s="23" t="s">
        <v>641</v>
      </c>
      <c r="E128" s="22" t="n">
        <v>157</v>
      </c>
      <c r="F128" s="22" t="n">
        <v>1</v>
      </c>
      <c r="G128" s="22" t="s">
        <v>59</v>
      </c>
      <c r="H128" s="23" t="s">
        <v>168</v>
      </c>
      <c r="I128" s="18" t="s">
        <v>62</v>
      </c>
      <c r="J128" s="18" t="s">
        <v>63</v>
      </c>
    </row>
    <row r="129" customFormat="false" ht="15" hidden="false" customHeight="false" outlineLevel="0" collapsed="false">
      <c r="A129" s="22" t="n">
        <v>125</v>
      </c>
      <c r="B129" s="23" t="s">
        <v>300</v>
      </c>
      <c r="C129" s="23" t="s">
        <v>205</v>
      </c>
      <c r="D129" s="23" t="s">
        <v>643</v>
      </c>
      <c r="E129" s="22" t="n">
        <v>156</v>
      </c>
      <c r="F129" s="22" t="n">
        <v>1</v>
      </c>
      <c r="G129" s="22" t="s">
        <v>66</v>
      </c>
      <c r="H129" s="23" t="s">
        <v>211</v>
      </c>
      <c r="I129" s="18" t="s">
        <v>62</v>
      </c>
      <c r="J129" s="18" t="s">
        <v>63</v>
      </c>
    </row>
    <row r="130" customFormat="false" ht="15" hidden="false" customHeight="false" outlineLevel="0" collapsed="false">
      <c r="A130" s="22" t="n">
        <v>126</v>
      </c>
      <c r="B130" s="23" t="s">
        <v>301</v>
      </c>
      <c r="C130" s="23" t="s">
        <v>205</v>
      </c>
      <c r="D130" s="23" t="s">
        <v>644</v>
      </c>
      <c r="E130" s="22" t="n">
        <v>155</v>
      </c>
      <c r="F130" s="22" t="n">
        <v>1</v>
      </c>
      <c r="G130" s="22" t="s">
        <v>66</v>
      </c>
      <c r="H130" s="23" t="s">
        <v>168</v>
      </c>
      <c r="I130" s="18" t="s">
        <v>62</v>
      </c>
      <c r="J130" s="18" t="s">
        <v>63</v>
      </c>
    </row>
    <row r="131" customFormat="false" ht="15" hidden="false" customHeight="false" outlineLevel="0" collapsed="false">
      <c r="A131" s="22" t="n">
        <v>127</v>
      </c>
      <c r="B131" s="23" t="s">
        <v>303</v>
      </c>
      <c r="C131" s="23" t="s">
        <v>205</v>
      </c>
      <c r="D131" s="23" t="s">
        <v>644</v>
      </c>
      <c r="E131" s="22" t="n">
        <v>155</v>
      </c>
      <c r="F131" s="22" t="n">
        <v>1</v>
      </c>
      <c r="G131" s="22" t="s">
        <v>59</v>
      </c>
      <c r="H131" s="23" t="s">
        <v>141</v>
      </c>
      <c r="I131" s="18" t="s">
        <v>62</v>
      </c>
      <c r="J131" s="18" t="s">
        <v>63</v>
      </c>
    </row>
    <row r="132" customFormat="false" ht="15" hidden="false" customHeight="false" outlineLevel="0" collapsed="false">
      <c r="A132" s="22" t="n">
        <v>128</v>
      </c>
      <c r="B132" s="23" t="s">
        <v>304</v>
      </c>
      <c r="C132" s="23" t="s">
        <v>205</v>
      </c>
      <c r="D132" s="23" t="s">
        <v>644</v>
      </c>
      <c r="E132" s="22" t="n">
        <v>155</v>
      </c>
      <c r="F132" s="22" t="n">
        <v>1</v>
      </c>
      <c r="G132" s="22" t="s">
        <v>66</v>
      </c>
      <c r="H132" s="23" t="s">
        <v>168</v>
      </c>
      <c r="I132" s="18" t="s">
        <v>62</v>
      </c>
      <c r="J132" s="18" t="s">
        <v>63</v>
      </c>
    </row>
    <row r="133" customFormat="false" ht="15" hidden="false" customHeight="false" outlineLevel="0" collapsed="false">
      <c r="A133" s="22" t="n">
        <v>129</v>
      </c>
      <c r="B133" s="23" t="s">
        <v>301</v>
      </c>
      <c r="C133" s="23" t="s">
        <v>205</v>
      </c>
      <c r="D133" s="23" t="s">
        <v>645</v>
      </c>
      <c r="E133" s="22" t="n">
        <v>154</v>
      </c>
      <c r="F133" s="22" t="n">
        <v>2</v>
      </c>
      <c r="G133" s="22" t="s">
        <v>66</v>
      </c>
      <c r="H133" s="23" t="s">
        <v>141</v>
      </c>
      <c r="I133" s="18" t="s">
        <v>62</v>
      </c>
      <c r="J133" s="18" t="s">
        <v>63</v>
      </c>
    </row>
    <row r="134" customFormat="false" ht="15" hidden="false" customHeight="false" outlineLevel="0" collapsed="false">
      <c r="A134" s="22" t="n">
        <v>130</v>
      </c>
      <c r="B134" s="23" t="s">
        <v>301</v>
      </c>
      <c r="C134" s="23" t="s">
        <v>205</v>
      </c>
      <c r="D134" s="23" t="s">
        <v>645</v>
      </c>
      <c r="E134" s="22" t="n">
        <v>154</v>
      </c>
      <c r="F134" s="22" t="n">
        <v>1</v>
      </c>
      <c r="G134" s="22" t="s">
        <v>66</v>
      </c>
      <c r="H134" s="23" t="s">
        <v>141</v>
      </c>
      <c r="I134" s="18" t="s">
        <v>62</v>
      </c>
      <c r="J134" s="18" t="s">
        <v>63</v>
      </c>
    </row>
    <row r="135" customFormat="false" ht="15" hidden="false" customHeight="false" outlineLevel="0" collapsed="false">
      <c r="A135" s="22" t="n">
        <v>131</v>
      </c>
      <c r="B135" s="23" t="s">
        <v>301</v>
      </c>
      <c r="C135" s="23" t="s">
        <v>205</v>
      </c>
      <c r="D135" s="23" t="s">
        <v>646</v>
      </c>
      <c r="E135" s="22" t="n">
        <v>151</v>
      </c>
      <c r="F135" s="22" t="n">
        <v>3</v>
      </c>
      <c r="G135" s="22" t="s">
        <v>66</v>
      </c>
      <c r="H135" s="23" t="s">
        <v>168</v>
      </c>
      <c r="I135" s="18" t="s">
        <v>62</v>
      </c>
      <c r="J135" s="18" t="s">
        <v>63</v>
      </c>
    </row>
    <row r="136" customFormat="false" ht="15" hidden="false" customHeight="false" outlineLevel="0" collapsed="false">
      <c r="A136" s="22" t="n">
        <v>132</v>
      </c>
      <c r="B136" s="23" t="s">
        <v>301</v>
      </c>
      <c r="C136" s="23" t="s">
        <v>205</v>
      </c>
      <c r="D136" s="23" t="s">
        <v>646</v>
      </c>
      <c r="E136" s="22" t="n">
        <v>151</v>
      </c>
      <c r="F136" s="22" t="n">
        <v>1</v>
      </c>
      <c r="G136" s="22" t="s">
        <v>66</v>
      </c>
      <c r="H136" s="23" t="s">
        <v>168</v>
      </c>
      <c r="I136" s="18" t="s">
        <v>62</v>
      </c>
      <c r="J136" s="18" t="s">
        <v>63</v>
      </c>
    </row>
    <row r="137" customFormat="false" ht="15" hidden="false" customHeight="false" outlineLevel="0" collapsed="false">
      <c r="A137" s="22" t="n">
        <v>133</v>
      </c>
      <c r="B137" s="23" t="s">
        <v>307</v>
      </c>
      <c r="C137" s="23" t="s">
        <v>297</v>
      </c>
      <c r="D137" s="23" t="s">
        <v>647</v>
      </c>
      <c r="E137" s="22" t="n">
        <v>149</v>
      </c>
      <c r="F137" s="22" t="n">
        <v>2</v>
      </c>
      <c r="G137" s="22" t="s">
        <v>59</v>
      </c>
      <c r="H137" s="23" t="s">
        <v>168</v>
      </c>
      <c r="I137" s="18" t="s">
        <v>62</v>
      </c>
      <c r="J137" s="18" t="s">
        <v>63</v>
      </c>
    </row>
    <row r="138" customFormat="false" ht="15" hidden="false" customHeight="false" outlineLevel="0" collapsed="false">
      <c r="A138" s="22" t="n">
        <v>134</v>
      </c>
      <c r="B138" s="23" t="s">
        <v>305</v>
      </c>
      <c r="C138" s="23" t="s">
        <v>233</v>
      </c>
      <c r="D138" s="23" t="s">
        <v>647</v>
      </c>
      <c r="E138" s="22" t="n">
        <v>149</v>
      </c>
      <c r="F138" s="22" t="n">
        <v>3</v>
      </c>
      <c r="G138" s="22" t="s">
        <v>66</v>
      </c>
      <c r="H138" s="23" t="s">
        <v>648</v>
      </c>
      <c r="I138" s="18" t="s">
        <v>62</v>
      </c>
      <c r="J138" s="18" t="s">
        <v>63</v>
      </c>
    </row>
    <row r="139" customFormat="false" ht="15" hidden="false" customHeight="false" outlineLevel="0" collapsed="false">
      <c r="A139" s="22" t="n">
        <v>135</v>
      </c>
      <c r="B139" s="23" t="s">
        <v>305</v>
      </c>
      <c r="C139" s="23" t="s">
        <v>233</v>
      </c>
      <c r="D139" s="23" t="s">
        <v>647</v>
      </c>
      <c r="E139" s="22" t="n">
        <v>149</v>
      </c>
      <c r="F139" s="22" t="n">
        <v>3</v>
      </c>
      <c r="G139" s="22" t="s">
        <v>66</v>
      </c>
      <c r="H139" s="23" t="s">
        <v>648</v>
      </c>
      <c r="I139" s="18" t="s">
        <v>62</v>
      </c>
      <c r="J139" s="18" t="s">
        <v>63</v>
      </c>
    </row>
    <row r="140" customFormat="false" ht="15" hidden="false" customHeight="false" outlineLevel="0" collapsed="false">
      <c r="A140" s="22" t="n">
        <v>136</v>
      </c>
      <c r="B140" s="23" t="s">
        <v>113</v>
      </c>
      <c r="C140" s="23" t="s">
        <v>58</v>
      </c>
      <c r="D140" s="23" t="s">
        <v>647</v>
      </c>
      <c r="E140" s="22" t="n">
        <v>149</v>
      </c>
      <c r="F140" s="22" t="n">
        <v>1</v>
      </c>
      <c r="G140" s="22" t="s">
        <v>115</v>
      </c>
      <c r="H140" s="23" t="s">
        <v>116</v>
      </c>
      <c r="I140" s="18" t="s">
        <v>62</v>
      </c>
      <c r="J140" s="18" t="s">
        <v>63</v>
      </c>
    </row>
    <row r="141" customFormat="false" ht="15" hidden="false" customHeight="false" outlineLevel="0" collapsed="false">
      <c r="A141" s="22" t="n">
        <v>137</v>
      </c>
      <c r="B141" s="23" t="s">
        <v>308</v>
      </c>
      <c r="C141" s="23" t="s">
        <v>205</v>
      </c>
      <c r="D141" s="23" t="s">
        <v>649</v>
      </c>
      <c r="E141" s="22" t="n">
        <v>148</v>
      </c>
      <c r="F141" s="22" t="n">
        <v>2</v>
      </c>
      <c r="G141" s="22" t="s">
        <v>66</v>
      </c>
      <c r="H141" s="23" t="s">
        <v>650</v>
      </c>
      <c r="I141" s="18" t="s">
        <v>62</v>
      </c>
      <c r="J141" s="18" t="s">
        <v>63</v>
      </c>
    </row>
    <row r="142" customFormat="false" ht="15" hidden="false" customHeight="false" outlineLevel="0" collapsed="false">
      <c r="A142" s="22" t="n">
        <v>138</v>
      </c>
      <c r="B142" s="23" t="s">
        <v>310</v>
      </c>
      <c r="C142" s="23" t="s">
        <v>297</v>
      </c>
      <c r="D142" s="23" t="s">
        <v>651</v>
      </c>
      <c r="E142" s="22" t="n">
        <v>147</v>
      </c>
      <c r="F142" s="22" t="n">
        <v>2</v>
      </c>
      <c r="G142" s="22" t="s">
        <v>66</v>
      </c>
      <c r="H142" s="23" t="s">
        <v>311</v>
      </c>
      <c r="I142" s="18" t="s">
        <v>62</v>
      </c>
      <c r="J142" s="18" t="s">
        <v>63</v>
      </c>
    </row>
    <row r="143" customFormat="false" ht="15" hidden="false" customHeight="false" outlineLevel="0" collapsed="false">
      <c r="A143" s="22" t="n">
        <v>139</v>
      </c>
      <c r="B143" s="23" t="s">
        <v>312</v>
      </c>
      <c r="C143" s="23" t="s">
        <v>208</v>
      </c>
      <c r="D143" s="23" t="s">
        <v>651</v>
      </c>
      <c r="E143" s="22" t="n">
        <v>147</v>
      </c>
      <c r="F143" s="22" t="n">
        <v>1</v>
      </c>
      <c r="G143" s="22" t="s">
        <v>115</v>
      </c>
      <c r="H143" s="23" t="s">
        <v>141</v>
      </c>
      <c r="I143" s="18" t="s">
        <v>62</v>
      </c>
      <c r="J143" s="18" t="s">
        <v>63</v>
      </c>
    </row>
    <row r="144" customFormat="false" ht="15" hidden="false" customHeight="false" outlineLevel="0" collapsed="false">
      <c r="A144" s="22" t="n">
        <v>140</v>
      </c>
      <c r="B144" s="23" t="s">
        <v>84</v>
      </c>
      <c r="C144" s="23" t="s">
        <v>58</v>
      </c>
      <c r="D144" s="23" t="s">
        <v>652</v>
      </c>
      <c r="E144" s="22" t="n">
        <v>146</v>
      </c>
      <c r="F144" s="22" t="n">
        <v>1</v>
      </c>
      <c r="G144" s="22" t="s">
        <v>66</v>
      </c>
      <c r="H144" s="23" t="s">
        <v>85</v>
      </c>
      <c r="I144" s="18" t="s">
        <v>62</v>
      </c>
      <c r="J144" s="18" t="s">
        <v>63</v>
      </c>
    </row>
    <row r="145" customFormat="false" ht="15" hidden="false" customHeight="false" outlineLevel="0" collapsed="false">
      <c r="A145" s="22" t="n">
        <v>141</v>
      </c>
      <c r="B145" s="23" t="s">
        <v>313</v>
      </c>
      <c r="C145" s="23" t="s">
        <v>205</v>
      </c>
      <c r="D145" s="23" t="s">
        <v>653</v>
      </c>
      <c r="E145" s="22" t="n">
        <v>142</v>
      </c>
      <c r="F145" s="22" t="n">
        <v>1</v>
      </c>
      <c r="G145" s="22" t="s">
        <v>115</v>
      </c>
      <c r="H145" s="23" t="s">
        <v>168</v>
      </c>
      <c r="I145" s="18" t="s">
        <v>62</v>
      </c>
      <c r="J145" s="18" t="s">
        <v>63</v>
      </c>
    </row>
    <row r="146" customFormat="false" ht="15" hidden="false" customHeight="false" outlineLevel="0" collapsed="false">
      <c r="A146" s="22" t="n">
        <v>142</v>
      </c>
      <c r="B146" s="23" t="s">
        <v>281</v>
      </c>
      <c r="C146" s="23" t="s">
        <v>205</v>
      </c>
      <c r="D146" s="23" t="s">
        <v>654</v>
      </c>
      <c r="E146" s="22" t="n">
        <v>140</v>
      </c>
      <c r="F146" s="22" t="n">
        <v>1</v>
      </c>
      <c r="G146" s="22" t="s">
        <v>115</v>
      </c>
      <c r="H146" s="23" t="s">
        <v>141</v>
      </c>
      <c r="I146" s="18" t="s">
        <v>62</v>
      </c>
      <c r="J146" s="18" t="s">
        <v>63</v>
      </c>
    </row>
    <row r="147" customFormat="false" ht="15" hidden="false" customHeight="false" outlineLevel="0" collapsed="false">
      <c r="A147" s="22" t="n">
        <v>143</v>
      </c>
      <c r="B147" s="23" t="s">
        <v>82</v>
      </c>
      <c r="C147" s="23" t="s">
        <v>58</v>
      </c>
      <c r="D147" s="23" t="s">
        <v>654</v>
      </c>
      <c r="E147" s="22" t="n">
        <v>140</v>
      </c>
      <c r="F147" s="22" t="n">
        <v>1</v>
      </c>
      <c r="G147" s="22" t="s">
        <v>66</v>
      </c>
      <c r="H147" s="23" t="s">
        <v>168</v>
      </c>
      <c r="I147" s="18" t="s">
        <v>62</v>
      </c>
      <c r="J147" s="18" t="s">
        <v>63</v>
      </c>
    </row>
    <row r="148" customFormat="false" ht="15" hidden="false" customHeight="false" outlineLevel="0" collapsed="false">
      <c r="A148" s="22" t="n">
        <v>144</v>
      </c>
      <c r="B148" s="23" t="s">
        <v>314</v>
      </c>
      <c r="C148" s="23" t="s">
        <v>205</v>
      </c>
      <c r="D148" s="23" t="s">
        <v>654</v>
      </c>
      <c r="E148" s="22" t="n">
        <v>140</v>
      </c>
      <c r="F148" s="22" t="n">
        <v>1</v>
      </c>
      <c r="G148" s="22" t="s">
        <v>115</v>
      </c>
      <c r="H148" s="23" t="s">
        <v>315</v>
      </c>
      <c r="I148" s="18" t="s">
        <v>62</v>
      </c>
      <c r="J148" s="18" t="s">
        <v>63</v>
      </c>
    </row>
    <row r="149" customFormat="false" ht="15" hidden="false" customHeight="false" outlineLevel="0" collapsed="false">
      <c r="A149" s="22" t="n">
        <v>145</v>
      </c>
      <c r="B149" s="23" t="s">
        <v>316</v>
      </c>
      <c r="C149" s="23" t="s">
        <v>205</v>
      </c>
      <c r="D149" s="23" t="s">
        <v>655</v>
      </c>
      <c r="E149" s="22" t="n">
        <v>139</v>
      </c>
      <c r="F149" s="22" t="n">
        <v>1</v>
      </c>
      <c r="G149" s="22" t="s">
        <v>66</v>
      </c>
      <c r="H149" s="23" t="s">
        <v>168</v>
      </c>
      <c r="I149" s="18" t="s">
        <v>62</v>
      </c>
      <c r="J149" s="18" t="s">
        <v>63</v>
      </c>
    </row>
    <row r="150" customFormat="false" ht="15" hidden="false" customHeight="false" outlineLevel="0" collapsed="false">
      <c r="A150" s="22" t="n">
        <v>146</v>
      </c>
      <c r="B150" s="23" t="s">
        <v>317</v>
      </c>
      <c r="C150" s="23" t="s">
        <v>205</v>
      </c>
      <c r="D150" s="23" t="s">
        <v>656</v>
      </c>
      <c r="E150" s="22" t="n">
        <v>135</v>
      </c>
      <c r="F150" s="22" t="n">
        <v>1</v>
      </c>
      <c r="G150" s="22" t="s">
        <v>59</v>
      </c>
      <c r="H150" s="23" t="s">
        <v>168</v>
      </c>
      <c r="I150" s="18" t="s">
        <v>62</v>
      </c>
      <c r="J150" s="18" t="s">
        <v>63</v>
      </c>
    </row>
    <row r="151" customFormat="false" ht="15" hidden="false" customHeight="false" outlineLevel="0" collapsed="false">
      <c r="A151" s="22" t="n">
        <v>147</v>
      </c>
      <c r="B151" s="23" t="s">
        <v>230</v>
      </c>
      <c r="C151" s="23" t="s">
        <v>205</v>
      </c>
      <c r="D151" s="23" t="s">
        <v>657</v>
      </c>
      <c r="E151" s="22" t="n">
        <v>134</v>
      </c>
      <c r="F151" s="22" t="n">
        <v>1</v>
      </c>
      <c r="G151" s="22" t="s">
        <v>66</v>
      </c>
      <c r="H151" s="23" t="s">
        <v>168</v>
      </c>
      <c r="I151" s="18" t="s">
        <v>62</v>
      </c>
      <c r="J151" s="18" t="s">
        <v>63</v>
      </c>
    </row>
    <row r="152" customFormat="false" ht="15" hidden="false" customHeight="false" outlineLevel="0" collapsed="false">
      <c r="A152" s="22" t="n">
        <v>148</v>
      </c>
      <c r="B152" s="23" t="s">
        <v>91</v>
      </c>
      <c r="C152" s="23" t="s">
        <v>58</v>
      </c>
      <c r="D152" s="23" t="s">
        <v>658</v>
      </c>
      <c r="E152" s="22" t="n">
        <v>133</v>
      </c>
      <c r="F152" s="22" t="n">
        <v>1</v>
      </c>
      <c r="G152" s="22" t="s">
        <v>59</v>
      </c>
      <c r="H152" s="23" t="s">
        <v>93</v>
      </c>
      <c r="I152" s="18" t="s">
        <v>62</v>
      </c>
      <c r="J152" s="18" t="s">
        <v>63</v>
      </c>
    </row>
    <row r="153" customFormat="false" ht="15" hidden="false" customHeight="false" outlineLevel="0" collapsed="false">
      <c r="A153" s="22" t="n">
        <v>149</v>
      </c>
      <c r="B153" s="23" t="s">
        <v>318</v>
      </c>
      <c r="C153" s="23" t="s">
        <v>205</v>
      </c>
      <c r="D153" s="23" t="s">
        <v>658</v>
      </c>
      <c r="E153" s="22" t="n">
        <v>133</v>
      </c>
      <c r="F153" s="22" t="n">
        <v>1</v>
      </c>
      <c r="G153" s="22" t="s">
        <v>59</v>
      </c>
      <c r="H153" s="23" t="s">
        <v>168</v>
      </c>
      <c r="I153" s="18" t="s">
        <v>62</v>
      </c>
      <c r="J153" s="18" t="s">
        <v>63</v>
      </c>
    </row>
    <row r="154" customFormat="false" ht="15" hidden="false" customHeight="false" outlineLevel="0" collapsed="false">
      <c r="A154" s="22" t="n">
        <v>150</v>
      </c>
      <c r="B154" s="23" t="s">
        <v>111</v>
      </c>
      <c r="C154" s="23" t="s">
        <v>58</v>
      </c>
      <c r="D154" s="23" t="s">
        <v>659</v>
      </c>
      <c r="E154" s="22" t="n">
        <v>132</v>
      </c>
      <c r="F154" s="22" t="n">
        <v>1</v>
      </c>
      <c r="G154" s="22" t="s">
        <v>66</v>
      </c>
      <c r="H154" s="23" t="s">
        <v>112</v>
      </c>
      <c r="I154" s="18" t="s">
        <v>62</v>
      </c>
      <c r="J154" s="18" t="s">
        <v>63</v>
      </c>
    </row>
    <row r="155" customFormat="false" ht="15" hidden="false" customHeight="false" outlineLevel="0" collapsed="false">
      <c r="A155" s="22" t="n">
        <v>151</v>
      </c>
      <c r="B155" s="23" t="s">
        <v>319</v>
      </c>
      <c r="C155" s="23" t="s">
        <v>205</v>
      </c>
      <c r="D155" s="23" t="s">
        <v>660</v>
      </c>
      <c r="E155" s="22" t="n">
        <v>131</v>
      </c>
      <c r="F155" s="22" t="n">
        <v>1</v>
      </c>
      <c r="G155" s="22" t="s">
        <v>115</v>
      </c>
      <c r="H155" s="23" t="s">
        <v>320</v>
      </c>
      <c r="I155" s="18" t="s">
        <v>62</v>
      </c>
      <c r="J155" s="18" t="s">
        <v>63</v>
      </c>
    </row>
    <row r="156" customFormat="false" ht="15" hidden="false" customHeight="false" outlineLevel="0" collapsed="false">
      <c r="A156" s="22" t="n">
        <v>152</v>
      </c>
      <c r="B156" s="23" t="s">
        <v>321</v>
      </c>
      <c r="C156" s="23" t="s">
        <v>205</v>
      </c>
      <c r="D156" s="23" t="s">
        <v>661</v>
      </c>
      <c r="E156" s="22" t="n">
        <v>130</v>
      </c>
      <c r="F156" s="22" t="n">
        <v>1</v>
      </c>
      <c r="G156" s="22" t="s">
        <v>66</v>
      </c>
      <c r="H156" s="23" t="s">
        <v>320</v>
      </c>
      <c r="I156" s="18" t="s">
        <v>62</v>
      </c>
      <c r="J156" s="18" t="s">
        <v>63</v>
      </c>
    </row>
    <row r="157" customFormat="false" ht="15" hidden="false" customHeight="false" outlineLevel="0" collapsed="false">
      <c r="A157" s="22" t="n">
        <v>153</v>
      </c>
      <c r="B157" s="23" t="s">
        <v>322</v>
      </c>
      <c r="C157" s="23" t="s">
        <v>205</v>
      </c>
      <c r="D157" s="23" t="s">
        <v>661</v>
      </c>
      <c r="E157" s="22" t="n">
        <v>130</v>
      </c>
      <c r="F157" s="22" t="n">
        <v>2</v>
      </c>
      <c r="G157" s="22" t="s">
        <v>66</v>
      </c>
      <c r="H157" s="23" t="s">
        <v>323</v>
      </c>
      <c r="I157" s="18" t="s">
        <v>62</v>
      </c>
      <c r="J157" s="18" t="s">
        <v>63</v>
      </c>
    </row>
    <row r="158" customFormat="false" ht="15" hidden="false" customHeight="false" outlineLevel="0" collapsed="false">
      <c r="A158" s="22" t="n">
        <v>154</v>
      </c>
      <c r="B158" s="23" t="s">
        <v>324</v>
      </c>
      <c r="C158" s="23" t="s">
        <v>205</v>
      </c>
      <c r="D158" s="23" t="s">
        <v>662</v>
      </c>
      <c r="E158" s="22" t="n">
        <v>126</v>
      </c>
      <c r="F158" s="22" t="n">
        <v>1</v>
      </c>
      <c r="G158" s="22" t="s">
        <v>66</v>
      </c>
      <c r="H158" s="23" t="s">
        <v>211</v>
      </c>
      <c r="I158" s="18" t="s">
        <v>62</v>
      </c>
      <c r="J158" s="18" t="s">
        <v>63</v>
      </c>
    </row>
    <row r="159" customFormat="false" ht="15" hidden="false" customHeight="false" outlineLevel="0" collapsed="false">
      <c r="A159" s="22" t="n">
        <v>155</v>
      </c>
      <c r="B159" s="23" t="s">
        <v>325</v>
      </c>
      <c r="C159" s="23" t="s">
        <v>233</v>
      </c>
      <c r="D159" s="23" t="s">
        <v>663</v>
      </c>
      <c r="E159" s="22" t="n">
        <v>122</v>
      </c>
      <c r="F159" s="22" t="n">
        <v>1</v>
      </c>
      <c r="G159" s="22" t="s">
        <v>66</v>
      </c>
      <c r="H159" s="23" t="s">
        <v>141</v>
      </c>
      <c r="I159" s="18" t="s">
        <v>62</v>
      </c>
      <c r="J159" s="18" t="s">
        <v>63</v>
      </c>
    </row>
    <row r="160" customFormat="false" ht="15" hidden="false" customHeight="false" outlineLevel="0" collapsed="false">
      <c r="A160" s="22" t="n">
        <v>156</v>
      </c>
      <c r="B160" s="23" t="s">
        <v>327</v>
      </c>
      <c r="C160" s="23" t="s">
        <v>205</v>
      </c>
      <c r="D160" s="23" t="s">
        <v>664</v>
      </c>
      <c r="E160" s="22" t="n">
        <v>119</v>
      </c>
      <c r="F160" s="22" t="n">
        <v>1</v>
      </c>
      <c r="G160" s="22" t="s">
        <v>66</v>
      </c>
      <c r="H160" s="23" t="s">
        <v>328</v>
      </c>
      <c r="I160" s="18" t="s">
        <v>62</v>
      </c>
      <c r="J160" s="18" t="s">
        <v>63</v>
      </c>
    </row>
    <row r="161" customFormat="false" ht="15" hidden="false" customHeight="false" outlineLevel="0" collapsed="false">
      <c r="A161" s="22" t="n">
        <v>157</v>
      </c>
      <c r="B161" s="23" t="s">
        <v>329</v>
      </c>
      <c r="C161" s="23" t="s">
        <v>205</v>
      </c>
      <c r="D161" s="23" t="s">
        <v>664</v>
      </c>
      <c r="E161" s="22" t="n">
        <v>119</v>
      </c>
      <c r="F161" s="22" t="n">
        <v>1</v>
      </c>
      <c r="G161" s="22" t="s">
        <v>66</v>
      </c>
      <c r="H161" s="23" t="s">
        <v>168</v>
      </c>
      <c r="I161" s="18" t="s">
        <v>62</v>
      </c>
      <c r="J161" s="18" t="s">
        <v>63</v>
      </c>
    </row>
    <row r="162" customFormat="false" ht="15" hidden="false" customHeight="false" outlineLevel="0" collapsed="false">
      <c r="A162" s="22" t="n">
        <v>158</v>
      </c>
      <c r="B162" s="23" t="s">
        <v>123</v>
      </c>
      <c r="C162" s="23" t="s">
        <v>58</v>
      </c>
      <c r="D162" s="23" t="s">
        <v>665</v>
      </c>
      <c r="E162" s="22" t="n">
        <v>118</v>
      </c>
      <c r="F162" s="22" t="n">
        <v>1</v>
      </c>
      <c r="G162" s="22" t="s">
        <v>59</v>
      </c>
      <c r="H162" s="23" t="s">
        <v>124</v>
      </c>
      <c r="I162" s="18" t="s">
        <v>62</v>
      </c>
      <c r="J162" s="18" t="s">
        <v>63</v>
      </c>
    </row>
    <row r="163" customFormat="false" ht="15" hidden="false" customHeight="false" outlineLevel="0" collapsed="false">
      <c r="A163" s="22" t="n">
        <v>159</v>
      </c>
      <c r="B163" s="23" t="s">
        <v>330</v>
      </c>
      <c r="C163" s="23" t="s">
        <v>205</v>
      </c>
      <c r="D163" s="23" t="s">
        <v>666</v>
      </c>
      <c r="E163" s="22" t="n">
        <v>116</v>
      </c>
      <c r="F163" s="22" t="n">
        <v>1</v>
      </c>
      <c r="G163" s="22" t="s">
        <v>66</v>
      </c>
      <c r="H163" s="23" t="s">
        <v>141</v>
      </c>
      <c r="I163" s="18" t="s">
        <v>62</v>
      </c>
      <c r="J163" s="18" t="s">
        <v>63</v>
      </c>
    </row>
    <row r="164" customFormat="false" ht="15" hidden="false" customHeight="false" outlineLevel="0" collapsed="false">
      <c r="A164" s="22" t="n">
        <v>160</v>
      </c>
      <c r="B164" s="23" t="s">
        <v>331</v>
      </c>
      <c r="C164" s="23" t="s">
        <v>205</v>
      </c>
      <c r="D164" s="23" t="s">
        <v>666</v>
      </c>
      <c r="E164" s="22" t="n">
        <v>116</v>
      </c>
      <c r="F164" s="22" t="n">
        <v>1</v>
      </c>
      <c r="G164" s="22" t="s">
        <v>59</v>
      </c>
      <c r="H164" s="23" t="s">
        <v>141</v>
      </c>
      <c r="I164" s="18" t="s">
        <v>62</v>
      </c>
      <c r="J164" s="18" t="s">
        <v>63</v>
      </c>
    </row>
    <row r="165" customFormat="false" ht="15" hidden="false" customHeight="false" outlineLevel="0" collapsed="false">
      <c r="A165" s="22" t="n">
        <v>161</v>
      </c>
      <c r="B165" s="23" t="s">
        <v>332</v>
      </c>
      <c r="C165" s="23" t="s">
        <v>205</v>
      </c>
      <c r="D165" s="23" t="s">
        <v>667</v>
      </c>
      <c r="E165" s="22" t="n">
        <v>115</v>
      </c>
      <c r="F165" s="22" t="n">
        <v>1</v>
      </c>
      <c r="G165" s="22" t="s">
        <v>66</v>
      </c>
      <c r="H165" s="23" t="s">
        <v>141</v>
      </c>
      <c r="I165" s="18" t="s">
        <v>62</v>
      </c>
      <c r="J165" s="18" t="s">
        <v>63</v>
      </c>
    </row>
    <row r="166" customFormat="false" ht="15" hidden="false" customHeight="false" outlineLevel="0" collapsed="false">
      <c r="A166" s="22" t="n">
        <v>162</v>
      </c>
      <c r="B166" s="23" t="s">
        <v>333</v>
      </c>
      <c r="C166" s="23" t="s">
        <v>233</v>
      </c>
      <c r="D166" s="23" t="s">
        <v>668</v>
      </c>
      <c r="E166" s="22" t="n">
        <v>113</v>
      </c>
      <c r="F166" s="22" t="n">
        <v>1</v>
      </c>
      <c r="G166" s="22" t="s">
        <v>66</v>
      </c>
      <c r="H166" s="23" t="s">
        <v>334</v>
      </c>
      <c r="I166" s="18" t="s">
        <v>62</v>
      </c>
      <c r="J166" s="18" t="s">
        <v>63</v>
      </c>
    </row>
    <row r="167" customFormat="false" ht="15" hidden="false" customHeight="false" outlineLevel="0" collapsed="false">
      <c r="A167" s="22" t="n">
        <v>163</v>
      </c>
      <c r="B167" s="23" t="s">
        <v>335</v>
      </c>
      <c r="C167" s="23" t="s">
        <v>205</v>
      </c>
      <c r="D167" s="23" t="s">
        <v>668</v>
      </c>
      <c r="E167" s="22" t="n">
        <v>113</v>
      </c>
      <c r="F167" s="22" t="n">
        <v>3</v>
      </c>
      <c r="G167" s="22" t="s">
        <v>59</v>
      </c>
      <c r="H167" s="23" t="s">
        <v>168</v>
      </c>
      <c r="I167" s="18" t="s">
        <v>62</v>
      </c>
      <c r="J167" s="18" t="s">
        <v>63</v>
      </c>
    </row>
    <row r="168" customFormat="false" ht="15" hidden="false" customHeight="false" outlineLevel="0" collapsed="false">
      <c r="A168" s="22" t="n">
        <v>164</v>
      </c>
      <c r="B168" s="23" t="s">
        <v>336</v>
      </c>
      <c r="C168" s="23" t="s">
        <v>205</v>
      </c>
      <c r="D168" s="23" t="s">
        <v>669</v>
      </c>
      <c r="E168" s="22" t="n">
        <v>112</v>
      </c>
      <c r="F168" s="22" t="n">
        <v>1</v>
      </c>
      <c r="G168" s="22" t="s">
        <v>66</v>
      </c>
      <c r="H168" s="23" t="s">
        <v>211</v>
      </c>
      <c r="I168" s="18" t="s">
        <v>62</v>
      </c>
      <c r="J168" s="18" t="s">
        <v>63</v>
      </c>
    </row>
    <row r="169" customFormat="false" ht="15" hidden="false" customHeight="false" outlineLevel="0" collapsed="false">
      <c r="A169" s="22" t="n">
        <v>165</v>
      </c>
      <c r="B169" s="23" t="s">
        <v>337</v>
      </c>
      <c r="C169" s="23" t="s">
        <v>205</v>
      </c>
      <c r="D169" s="23" t="s">
        <v>669</v>
      </c>
      <c r="E169" s="22" t="n">
        <v>112</v>
      </c>
      <c r="F169" s="22" t="n">
        <v>1</v>
      </c>
      <c r="G169" s="22" t="s">
        <v>59</v>
      </c>
      <c r="H169" s="23" t="s">
        <v>168</v>
      </c>
      <c r="I169" s="18" t="s">
        <v>62</v>
      </c>
      <c r="J169" s="18" t="s">
        <v>63</v>
      </c>
    </row>
    <row r="170" customFormat="false" ht="15" hidden="false" customHeight="false" outlineLevel="0" collapsed="false">
      <c r="A170" s="22" t="n">
        <v>166</v>
      </c>
      <c r="B170" s="23" t="s">
        <v>338</v>
      </c>
      <c r="C170" s="23" t="s">
        <v>205</v>
      </c>
      <c r="D170" s="23" t="s">
        <v>670</v>
      </c>
      <c r="E170" s="22" t="n">
        <v>109</v>
      </c>
      <c r="F170" s="22" t="n">
        <v>1</v>
      </c>
      <c r="G170" s="22" t="s">
        <v>66</v>
      </c>
      <c r="H170" s="23" t="s">
        <v>168</v>
      </c>
      <c r="I170" s="18" t="s">
        <v>62</v>
      </c>
      <c r="J170" s="18" t="s">
        <v>63</v>
      </c>
    </row>
    <row r="171" customFormat="false" ht="15" hidden="false" customHeight="false" outlineLevel="0" collapsed="false">
      <c r="A171" s="22" t="n">
        <v>167</v>
      </c>
      <c r="B171" s="23" t="s">
        <v>84</v>
      </c>
      <c r="C171" s="23" t="s">
        <v>58</v>
      </c>
      <c r="D171" s="23" t="s">
        <v>670</v>
      </c>
      <c r="E171" s="22" t="n">
        <v>109</v>
      </c>
      <c r="F171" s="22" t="n">
        <v>1</v>
      </c>
      <c r="G171" s="22" t="s">
        <v>66</v>
      </c>
      <c r="H171" s="23" t="s">
        <v>85</v>
      </c>
      <c r="I171" s="18" t="s">
        <v>62</v>
      </c>
      <c r="J171" s="18" t="s">
        <v>63</v>
      </c>
    </row>
    <row r="172" customFormat="false" ht="15" hidden="false" customHeight="false" outlineLevel="0" collapsed="false">
      <c r="A172" s="22" t="n">
        <v>168</v>
      </c>
      <c r="B172" s="23" t="s">
        <v>148</v>
      </c>
      <c r="C172" s="23" t="s">
        <v>58</v>
      </c>
      <c r="D172" s="23" t="s">
        <v>671</v>
      </c>
      <c r="E172" s="22" t="n">
        <v>107</v>
      </c>
      <c r="F172" s="22" t="n">
        <v>1</v>
      </c>
      <c r="G172" s="22" t="s">
        <v>115</v>
      </c>
      <c r="H172" s="23" t="s">
        <v>672</v>
      </c>
      <c r="I172" s="18" t="s">
        <v>62</v>
      </c>
      <c r="J172" s="18" t="s">
        <v>63</v>
      </c>
    </row>
    <row r="173" customFormat="false" ht="15" hidden="false" customHeight="false" outlineLevel="0" collapsed="false">
      <c r="A173" s="22" t="n">
        <v>169</v>
      </c>
      <c r="B173" s="23" t="s">
        <v>339</v>
      </c>
      <c r="C173" s="23" t="s">
        <v>205</v>
      </c>
      <c r="D173" s="23" t="s">
        <v>671</v>
      </c>
      <c r="E173" s="22" t="n">
        <v>107</v>
      </c>
      <c r="F173" s="22" t="n">
        <v>1</v>
      </c>
      <c r="G173" s="22" t="s">
        <v>66</v>
      </c>
      <c r="H173" s="23" t="s">
        <v>340</v>
      </c>
      <c r="I173" s="18" t="s">
        <v>62</v>
      </c>
      <c r="J173" s="18" t="s">
        <v>63</v>
      </c>
    </row>
    <row r="174" customFormat="false" ht="15" hidden="false" customHeight="false" outlineLevel="0" collapsed="false">
      <c r="A174" s="22" t="n">
        <v>170</v>
      </c>
      <c r="B174" s="23" t="s">
        <v>148</v>
      </c>
      <c r="C174" s="23" t="s">
        <v>58</v>
      </c>
      <c r="D174" s="23" t="s">
        <v>671</v>
      </c>
      <c r="E174" s="22" t="n">
        <v>107</v>
      </c>
      <c r="F174" s="22" t="n">
        <v>3</v>
      </c>
      <c r="G174" s="22" t="s">
        <v>115</v>
      </c>
      <c r="H174" s="23" t="s">
        <v>672</v>
      </c>
      <c r="I174" s="18" t="s">
        <v>62</v>
      </c>
      <c r="J174" s="18" t="s">
        <v>63</v>
      </c>
    </row>
    <row r="175" customFormat="false" ht="15" hidden="false" customHeight="false" outlineLevel="0" collapsed="false">
      <c r="A175" s="22" t="n">
        <v>171</v>
      </c>
      <c r="B175" s="23" t="s">
        <v>339</v>
      </c>
      <c r="C175" s="23" t="s">
        <v>205</v>
      </c>
      <c r="D175" s="23" t="s">
        <v>671</v>
      </c>
      <c r="E175" s="22" t="n">
        <v>107</v>
      </c>
      <c r="F175" s="22" t="n">
        <v>1</v>
      </c>
      <c r="G175" s="22" t="s">
        <v>66</v>
      </c>
      <c r="H175" s="23" t="s">
        <v>340</v>
      </c>
      <c r="I175" s="18" t="s">
        <v>62</v>
      </c>
      <c r="J175" s="18" t="s">
        <v>63</v>
      </c>
    </row>
    <row r="176" customFormat="false" ht="15" hidden="false" customHeight="false" outlineLevel="0" collapsed="false">
      <c r="A176" s="22" t="n">
        <v>172</v>
      </c>
      <c r="B176" s="23" t="s">
        <v>339</v>
      </c>
      <c r="C176" s="23" t="s">
        <v>205</v>
      </c>
      <c r="D176" s="23" t="s">
        <v>671</v>
      </c>
      <c r="E176" s="22" t="n">
        <v>107</v>
      </c>
      <c r="F176" s="22" t="n">
        <v>1</v>
      </c>
      <c r="G176" s="22" t="s">
        <v>66</v>
      </c>
      <c r="H176" s="23" t="s">
        <v>340</v>
      </c>
      <c r="I176" s="18" t="s">
        <v>62</v>
      </c>
      <c r="J176" s="18" t="s">
        <v>63</v>
      </c>
    </row>
    <row r="177" customFormat="false" ht="15" hidden="false" customHeight="false" outlineLevel="0" collapsed="false">
      <c r="A177" s="22" t="n">
        <v>173</v>
      </c>
      <c r="B177" s="23" t="s">
        <v>341</v>
      </c>
      <c r="C177" s="23" t="s">
        <v>297</v>
      </c>
      <c r="D177" s="23" t="s">
        <v>673</v>
      </c>
      <c r="E177" s="22" t="n">
        <v>106</v>
      </c>
      <c r="F177" s="22" t="n">
        <v>2</v>
      </c>
      <c r="G177" s="22" t="s">
        <v>59</v>
      </c>
      <c r="H177" s="23" t="s">
        <v>168</v>
      </c>
      <c r="I177" s="18" t="s">
        <v>62</v>
      </c>
      <c r="J177" s="18" t="s">
        <v>63</v>
      </c>
    </row>
    <row r="178" customFormat="false" ht="15" hidden="false" customHeight="false" outlineLevel="0" collapsed="false">
      <c r="A178" s="22" t="n">
        <v>174</v>
      </c>
      <c r="B178" s="23" t="s">
        <v>342</v>
      </c>
      <c r="C178" s="23" t="s">
        <v>205</v>
      </c>
      <c r="D178" s="23" t="s">
        <v>673</v>
      </c>
      <c r="E178" s="22" t="n">
        <v>106</v>
      </c>
      <c r="F178" s="22" t="n">
        <v>1</v>
      </c>
      <c r="G178" s="22" t="s">
        <v>66</v>
      </c>
      <c r="H178" s="23" t="s">
        <v>141</v>
      </c>
      <c r="I178" s="18" t="s">
        <v>62</v>
      </c>
      <c r="J178" s="18" t="s">
        <v>63</v>
      </c>
    </row>
    <row r="179" customFormat="false" ht="15" hidden="false" customHeight="false" outlineLevel="0" collapsed="false">
      <c r="A179" s="22" t="n">
        <v>175</v>
      </c>
      <c r="B179" s="23" t="s">
        <v>343</v>
      </c>
      <c r="C179" s="23" t="s">
        <v>205</v>
      </c>
      <c r="D179" s="23" t="s">
        <v>674</v>
      </c>
      <c r="E179" s="22" t="n">
        <v>105</v>
      </c>
      <c r="F179" s="22" t="n">
        <v>1</v>
      </c>
      <c r="G179" s="22" t="s">
        <v>66</v>
      </c>
      <c r="H179" s="23" t="s">
        <v>141</v>
      </c>
      <c r="I179" s="18" t="s">
        <v>62</v>
      </c>
      <c r="J179" s="18" t="s">
        <v>63</v>
      </c>
    </row>
    <row r="180" customFormat="false" ht="15" hidden="false" customHeight="false" outlineLevel="0" collapsed="false">
      <c r="A180" s="22" t="n">
        <v>176</v>
      </c>
      <c r="B180" s="23" t="s">
        <v>269</v>
      </c>
      <c r="C180" s="23" t="s">
        <v>205</v>
      </c>
      <c r="D180" s="23" t="s">
        <v>674</v>
      </c>
      <c r="E180" s="22" t="n">
        <v>105</v>
      </c>
      <c r="F180" s="22" t="n">
        <v>1</v>
      </c>
      <c r="G180" s="22" t="s">
        <v>59</v>
      </c>
      <c r="H180" s="23" t="s">
        <v>270</v>
      </c>
      <c r="I180" s="18" t="s">
        <v>62</v>
      </c>
      <c r="J180" s="18" t="s">
        <v>63</v>
      </c>
    </row>
    <row r="181" customFormat="false" ht="15" hidden="false" customHeight="false" outlineLevel="0" collapsed="false">
      <c r="A181" s="22" t="n">
        <v>177</v>
      </c>
      <c r="B181" s="23" t="s">
        <v>344</v>
      </c>
      <c r="C181" s="23" t="s">
        <v>205</v>
      </c>
      <c r="D181" s="23" t="s">
        <v>674</v>
      </c>
      <c r="E181" s="22" t="n">
        <v>105</v>
      </c>
      <c r="F181" s="22" t="n">
        <v>1</v>
      </c>
      <c r="G181" s="22" t="s">
        <v>66</v>
      </c>
      <c r="H181" s="23" t="s">
        <v>141</v>
      </c>
      <c r="I181" s="18" t="s">
        <v>62</v>
      </c>
      <c r="J181" s="18" t="s">
        <v>63</v>
      </c>
    </row>
    <row r="182" customFormat="false" ht="15" hidden="false" customHeight="false" outlineLevel="0" collapsed="false">
      <c r="A182" s="22" t="n">
        <v>178</v>
      </c>
      <c r="B182" s="23" t="s">
        <v>296</v>
      </c>
      <c r="C182" s="23" t="s">
        <v>297</v>
      </c>
      <c r="D182" s="23" t="s">
        <v>674</v>
      </c>
      <c r="E182" s="22" t="n">
        <v>105</v>
      </c>
      <c r="F182" s="22" t="n">
        <v>1</v>
      </c>
      <c r="G182" s="22" t="s">
        <v>59</v>
      </c>
      <c r="H182" s="23" t="s">
        <v>168</v>
      </c>
      <c r="I182" s="18" t="s">
        <v>62</v>
      </c>
      <c r="J182" s="18" t="s">
        <v>63</v>
      </c>
    </row>
    <row r="183" customFormat="false" ht="15" hidden="false" customHeight="false" outlineLevel="0" collapsed="false">
      <c r="A183" s="22" t="n">
        <v>179</v>
      </c>
      <c r="B183" s="23" t="s">
        <v>101</v>
      </c>
      <c r="C183" s="23" t="s">
        <v>58</v>
      </c>
      <c r="D183" s="23" t="s">
        <v>675</v>
      </c>
      <c r="E183" s="22" t="n">
        <v>104</v>
      </c>
      <c r="F183" s="22" t="n">
        <v>1</v>
      </c>
      <c r="G183" s="22" t="s">
        <v>59</v>
      </c>
      <c r="H183" s="23" t="s">
        <v>102</v>
      </c>
      <c r="I183" s="18" t="s">
        <v>62</v>
      </c>
      <c r="J183" s="18" t="s">
        <v>63</v>
      </c>
    </row>
    <row r="184" customFormat="false" ht="15" hidden="false" customHeight="false" outlineLevel="0" collapsed="false">
      <c r="A184" s="22" t="n">
        <v>180</v>
      </c>
      <c r="B184" s="23" t="s">
        <v>101</v>
      </c>
      <c r="C184" s="23" t="s">
        <v>58</v>
      </c>
      <c r="D184" s="23" t="s">
        <v>675</v>
      </c>
      <c r="E184" s="22" t="n">
        <v>104</v>
      </c>
      <c r="F184" s="22" t="n">
        <v>1</v>
      </c>
      <c r="G184" s="22" t="s">
        <v>59</v>
      </c>
      <c r="H184" s="23" t="s">
        <v>102</v>
      </c>
      <c r="I184" s="18" t="s">
        <v>62</v>
      </c>
      <c r="J184" s="18" t="s">
        <v>63</v>
      </c>
    </row>
    <row r="185" customFormat="false" ht="15" hidden="false" customHeight="false" outlineLevel="0" collapsed="false">
      <c r="A185" s="22" t="n">
        <v>181</v>
      </c>
      <c r="B185" s="23" t="s">
        <v>345</v>
      </c>
      <c r="C185" s="23" t="s">
        <v>233</v>
      </c>
      <c r="D185" s="23" t="s">
        <v>676</v>
      </c>
      <c r="E185" s="22" t="n">
        <v>102</v>
      </c>
      <c r="F185" s="22" t="n">
        <v>1</v>
      </c>
      <c r="G185" s="22" t="s">
        <v>66</v>
      </c>
      <c r="H185" s="23" t="s">
        <v>346</v>
      </c>
      <c r="I185" s="18" t="s">
        <v>62</v>
      </c>
      <c r="J185" s="18" t="s">
        <v>63</v>
      </c>
    </row>
    <row r="186" customFormat="false" ht="15" hidden="false" customHeight="false" outlineLevel="0" collapsed="false">
      <c r="A186" s="22" t="n">
        <v>182</v>
      </c>
      <c r="B186" s="23" t="s">
        <v>184</v>
      </c>
      <c r="C186" s="23" t="s">
        <v>58</v>
      </c>
      <c r="D186" s="23" t="s">
        <v>676</v>
      </c>
      <c r="E186" s="22" t="n">
        <v>102</v>
      </c>
      <c r="F186" s="22" t="n">
        <v>1</v>
      </c>
      <c r="G186" s="22" t="s">
        <v>66</v>
      </c>
      <c r="H186" s="23" t="s">
        <v>141</v>
      </c>
      <c r="I186" s="18" t="s">
        <v>62</v>
      </c>
      <c r="J186" s="18" t="s">
        <v>63</v>
      </c>
    </row>
    <row r="187" customFormat="false" ht="15" hidden="false" customHeight="false" outlineLevel="0" collapsed="false">
      <c r="A187" s="22" t="n">
        <v>183</v>
      </c>
      <c r="B187" s="23" t="s">
        <v>347</v>
      </c>
      <c r="C187" s="23" t="s">
        <v>205</v>
      </c>
      <c r="D187" s="23" t="s">
        <v>676</v>
      </c>
      <c r="E187" s="22" t="n">
        <v>102</v>
      </c>
      <c r="F187" s="22" t="n">
        <v>1</v>
      </c>
      <c r="G187" s="22" t="s">
        <v>66</v>
      </c>
      <c r="H187" s="23" t="s">
        <v>211</v>
      </c>
      <c r="I187" s="18" t="s">
        <v>62</v>
      </c>
      <c r="J187" s="18" t="s">
        <v>63</v>
      </c>
    </row>
    <row r="188" customFormat="false" ht="15" hidden="false" customHeight="false" outlineLevel="0" collapsed="false">
      <c r="A188" s="22" t="n">
        <v>184</v>
      </c>
      <c r="B188" s="23" t="s">
        <v>305</v>
      </c>
      <c r="C188" s="23" t="s">
        <v>233</v>
      </c>
      <c r="D188" s="23" t="s">
        <v>676</v>
      </c>
      <c r="E188" s="22" t="n">
        <v>102</v>
      </c>
      <c r="F188" s="22" t="n">
        <v>1</v>
      </c>
      <c r="G188" s="22" t="s">
        <v>66</v>
      </c>
      <c r="H188" s="23" t="s">
        <v>677</v>
      </c>
      <c r="I188" s="18" t="s">
        <v>62</v>
      </c>
      <c r="J188" s="18" t="s">
        <v>63</v>
      </c>
    </row>
    <row r="189" customFormat="false" ht="15" hidden="false" customHeight="false" outlineLevel="0" collapsed="false">
      <c r="A189" s="22" t="n">
        <v>185</v>
      </c>
      <c r="B189" s="23" t="s">
        <v>348</v>
      </c>
      <c r="C189" s="23" t="s">
        <v>205</v>
      </c>
      <c r="D189" s="23" t="s">
        <v>678</v>
      </c>
      <c r="E189" s="22" t="n">
        <v>101</v>
      </c>
      <c r="F189" s="22" t="n">
        <v>1</v>
      </c>
      <c r="G189" s="22" t="s">
        <v>59</v>
      </c>
      <c r="H189" s="23" t="s">
        <v>168</v>
      </c>
      <c r="I189" s="18" t="s">
        <v>62</v>
      </c>
      <c r="J189" s="18" t="s">
        <v>63</v>
      </c>
    </row>
    <row r="190" customFormat="false" ht="15" hidden="false" customHeight="false" outlineLevel="0" collapsed="false">
      <c r="A190" s="22" t="n">
        <v>186</v>
      </c>
      <c r="B190" s="23" t="s">
        <v>260</v>
      </c>
      <c r="C190" s="23" t="s">
        <v>205</v>
      </c>
      <c r="D190" s="23" t="s">
        <v>679</v>
      </c>
      <c r="E190" s="22" t="n">
        <v>100</v>
      </c>
      <c r="F190" s="22" t="n">
        <v>1</v>
      </c>
      <c r="G190" s="22" t="s">
        <v>59</v>
      </c>
      <c r="H190" s="23" t="s">
        <v>168</v>
      </c>
      <c r="I190" s="18" t="s">
        <v>62</v>
      </c>
      <c r="J190" s="18" t="s">
        <v>63</v>
      </c>
    </row>
    <row r="191" customFormat="false" ht="15" hidden="false" customHeight="false" outlineLevel="0" collapsed="false">
      <c r="A191" s="22" t="n">
        <v>187</v>
      </c>
      <c r="B191" s="23" t="s">
        <v>64</v>
      </c>
      <c r="C191" s="23" t="s">
        <v>58</v>
      </c>
      <c r="D191" s="23" t="s">
        <v>680</v>
      </c>
      <c r="E191" s="22" t="n">
        <v>99</v>
      </c>
      <c r="F191" s="22" t="n">
        <v>1</v>
      </c>
      <c r="G191" s="22" t="s">
        <v>66</v>
      </c>
      <c r="H191" s="23" t="s">
        <v>681</v>
      </c>
      <c r="I191" s="18" t="s">
        <v>62</v>
      </c>
      <c r="J191" s="18" t="s">
        <v>63</v>
      </c>
    </row>
    <row r="192" customFormat="false" ht="15" hidden="false" customHeight="false" outlineLevel="0" collapsed="false">
      <c r="A192" s="22" t="n">
        <v>188</v>
      </c>
      <c r="B192" s="23" t="s">
        <v>349</v>
      </c>
      <c r="C192" s="23" t="s">
        <v>208</v>
      </c>
      <c r="D192" s="23" t="s">
        <v>680</v>
      </c>
      <c r="E192" s="22" t="n">
        <v>99</v>
      </c>
      <c r="F192" s="22" t="n">
        <v>1</v>
      </c>
      <c r="G192" s="22" t="s">
        <v>59</v>
      </c>
      <c r="H192" s="23" t="s">
        <v>350</v>
      </c>
      <c r="I192" s="18" t="s">
        <v>62</v>
      </c>
      <c r="J192" s="18" t="s">
        <v>63</v>
      </c>
    </row>
    <row r="193" customFormat="false" ht="15" hidden="false" customHeight="false" outlineLevel="0" collapsed="false">
      <c r="A193" s="22" t="n">
        <v>189</v>
      </c>
      <c r="B193" s="23" t="s">
        <v>64</v>
      </c>
      <c r="C193" s="23" t="s">
        <v>58</v>
      </c>
      <c r="D193" s="23" t="s">
        <v>680</v>
      </c>
      <c r="E193" s="22" t="n">
        <v>99</v>
      </c>
      <c r="F193" s="22" t="n">
        <v>1</v>
      </c>
      <c r="G193" s="22" t="s">
        <v>66</v>
      </c>
      <c r="H193" s="23" t="s">
        <v>681</v>
      </c>
      <c r="I193" s="18" t="s">
        <v>62</v>
      </c>
      <c r="J193" s="18" t="s">
        <v>63</v>
      </c>
    </row>
    <row r="194" customFormat="false" ht="15" hidden="false" customHeight="false" outlineLevel="0" collapsed="false">
      <c r="A194" s="22" t="n">
        <v>190</v>
      </c>
      <c r="B194" s="23" t="s">
        <v>56</v>
      </c>
      <c r="C194" s="23" t="s">
        <v>58</v>
      </c>
      <c r="D194" s="23" t="s">
        <v>682</v>
      </c>
      <c r="E194" s="22" t="n">
        <v>98</v>
      </c>
      <c r="F194" s="22" t="n">
        <v>1</v>
      </c>
      <c r="G194" s="22" t="s">
        <v>59</v>
      </c>
      <c r="H194" s="23" t="s">
        <v>683</v>
      </c>
      <c r="I194" s="18" t="s">
        <v>62</v>
      </c>
      <c r="J194" s="18" t="s">
        <v>63</v>
      </c>
    </row>
    <row r="195" customFormat="false" ht="15" hidden="false" customHeight="false" outlineLevel="0" collapsed="false">
      <c r="A195" s="22" t="n">
        <v>191</v>
      </c>
      <c r="B195" s="23" t="s">
        <v>56</v>
      </c>
      <c r="C195" s="23" t="s">
        <v>58</v>
      </c>
      <c r="D195" s="23" t="s">
        <v>682</v>
      </c>
      <c r="E195" s="22" t="n">
        <v>98</v>
      </c>
      <c r="F195" s="22" t="n">
        <v>1</v>
      </c>
      <c r="G195" s="22" t="s">
        <v>59</v>
      </c>
      <c r="H195" s="23" t="s">
        <v>683</v>
      </c>
      <c r="I195" s="18" t="s">
        <v>62</v>
      </c>
      <c r="J195" s="18" t="s">
        <v>63</v>
      </c>
    </row>
    <row r="196" customFormat="false" ht="15" hidden="false" customHeight="false" outlineLevel="0" collapsed="false">
      <c r="A196" s="22" t="n">
        <v>192</v>
      </c>
      <c r="B196" s="23" t="s">
        <v>351</v>
      </c>
      <c r="C196" s="23" t="s">
        <v>205</v>
      </c>
      <c r="D196" s="23" t="s">
        <v>684</v>
      </c>
      <c r="E196" s="22" t="n">
        <v>95</v>
      </c>
      <c r="F196" s="22" t="n">
        <v>1</v>
      </c>
      <c r="G196" s="22" t="s">
        <v>66</v>
      </c>
      <c r="H196" s="23" t="s">
        <v>168</v>
      </c>
      <c r="I196" s="18" t="s">
        <v>62</v>
      </c>
      <c r="J196" s="18" t="s">
        <v>63</v>
      </c>
    </row>
    <row r="197" customFormat="false" ht="15" hidden="false" customHeight="false" outlineLevel="0" collapsed="false">
      <c r="A197" s="22" t="n">
        <v>193</v>
      </c>
      <c r="B197" s="23" t="s">
        <v>301</v>
      </c>
      <c r="C197" s="23" t="s">
        <v>205</v>
      </c>
      <c r="D197" s="23" t="s">
        <v>684</v>
      </c>
      <c r="E197" s="22" t="n">
        <v>95</v>
      </c>
      <c r="F197" s="22" t="n">
        <v>1</v>
      </c>
      <c r="G197" s="22" t="s">
        <v>66</v>
      </c>
      <c r="H197" s="23" t="s">
        <v>141</v>
      </c>
      <c r="I197" s="18" t="s">
        <v>62</v>
      </c>
      <c r="J197" s="18" t="s">
        <v>63</v>
      </c>
    </row>
    <row r="198" customFormat="false" ht="15" hidden="false" customHeight="false" outlineLevel="0" collapsed="false">
      <c r="A198" s="22" t="n">
        <v>194</v>
      </c>
      <c r="B198" s="23" t="s">
        <v>352</v>
      </c>
      <c r="C198" s="23" t="s">
        <v>205</v>
      </c>
      <c r="D198" s="23" t="s">
        <v>684</v>
      </c>
      <c r="E198" s="22" t="n">
        <v>95</v>
      </c>
      <c r="F198" s="22" t="n">
        <v>1</v>
      </c>
      <c r="G198" s="22" t="s">
        <v>59</v>
      </c>
      <c r="H198" s="23" t="s">
        <v>168</v>
      </c>
      <c r="I198" s="18" t="s">
        <v>62</v>
      </c>
      <c r="J198" s="18" t="s">
        <v>63</v>
      </c>
    </row>
    <row r="199" customFormat="false" ht="15" hidden="false" customHeight="false" outlineLevel="0" collapsed="false">
      <c r="A199" s="22" t="n">
        <v>195</v>
      </c>
      <c r="B199" s="23" t="s">
        <v>353</v>
      </c>
      <c r="C199" s="23" t="s">
        <v>205</v>
      </c>
      <c r="D199" s="23" t="s">
        <v>685</v>
      </c>
      <c r="E199" s="22" t="n">
        <v>94</v>
      </c>
      <c r="F199" s="22" t="n">
        <v>1</v>
      </c>
      <c r="G199" s="22" t="s">
        <v>66</v>
      </c>
      <c r="H199" s="23" t="s">
        <v>141</v>
      </c>
      <c r="I199" s="18" t="s">
        <v>62</v>
      </c>
      <c r="J199" s="18" t="s">
        <v>63</v>
      </c>
    </row>
    <row r="200" customFormat="false" ht="15" hidden="false" customHeight="false" outlineLevel="0" collapsed="false">
      <c r="A200" s="22" t="n">
        <v>196</v>
      </c>
      <c r="B200" s="23" t="s">
        <v>355</v>
      </c>
      <c r="C200" s="23" t="s">
        <v>208</v>
      </c>
      <c r="D200" s="23" t="s">
        <v>686</v>
      </c>
      <c r="E200" s="22" t="n">
        <v>93</v>
      </c>
      <c r="F200" s="22" t="n">
        <v>1</v>
      </c>
      <c r="G200" s="22" t="s">
        <v>66</v>
      </c>
      <c r="H200" s="23" t="s">
        <v>350</v>
      </c>
      <c r="I200" s="18" t="s">
        <v>62</v>
      </c>
      <c r="J200" s="18" t="s">
        <v>63</v>
      </c>
    </row>
    <row r="201" customFormat="false" ht="15" hidden="false" customHeight="false" outlineLevel="0" collapsed="false">
      <c r="A201" s="22" t="n">
        <v>197</v>
      </c>
      <c r="B201" s="23" t="s">
        <v>356</v>
      </c>
      <c r="C201" s="23" t="s">
        <v>205</v>
      </c>
      <c r="D201" s="23" t="s">
        <v>686</v>
      </c>
      <c r="E201" s="22" t="n">
        <v>93</v>
      </c>
      <c r="F201" s="22" t="n">
        <v>1</v>
      </c>
      <c r="G201" s="22" t="s">
        <v>66</v>
      </c>
      <c r="H201" s="23" t="s">
        <v>141</v>
      </c>
      <c r="I201" s="18" t="s">
        <v>62</v>
      </c>
      <c r="J201" s="18" t="s">
        <v>63</v>
      </c>
    </row>
    <row r="202" customFormat="false" ht="15" hidden="false" customHeight="false" outlineLevel="0" collapsed="false">
      <c r="A202" s="22" t="n">
        <v>198</v>
      </c>
      <c r="B202" s="23" t="s">
        <v>351</v>
      </c>
      <c r="C202" s="23" t="s">
        <v>205</v>
      </c>
      <c r="D202" s="23" t="s">
        <v>687</v>
      </c>
      <c r="E202" s="22" t="n">
        <v>91</v>
      </c>
      <c r="F202" s="22" t="n">
        <v>2</v>
      </c>
      <c r="G202" s="22" t="s">
        <v>66</v>
      </c>
      <c r="H202" s="23" t="s">
        <v>168</v>
      </c>
      <c r="I202" s="18" t="s">
        <v>62</v>
      </c>
      <c r="J202" s="18" t="s">
        <v>63</v>
      </c>
    </row>
    <row r="203" customFormat="false" ht="15" hidden="false" customHeight="false" outlineLevel="0" collapsed="false">
      <c r="A203" s="22" t="n">
        <v>199</v>
      </c>
      <c r="B203" s="23" t="s">
        <v>125</v>
      </c>
      <c r="C203" s="23" t="s">
        <v>58</v>
      </c>
      <c r="D203" s="23" t="s">
        <v>687</v>
      </c>
      <c r="E203" s="22" t="n">
        <v>91</v>
      </c>
      <c r="F203" s="22" t="n">
        <v>1</v>
      </c>
      <c r="G203" s="22" t="s">
        <v>66</v>
      </c>
      <c r="H203" s="23" t="s">
        <v>126</v>
      </c>
      <c r="I203" s="18" t="s">
        <v>62</v>
      </c>
      <c r="J203" s="18" t="s">
        <v>63</v>
      </c>
    </row>
    <row r="204" customFormat="false" ht="15" hidden="false" customHeight="false" outlineLevel="0" collapsed="false">
      <c r="A204" s="22" t="n">
        <v>200</v>
      </c>
      <c r="B204" s="23" t="s">
        <v>296</v>
      </c>
      <c r="C204" s="23" t="s">
        <v>297</v>
      </c>
      <c r="D204" s="23" t="s">
        <v>687</v>
      </c>
      <c r="E204" s="22" t="n">
        <v>91</v>
      </c>
      <c r="F204" s="22" t="n">
        <v>1</v>
      </c>
      <c r="G204" s="22" t="s">
        <v>59</v>
      </c>
      <c r="H204" s="23" t="s">
        <v>168</v>
      </c>
      <c r="I204" s="18" t="s">
        <v>62</v>
      </c>
      <c r="J204" s="18" t="s">
        <v>63</v>
      </c>
    </row>
    <row r="205" customFormat="false" ht="15" hidden="false" customHeight="false" outlineLevel="0" collapsed="false">
      <c r="A205" s="22" t="n">
        <v>201</v>
      </c>
      <c r="B205" s="23" t="s">
        <v>357</v>
      </c>
      <c r="C205" s="23" t="s">
        <v>205</v>
      </c>
      <c r="D205" s="23" t="s">
        <v>688</v>
      </c>
      <c r="E205" s="22" t="n">
        <v>89</v>
      </c>
      <c r="F205" s="22" t="n">
        <v>1</v>
      </c>
      <c r="G205" s="22" t="s">
        <v>59</v>
      </c>
      <c r="H205" s="23" t="s">
        <v>168</v>
      </c>
      <c r="I205" s="18" t="s">
        <v>62</v>
      </c>
      <c r="J205" s="18" t="s">
        <v>63</v>
      </c>
    </row>
    <row r="206" customFormat="false" ht="15" hidden="false" customHeight="false" outlineLevel="0" collapsed="false">
      <c r="A206" s="22" t="n">
        <v>202</v>
      </c>
      <c r="B206" s="23" t="s">
        <v>119</v>
      </c>
      <c r="C206" s="23" t="s">
        <v>58</v>
      </c>
      <c r="D206" s="23" t="s">
        <v>688</v>
      </c>
      <c r="E206" s="22" t="n">
        <v>89</v>
      </c>
      <c r="F206" s="22" t="n">
        <v>1</v>
      </c>
      <c r="G206" s="22" t="s">
        <v>66</v>
      </c>
      <c r="H206" s="23" t="s">
        <v>120</v>
      </c>
      <c r="I206" s="18" t="s">
        <v>62</v>
      </c>
      <c r="J206" s="18" t="s">
        <v>63</v>
      </c>
    </row>
    <row r="207" customFormat="false" ht="15" hidden="false" customHeight="false" outlineLevel="0" collapsed="false">
      <c r="A207" s="22" t="n">
        <v>203</v>
      </c>
      <c r="B207" s="23" t="s">
        <v>358</v>
      </c>
      <c r="C207" s="23" t="s">
        <v>297</v>
      </c>
      <c r="D207" s="23" t="s">
        <v>689</v>
      </c>
      <c r="E207" s="22" t="n">
        <v>88</v>
      </c>
      <c r="F207" s="22" t="n">
        <v>1</v>
      </c>
      <c r="G207" s="22" t="s">
        <v>59</v>
      </c>
      <c r="H207" s="23" t="s">
        <v>143</v>
      </c>
      <c r="I207" s="18" t="s">
        <v>62</v>
      </c>
      <c r="J207" s="18" t="s">
        <v>63</v>
      </c>
    </row>
    <row r="208" customFormat="false" ht="15" hidden="false" customHeight="false" outlineLevel="0" collapsed="false">
      <c r="A208" s="22" t="n">
        <v>204</v>
      </c>
      <c r="B208" s="23" t="s">
        <v>298</v>
      </c>
      <c r="C208" s="23" t="s">
        <v>233</v>
      </c>
      <c r="D208" s="23" t="s">
        <v>690</v>
      </c>
      <c r="E208" s="22" t="n">
        <v>87</v>
      </c>
      <c r="F208" s="22" t="n">
        <v>1</v>
      </c>
      <c r="G208" s="22" t="s">
        <v>59</v>
      </c>
      <c r="H208" s="23" t="s">
        <v>334</v>
      </c>
      <c r="I208" s="18" t="s">
        <v>62</v>
      </c>
      <c r="J208" s="18" t="s">
        <v>63</v>
      </c>
    </row>
    <row r="209" customFormat="false" ht="15" hidden="false" customHeight="false" outlineLevel="0" collapsed="false">
      <c r="A209" s="22" t="n">
        <v>205</v>
      </c>
      <c r="B209" s="23" t="s">
        <v>359</v>
      </c>
      <c r="C209" s="23" t="s">
        <v>208</v>
      </c>
      <c r="D209" s="23" t="s">
        <v>690</v>
      </c>
      <c r="E209" s="22" t="n">
        <v>87</v>
      </c>
      <c r="F209" s="22" t="n">
        <v>1</v>
      </c>
      <c r="G209" s="22" t="s">
        <v>66</v>
      </c>
      <c r="H209" s="23" t="s">
        <v>141</v>
      </c>
      <c r="I209" s="18" t="s">
        <v>62</v>
      </c>
      <c r="J209" s="18" t="s">
        <v>63</v>
      </c>
    </row>
    <row r="210" customFormat="false" ht="15" hidden="false" customHeight="false" outlineLevel="0" collapsed="false">
      <c r="A210" s="22" t="n">
        <v>206</v>
      </c>
      <c r="B210" s="23" t="s">
        <v>360</v>
      </c>
      <c r="C210" s="23" t="s">
        <v>297</v>
      </c>
      <c r="D210" s="23" t="s">
        <v>691</v>
      </c>
      <c r="E210" s="22" t="n">
        <v>86</v>
      </c>
      <c r="F210" s="22" t="n">
        <v>3</v>
      </c>
      <c r="G210" s="22" t="s">
        <v>59</v>
      </c>
      <c r="H210" s="23" t="s">
        <v>143</v>
      </c>
      <c r="I210" s="18" t="s">
        <v>62</v>
      </c>
      <c r="J210" s="18" t="s">
        <v>63</v>
      </c>
    </row>
    <row r="211" customFormat="false" ht="15" hidden="false" customHeight="false" outlineLevel="0" collapsed="false">
      <c r="A211" s="22" t="n">
        <v>207</v>
      </c>
      <c r="B211" s="23" t="s">
        <v>97</v>
      </c>
      <c r="C211" s="23" t="s">
        <v>58</v>
      </c>
      <c r="D211" s="23" t="s">
        <v>691</v>
      </c>
      <c r="E211" s="22" t="n">
        <v>86</v>
      </c>
      <c r="F211" s="22" t="n">
        <v>3</v>
      </c>
      <c r="G211" s="22" t="s">
        <v>66</v>
      </c>
      <c r="H211" s="23" t="s">
        <v>692</v>
      </c>
      <c r="I211" s="18" t="s">
        <v>62</v>
      </c>
      <c r="J211" s="18" t="s">
        <v>63</v>
      </c>
    </row>
    <row r="212" customFormat="false" ht="15" hidden="false" customHeight="false" outlineLevel="0" collapsed="false">
      <c r="A212" s="22" t="n">
        <v>208</v>
      </c>
      <c r="B212" s="23" t="s">
        <v>364</v>
      </c>
      <c r="C212" s="23" t="s">
        <v>297</v>
      </c>
      <c r="D212" s="23" t="s">
        <v>693</v>
      </c>
      <c r="E212" s="22" t="n">
        <v>85</v>
      </c>
      <c r="F212" s="22" t="n">
        <v>1</v>
      </c>
      <c r="G212" s="22" t="s">
        <v>59</v>
      </c>
      <c r="H212" s="23" t="s">
        <v>168</v>
      </c>
      <c r="I212" s="18" t="s">
        <v>62</v>
      </c>
      <c r="J212" s="18" t="s">
        <v>63</v>
      </c>
    </row>
    <row r="213" customFormat="false" ht="15" hidden="false" customHeight="false" outlineLevel="0" collapsed="false">
      <c r="A213" s="22" t="n">
        <v>209</v>
      </c>
      <c r="B213" s="23" t="s">
        <v>361</v>
      </c>
      <c r="C213" s="23" t="s">
        <v>205</v>
      </c>
      <c r="D213" s="23" t="s">
        <v>693</v>
      </c>
      <c r="E213" s="22" t="n">
        <v>85</v>
      </c>
      <c r="F213" s="22" t="n">
        <v>1</v>
      </c>
      <c r="G213" s="22" t="s">
        <v>66</v>
      </c>
      <c r="H213" s="23" t="s">
        <v>168</v>
      </c>
      <c r="I213" s="18" t="s">
        <v>62</v>
      </c>
      <c r="J213" s="18" t="s">
        <v>63</v>
      </c>
    </row>
    <row r="214" customFormat="false" ht="15" hidden="false" customHeight="false" outlineLevel="0" collapsed="false">
      <c r="A214" s="22" t="n">
        <v>210</v>
      </c>
      <c r="B214" s="23" t="s">
        <v>362</v>
      </c>
      <c r="C214" s="23" t="s">
        <v>233</v>
      </c>
      <c r="D214" s="23" t="s">
        <v>693</v>
      </c>
      <c r="E214" s="22" t="n">
        <v>85</v>
      </c>
      <c r="F214" s="22" t="n">
        <v>3</v>
      </c>
      <c r="G214" s="22" t="s">
        <v>66</v>
      </c>
      <c r="H214" s="23" t="s">
        <v>141</v>
      </c>
      <c r="I214" s="18" t="s">
        <v>62</v>
      </c>
      <c r="J214" s="18" t="s">
        <v>63</v>
      </c>
    </row>
    <row r="215" customFormat="false" ht="15" hidden="false" customHeight="false" outlineLevel="0" collapsed="false">
      <c r="A215" s="22" t="n">
        <v>211</v>
      </c>
      <c r="B215" s="23" t="s">
        <v>365</v>
      </c>
      <c r="C215" s="23" t="s">
        <v>205</v>
      </c>
      <c r="D215" s="23" t="s">
        <v>693</v>
      </c>
      <c r="E215" s="22" t="n">
        <v>85</v>
      </c>
      <c r="F215" s="22" t="n">
        <v>1</v>
      </c>
      <c r="G215" s="22" t="s">
        <v>59</v>
      </c>
      <c r="H215" s="23" t="s">
        <v>143</v>
      </c>
      <c r="I215" s="18" t="s">
        <v>62</v>
      </c>
      <c r="J215" s="18" t="s">
        <v>63</v>
      </c>
    </row>
    <row r="216" customFormat="false" ht="15" hidden="false" customHeight="false" outlineLevel="0" collapsed="false">
      <c r="A216" s="22" t="n">
        <v>212</v>
      </c>
      <c r="B216" s="23" t="s">
        <v>366</v>
      </c>
      <c r="C216" s="23" t="s">
        <v>205</v>
      </c>
      <c r="D216" s="23" t="s">
        <v>693</v>
      </c>
      <c r="E216" s="22" t="n">
        <v>85</v>
      </c>
      <c r="F216" s="22" t="n">
        <v>1</v>
      </c>
      <c r="G216" s="22" t="s">
        <v>115</v>
      </c>
      <c r="H216" s="23" t="s">
        <v>141</v>
      </c>
      <c r="I216" s="18" t="s">
        <v>62</v>
      </c>
      <c r="J216" s="18" t="s">
        <v>63</v>
      </c>
    </row>
    <row r="217" customFormat="false" ht="15" hidden="false" customHeight="false" outlineLevel="0" collapsed="false">
      <c r="A217" s="22" t="n">
        <v>213</v>
      </c>
      <c r="B217" s="23" t="s">
        <v>367</v>
      </c>
      <c r="C217" s="23" t="s">
        <v>233</v>
      </c>
      <c r="D217" s="23" t="s">
        <v>694</v>
      </c>
      <c r="E217" s="22" t="n">
        <v>84</v>
      </c>
      <c r="F217" s="22" t="n">
        <v>1</v>
      </c>
      <c r="G217" s="22" t="s">
        <v>115</v>
      </c>
      <c r="H217" s="23" t="s">
        <v>368</v>
      </c>
      <c r="I217" s="18" t="s">
        <v>62</v>
      </c>
      <c r="J217" s="18" t="s">
        <v>63</v>
      </c>
    </row>
    <row r="218" customFormat="false" ht="15" hidden="false" customHeight="false" outlineLevel="0" collapsed="false">
      <c r="A218" s="22" t="n">
        <v>214</v>
      </c>
      <c r="B218" s="23" t="s">
        <v>367</v>
      </c>
      <c r="C218" s="23" t="s">
        <v>233</v>
      </c>
      <c r="D218" s="23" t="s">
        <v>694</v>
      </c>
      <c r="E218" s="22" t="n">
        <v>84</v>
      </c>
      <c r="F218" s="22" t="n">
        <v>1</v>
      </c>
      <c r="G218" s="22" t="s">
        <v>115</v>
      </c>
      <c r="H218" s="23" t="s">
        <v>368</v>
      </c>
      <c r="I218" s="18" t="s">
        <v>62</v>
      </c>
      <c r="J218" s="18" t="s">
        <v>63</v>
      </c>
    </row>
    <row r="219" customFormat="false" ht="15" hidden="false" customHeight="false" outlineLevel="0" collapsed="false">
      <c r="A219" s="22" t="n">
        <v>215</v>
      </c>
      <c r="B219" s="23" t="s">
        <v>351</v>
      </c>
      <c r="C219" s="23" t="s">
        <v>205</v>
      </c>
      <c r="D219" s="23" t="s">
        <v>694</v>
      </c>
      <c r="E219" s="22" t="n">
        <v>84</v>
      </c>
      <c r="F219" s="22" t="n">
        <v>1</v>
      </c>
      <c r="G219" s="22" t="s">
        <v>66</v>
      </c>
      <c r="H219" s="23" t="s">
        <v>168</v>
      </c>
      <c r="I219" s="18" t="s">
        <v>62</v>
      </c>
      <c r="J219" s="18" t="s">
        <v>63</v>
      </c>
    </row>
    <row r="220" customFormat="false" ht="15" hidden="false" customHeight="false" outlineLevel="0" collapsed="false">
      <c r="A220" s="22" t="n">
        <v>216</v>
      </c>
      <c r="B220" s="23" t="s">
        <v>369</v>
      </c>
      <c r="C220" s="23" t="s">
        <v>205</v>
      </c>
      <c r="D220" s="23" t="s">
        <v>694</v>
      </c>
      <c r="E220" s="22" t="n">
        <v>84</v>
      </c>
      <c r="F220" s="22" t="n">
        <v>1</v>
      </c>
      <c r="G220" s="22" t="s">
        <v>59</v>
      </c>
      <c r="H220" s="23" t="s">
        <v>370</v>
      </c>
      <c r="I220" s="18" t="s">
        <v>62</v>
      </c>
      <c r="J220" s="18" t="s">
        <v>63</v>
      </c>
    </row>
    <row r="221" customFormat="false" ht="15" hidden="false" customHeight="false" outlineLevel="0" collapsed="false">
      <c r="A221" s="22" t="n">
        <v>217</v>
      </c>
      <c r="B221" s="23" t="s">
        <v>371</v>
      </c>
      <c r="C221" s="23" t="s">
        <v>205</v>
      </c>
      <c r="D221" s="23" t="s">
        <v>695</v>
      </c>
      <c r="E221" s="22" t="n">
        <v>82</v>
      </c>
      <c r="F221" s="22" t="n">
        <v>1</v>
      </c>
      <c r="G221" s="22" t="s">
        <v>115</v>
      </c>
      <c r="H221" s="23" t="s">
        <v>372</v>
      </c>
      <c r="I221" s="18" t="s">
        <v>62</v>
      </c>
      <c r="J221" s="18" t="s">
        <v>63</v>
      </c>
    </row>
    <row r="222" customFormat="false" ht="15" hidden="false" customHeight="false" outlineLevel="0" collapsed="false">
      <c r="A222" s="22" t="n">
        <v>218</v>
      </c>
      <c r="B222" s="23" t="s">
        <v>99</v>
      </c>
      <c r="C222" s="23" t="s">
        <v>58</v>
      </c>
      <c r="D222" s="23" t="s">
        <v>696</v>
      </c>
      <c r="E222" s="22" t="n">
        <v>81</v>
      </c>
      <c r="F222" s="22" t="n">
        <v>2</v>
      </c>
      <c r="G222" s="22" t="s">
        <v>59</v>
      </c>
      <c r="H222" s="23" t="s">
        <v>697</v>
      </c>
      <c r="I222" s="18" t="s">
        <v>62</v>
      </c>
      <c r="J222" s="18" t="s">
        <v>63</v>
      </c>
    </row>
    <row r="223" customFormat="false" ht="15" hidden="false" customHeight="false" outlineLevel="0" collapsed="false">
      <c r="A223" s="22" t="n">
        <v>219</v>
      </c>
      <c r="B223" s="23" t="s">
        <v>377</v>
      </c>
      <c r="C223" s="23" t="s">
        <v>205</v>
      </c>
      <c r="D223" s="23" t="s">
        <v>696</v>
      </c>
      <c r="E223" s="22" t="n">
        <v>81</v>
      </c>
      <c r="F223" s="22" t="n">
        <v>1</v>
      </c>
      <c r="G223" s="22" t="s">
        <v>66</v>
      </c>
      <c r="H223" s="23" t="s">
        <v>378</v>
      </c>
      <c r="I223" s="18" t="s">
        <v>62</v>
      </c>
      <c r="J223" s="18" t="s">
        <v>63</v>
      </c>
    </row>
    <row r="224" customFormat="false" ht="15" hidden="false" customHeight="false" outlineLevel="0" collapsed="false">
      <c r="A224" s="22" t="n">
        <v>220</v>
      </c>
      <c r="B224" s="23" t="s">
        <v>379</v>
      </c>
      <c r="C224" s="23" t="s">
        <v>205</v>
      </c>
      <c r="D224" s="23" t="s">
        <v>696</v>
      </c>
      <c r="E224" s="22" t="n">
        <v>81</v>
      </c>
      <c r="F224" s="22" t="n">
        <v>1</v>
      </c>
      <c r="G224" s="22" t="s">
        <v>66</v>
      </c>
      <c r="H224" s="23" t="s">
        <v>380</v>
      </c>
      <c r="I224" s="18" t="s">
        <v>62</v>
      </c>
      <c r="J224" s="18" t="s">
        <v>63</v>
      </c>
    </row>
    <row r="225" customFormat="false" ht="15" hidden="false" customHeight="false" outlineLevel="0" collapsed="false">
      <c r="A225" s="22" t="n">
        <v>221</v>
      </c>
      <c r="B225" s="23" t="s">
        <v>373</v>
      </c>
      <c r="C225" s="23" t="s">
        <v>205</v>
      </c>
      <c r="D225" s="23" t="s">
        <v>696</v>
      </c>
      <c r="E225" s="22" t="n">
        <v>81</v>
      </c>
      <c r="F225" s="22" t="n">
        <v>2</v>
      </c>
      <c r="G225" s="22" t="s">
        <v>59</v>
      </c>
      <c r="H225" s="23" t="s">
        <v>374</v>
      </c>
      <c r="I225" s="18" t="s">
        <v>62</v>
      </c>
      <c r="J225" s="18" t="s">
        <v>63</v>
      </c>
    </row>
    <row r="226" customFormat="false" ht="15" hidden="false" customHeight="false" outlineLevel="0" collapsed="false">
      <c r="A226" s="22" t="n">
        <v>222</v>
      </c>
      <c r="B226" s="23" t="s">
        <v>381</v>
      </c>
      <c r="C226" s="23" t="s">
        <v>297</v>
      </c>
      <c r="D226" s="23" t="s">
        <v>696</v>
      </c>
      <c r="E226" s="22" t="n">
        <v>81</v>
      </c>
      <c r="F226" s="22" t="n">
        <v>1</v>
      </c>
      <c r="G226" s="22" t="s">
        <v>66</v>
      </c>
      <c r="H226" s="23" t="s">
        <v>168</v>
      </c>
      <c r="I226" s="18" t="s">
        <v>62</v>
      </c>
      <c r="J226" s="18" t="s">
        <v>63</v>
      </c>
    </row>
    <row r="227" customFormat="false" ht="15" hidden="false" customHeight="false" outlineLevel="0" collapsed="false">
      <c r="A227" s="22" t="n">
        <v>223</v>
      </c>
      <c r="B227" s="23" t="s">
        <v>375</v>
      </c>
      <c r="C227" s="23" t="s">
        <v>205</v>
      </c>
      <c r="D227" s="23" t="s">
        <v>696</v>
      </c>
      <c r="E227" s="22" t="n">
        <v>81</v>
      </c>
      <c r="F227" s="22" t="n">
        <v>1</v>
      </c>
      <c r="G227" s="22" t="s">
        <v>66</v>
      </c>
      <c r="H227" s="23" t="s">
        <v>698</v>
      </c>
      <c r="I227" s="18" t="s">
        <v>62</v>
      </c>
      <c r="J227" s="18" t="s">
        <v>63</v>
      </c>
    </row>
    <row r="228" customFormat="false" ht="15" hidden="false" customHeight="false" outlineLevel="0" collapsed="false">
      <c r="A228" s="22" t="n">
        <v>224</v>
      </c>
      <c r="B228" s="23" t="s">
        <v>382</v>
      </c>
      <c r="C228" s="23" t="s">
        <v>208</v>
      </c>
      <c r="D228" s="23" t="s">
        <v>699</v>
      </c>
      <c r="E228" s="22" t="n">
        <v>80</v>
      </c>
      <c r="F228" s="22" t="n">
        <v>2</v>
      </c>
      <c r="G228" s="22" t="s">
        <v>66</v>
      </c>
      <c r="H228" s="23" t="s">
        <v>350</v>
      </c>
      <c r="I228" s="18" t="s">
        <v>62</v>
      </c>
      <c r="J228" s="18" t="s">
        <v>63</v>
      </c>
    </row>
    <row r="229" customFormat="false" ht="15" hidden="false" customHeight="false" outlineLevel="0" collapsed="false">
      <c r="A229" s="22" t="n">
        <v>225</v>
      </c>
      <c r="B229" s="23" t="s">
        <v>383</v>
      </c>
      <c r="C229" s="23" t="s">
        <v>205</v>
      </c>
      <c r="D229" s="23" t="s">
        <v>700</v>
      </c>
      <c r="E229" s="22" t="n">
        <v>79</v>
      </c>
      <c r="F229" s="22" t="n">
        <v>1</v>
      </c>
      <c r="G229" s="22" t="s">
        <v>66</v>
      </c>
      <c r="H229" s="23" t="s">
        <v>378</v>
      </c>
      <c r="I229" s="18" t="s">
        <v>62</v>
      </c>
      <c r="J229" s="18" t="s">
        <v>63</v>
      </c>
    </row>
    <row r="230" customFormat="false" ht="15" hidden="false" customHeight="false" outlineLevel="0" collapsed="false">
      <c r="A230" s="22" t="n">
        <v>226</v>
      </c>
      <c r="B230" s="23" t="s">
        <v>383</v>
      </c>
      <c r="C230" s="23" t="s">
        <v>205</v>
      </c>
      <c r="D230" s="23" t="s">
        <v>700</v>
      </c>
      <c r="E230" s="22" t="n">
        <v>79</v>
      </c>
      <c r="F230" s="22" t="n">
        <v>1</v>
      </c>
      <c r="G230" s="22" t="s">
        <v>66</v>
      </c>
      <c r="H230" s="23" t="s">
        <v>378</v>
      </c>
      <c r="I230" s="18" t="s">
        <v>62</v>
      </c>
      <c r="J230" s="18" t="s">
        <v>63</v>
      </c>
    </row>
    <row r="231" customFormat="false" ht="15" hidden="false" customHeight="false" outlineLevel="0" collapsed="false">
      <c r="A231" s="22" t="n">
        <v>227</v>
      </c>
      <c r="B231" s="23" t="s">
        <v>281</v>
      </c>
      <c r="C231" s="23" t="s">
        <v>205</v>
      </c>
      <c r="D231" s="23" t="s">
        <v>701</v>
      </c>
      <c r="E231" s="22" t="n">
        <v>78</v>
      </c>
      <c r="F231" s="22" t="n">
        <v>1</v>
      </c>
      <c r="G231" s="22" t="s">
        <v>66</v>
      </c>
      <c r="H231" s="23" t="s">
        <v>141</v>
      </c>
      <c r="I231" s="18" t="s">
        <v>62</v>
      </c>
      <c r="J231" s="18" t="s">
        <v>63</v>
      </c>
    </row>
    <row r="232" customFormat="false" ht="15" hidden="false" customHeight="false" outlineLevel="0" collapsed="false">
      <c r="A232" s="22" t="n">
        <v>228</v>
      </c>
      <c r="B232" s="23" t="s">
        <v>308</v>
      </c>
      <c r="C232" s="23" t="s">
        <v>205</v>
      </c>
      <c r="D232" s="23" t="s">
        <v>701</v>
      </c>
      <c r="E232" s="22" t="n">
        <v>78</v>
      </c>
      <c r="F232" s="22" t="n">
        <v>1</v>
      </c>
      <c r="G232" s="22" t="s">
        <v>59</v>
      </c>
      <c r="H232" s="23" t="s">
        <v>702</v>
      </c>
      <c r="I232" s="18" t="s">
        <v>62</v>
      </c>
      <c r="J232" s="18" t="s">
        <v>63</v>
      </c>
    </row>
    <row r="233" customFormat="false" ht="15" hidden="false" customHeight="false" outlineLevel="0" collapsed="false">
      <c r="A233" s="22" t="n">
        <v>229</v>
      </c>
      <c r="B233" s="23" t="s">
        <v>296</v>
      </c>
      <c r="C233" s="23" t="s">
        <v>297</v>
      </c>
      <c r="D233" s="23" t="s">
        <v>701</v>
      </c>
      <c r="E233" s="22" t="n">
        <v>78</v>
      </c>
      <c r="F233" s="22" t="n">
        <v>3</v>
      </c>
      <c r="G233" s="22" t="s">
        <v>66</v>
      </c>
      <c r="H233" s="23" t="s">
        <v>168</v>
      </c>
      <c r="I233" s="18" t="s">
        <v>62</v>
      </c>
      <c r="J233" s="18" t="s">
        <v>63</v>
      </c>
    </row>
    <row r="234" customFormat="false" ht="15" hidden="false" customHeight="false" outlineLevel="0" collapsed="false">
      <c r="A234" s="22" t="n">
        <v>230</v>
      </c>
      <c r="B234" s="23" t="s">
        <v>56</v>
      </c>
      <c r="C234" s="23" t="s">
        <v>58</v>
      </c>
      <c r="D234" s="23" t="s">
        <v>703</v>
      </c>
      <c r="E234" s="22" t="n">
        <v>77</v>
      </c>
      <c r="F234" s="22" t="n">
        <v>1</v>
      </c>
      <c r="G234" s="22" t="s">
        <v>59</v>
      </c>
      <c r="H234" s="23" t="s">
        <v>683</v>
      </c>
      <c r="I234" s="18" t="s">
        <v>62</v>
      </c>
      <c r="J234" s="18" t="s">
        <v>63</v>
      </c>
    </row>
    <row r="235" customFormat="false" ht="15" hidden="false" customHeight="false" outlineLevel="0" collapsed="false">
      <c r="A235" s="22" t="n">
        <v>231</v>
      </c>
      <c r="B235" s="23" t="s">
        <v>56</v>
      </c>
      <c r="C235" s="23" t="s">
        <v>58</v>
      </c>
      <c r="D235" s="23" t="s">
        <v>703</v>
      </c>
      <c r="E235" s="22" t="n">
        <v>77</v>
      </c>
      <c r="F235" s="22" t="n">
        <v>1</v>
      </c>
      <c r="G235" s="22" t="s">
        <v>59</v>
      </c>
      <c r="H235" s="23" t="s">
        <v>683</v>
      </c>
      <c r="I235" s="18" t="s">
        <v>62</v>
      </c>
      <c r="J235" s="18" t="s">
        <v>63</v>
      </c>
    </row>
    <row r="236" customFormat="false" ht="15" hidden="false" customHeight="false" outlineLevel="0" collapsed="false">
      <c r="A236" s="22" t="n">
        <v>232</v>
      </c>
      <c r="B236" s="23" t="s">
        <v>56</v>
      </c>
      <c r="C236" s="23" t="s">
        <v>58</v>
      </c>
      <c r="D236" s="23" t="s">
        <v>703</v>
      </c>
      <c r="E236" s="22" t="n">
        <v>77</v>
      </c>
      <c r="F236" s="22" t="n">
        <v>1</v>
      </c>
      <c r="G236" s="22" t="s">
        <v>59</v>
      </c>
      <c r="H236" s="23" t="s">
        <v>683</v>
      </c>
      <c r="I236" s="18" t="s">
        <v>62</v>
      </c>
      <c r="J236" s="18" t="s">
        <v>63</v>
      </c>
    </row>
    <row r="237" customFormat="false" ht="15" hidden="false" customHeight="false" outlineLevel="0" collapsed="false">
      <c r="A237" s="22" t="n">
        <v>233</v>
      </c>
      <c r="B237" s="23" t="s">
        <v>296</v>
      </c>
      <c r="C237" s="23" t="s">
        <v>297</v>
      </c>
      <c r="D237" s="23" t="s">
        <v>704</v>
      </c>
      <c r="E237" s="22" t="n">
        <v>74</v>
      </c>
      <c r="F237" s="22" t="n">
        <v>2</v>
      </c>
      <c r="G237" s="22" t="s">
        <v>59</v>
      </c>
      <c r="H237" s="23" t="s">
        <v>168</v>
      </c>
      <c r="I237" s="18" t="s">
        <v>62</v>
      </c>
      <c r="J237" s="18" t="s">
        <v>63</v>
      </c>
    </row>
    <row r="238" customFormat="false" ht="15" hidden="false" customHeight="false" outlineLevel="0" collapsed="false">
      <c r="A238" s="22" t="n">
        <v>234</v>
      </c>
      <c r="B238" s="23" t="s">
        <v>351</v>
      </c>
      <c r="C238" s="23" t="s">
        <v>205</v>
      </c>
      <c r="D238" s="23" t="s">
        <v>704</v>
      </c>
      <c r="E238" s="22" t="n">
        <v>74</v>
      </c>
      <c r="F238" s="22" t="n">
        <v>1</v>
      </c>
      <c r="G238" s="22" t="s">
        <v>66</v>
      </c>
      <c r="H238" s="23" t="s">
        <v>168</v>
      </c>
      <c r="I238" s="18" t="s">
        <v>62</v>
      </c>
      <c r="J238" s="18" t="s">
        <v>63</v>
      </c>
    </row>
    <row r="239" customFormat="false" ht="15" hidden="false" customHeight="false" outlineLevel="0" collapsed="false">
      <c r="A239" s="22" t="n">
        <v>235</v>
      </c>
      <c r="B239" s="23" t="s">
        <v>64</v>
      </c>
      <c r="C239" s="23" t="s">
        <v>58</v>
      </c>
      <c r="D239" s="23" t="s">
        <v>705</v>
      </c>
      <c r="E239" s="22" t="n">
        <v>73</v>
      </c>
      <c r="F239" s="22" t="n">
        <v>1</v>
      </c>
      <c r="G239" s="22" t="s">
        <v>59</v>
      </c>
      <c r="H239" s="23" t="s">
        <v>580</v>
      </c>
      <c r="I239" s="18" t="s">
        <v>62</v>
      </c>
      <c r="J239" s="18" t="s">
        <v>63</v>
      </c>
    </row>
    <row r="240" customFormat="false" ht="15" hidden="false" customHeight="false" outlineLevel="0" collapsed="false">
      <c r="A240" s="22" t="n">
        <v>236</v>
      </c>
      <c r="B240" s="23" t="s">
        <v>296</v>
      </c>
      <c r="C240" s="23" t="s">
        <v>297</v>
      </c>
      <c r="D240" s="23" t="s">
        <v>705</v>
      </c>
      <c r="E240" s="22" t="n">
        <v>73</v>
      </c>
      <c r="F240" s="22" t="n">
        <v>1</v>
      </c>
      <c r="G240" s="22" t="s">
        <v>59</v>
      </c>
      <c r="H240" s="23" t="s">
        <v>168</v>
      </c>
      <c r="I240" s="18" t="s">
        <v>62</v>
      </c>
      <c r="J240" s="18" t="s">
        <v>63</v>
      </c>
    </row>
    <row r="241" customFormat="false" ht="15" hidden="false" customHeight="false" outlineLevel="0" collapsed="false">
      <c r="A241" s="22" t="n">
        <v>237</v>
      </c>
      <c r="B241" s="23" t="s">
        <v>109</v>
      </c>
      <c r="C241" s="23" t="s">
        <v>58</v>
      </c>
      <c r="D241" s="23" t="s">
        <v>705</v>
      </c>
      <c r="E241" s="22" t="n">
        <v>73</v>
      </c>
      <c r="F241" s="22" t="n">
        <v>1</v>
      </c>
      <c r="G241" s="22" t="s">
        <v>66</v>
      </c>
      <c r="H241" s="23" t="s">
        <v>168</v>
      </c>
      <c r="I241" s="18" t="s">
        <v>62</v>
      </c>
      <c r="J241" s="18" t="s">
        <v>63</v>
      </c>
    </row>
    <row r="242" customFormat="false" ht="15" hidden="false" customHeight="false" outlineLevel="0" collapsed="false">
      <c r="A242" s="22" t="n">
        <v>238</v>
      </c>
      <c r="B242" s="23" t="s">
        <v>384</v>
      </c>
      <c r="C242" s="23" t="s">
        <v>233</v>
      </c>
      <c r="D242" s="23" t="s">
        <v>705</v>
      </c>
      <c r="E242" s="22" t="n">
        <v>73</v>
      </c>
      <c r="F242" s="22" t="n">
        <v>1</v>
      </c>
      <c r="G242" s="22" t="s">
        <v>59</v>
      </c>
      <c r="H242" s="23" t="s">
        <v>385</v>
      </c>
      <c r="I242" s="18" t="s">
        <v>62</v>
      </c>
      <c r="J242" s="18" t="s">
        <v>63</v>
      </c>
    </row>
    <row r="243" customFormat="false" ht="15" hidden="false" customHeight="false" outlineLevel="0" collapsed="false">
      <c r="A243" s="22" t="n">
        <v>239</v>
      </c>
      <c r="B243" s="23" t="s">
        <v>362</v>
      </c>
      <c r="C243" s="23" t="s">
        <v>233</v>
      </c>
      <c r="D243" s="23" t="s">
        <v>705</v>
      </c>
      <c r="E243" s="22" t="n">
        <v>73</v>
      </c>
      <c r="F243" s="22" t="n">
        <v>3</v>
      </c>
      <c r="G243" s="22" t="s">
        <v>66</v>
      </c>
      <c r="H243" s="23" t="s">
        <v>706</v>
      </c>
      <c r="I243" s="18" t="s">
        <v>62</v>
      </c>
      <c r="J243" s="18" t="s">
        <v>63</v>
      </c>
    </row>
    <row r="244" customFormat="false" ht="15" hidden="false" customHeight="false" outlineLevel="0" collapsed="false">
      <c r="A244" s="22" t="n">
        <v>240</v>
      </c>
      <c r="B244" s="23" t="s">
        <v>386</v>
      </c>
      <c r="C244" s="23" t="s">
        <v>205</v>
      </c>
      <c r="D244" s="23" t="s">
        <v>707</v>
      </c>
      <c r="E244" s="22" t="n">
        <v>72</v>
      </c>
      <c r="F244" s="22" t="n">
        <v>2</v>
      </c>
      <c r="G244" s="22" t="s">
        <v>66</v>
      </c>
      <c r="H244" s="23" t="s">
        <v>387</v>
      </c>
      <c r="I244" s="18" t="s">
        <v>62</v>
      </c>
      <c r="J244" s="18" t="s">
        <v>63</v>
      </c>
    </row>
    <row r="245" customFormat="false" ht="15" hidden="false" customHeight="false" outlineLevel="0" collapsed="false">
      <c r="A245" s="22" t="n">
        <v>241</v>
      </c>
      <c r="B245" s="23" t="s">
        <v>373</v>
      </c>
      <c r="C245" s="23" t="s">
        <v>205</v>
      </c>
      <c r="D245" s="23" t="s">
        <v>708</v>
      </c>
      <c r="E245" s="22" t="n">
        <v>71</v>
      </c>
      <c r="F245" s="22" t="n">
        <v>3</v>
      </c>
      <c r="G245" s="22" t="s">
        <v>59</v>
      </c>
      <c r="H245" s="23" t="s">
        <v>374</v>
      </c>
      <c r="I245" s="18" t="s">
        <v>62</v>
      </c>
      <c r="J245" s="18" t="s">
        <v>63</v>
      </c>
    </row>
    <row r="246" customFormat="false" ht="15" hidden="false" customHeight="false" outlineLevel="0" collapsed="false">
      <c r="A246" s="22" t="n">
        <v>242</v>
      </c>
      <c r="B246" s="23" t="s">
        <v>373</v>
      </c>
      <c r="C246" s="23" t="s">
        <v>205</v>
      </c>
      <c r="D246" s="23" t="s">
        <v>708</v>
      </c>
      <c r="E246" s="22" t="n">
        <v>71</v>
      </c>
      <c r="F246" s="22" t="n">
        <v>3</v>
      </c>
      <c r="G246" s="22" t="s">
        <v>59</v>
      </c>
      <c r="H246" s="23" t="s">
        <v>374</v>
      </c>
      <c r="I246" s="18" t="s">
        <v>62</v>
      </c>
      <c r="J246" s="18" t="s">
        <v>63</v>
      </c>
    </row>
    <row r="247" customFormat="false" ht="15" hidden="false" customHeight="false" outlineLevel="0" collapsed="false">
      <c r="A247" s="22" t="n">
        <v>243</v>
      </c>
      <c r="B247" s="23" t="s">
        <v>64</v>
      </c>
      <c r="C247" s="23" t="s">
        <v>58</v>
      </c>
      <c r="D247" s="23" t="s">
        <v>709</v>
      </c>
      <c r="E247" s="22" t="n">
        <v>70</v>
      </c>
      <c r="F247" s="22" t="n">
        <v>2</v>
      </c>
      <c r="G247" s="22" t="s">
        <v>66</v>
      </c>
      <c r="H247" s="23" t="s">
        <v>580</v>
      </c>
      <c r="I247" s="18" t="s">
        <v>62</v>
      </c>
      <c r="J247" s="18" t="s">
        <v>63</v>
      </c>
    </row>
    <row r="248" customFormat="false" ht="15" hidden="false" customHeight="false" outlineLevel="0" collapsed="false">
      <c r="A248" s="22" t="n">
        <v>244</v>
      </c>
      <c r="B248" s="23" t="s">
        <v>105</v>
      </c>
      <c r="C248" s="23" t="s">
        <v>58</v>
      </c>
      <c r="D248" s="23" t="s">
        <v>709</v>
      </c>
      <c r="E248" s="22" t="n">
        <v>70</v>
      </c>
      <c r="F248" s="22" t="n">
        <v>2</v>
      </c>
      <c r="G248" s="22" t="s">
        <v>66</v>
      </c>
      <c r="H248" s="23" t="s">
        <v>106</v>
      </c>
      <c r="I248" s="18" t="s">
        <v>62</v>
      </c>
      <c r="J248" s="18" t="s">
        <v>63</v>
      </c>
    </row>
    <row r="249" customFormat="false" ht="15" hidden="false" customHeight="false" outlineLevel="0" collapsed="false">
      <c r="A249" s="22" t="n">
        <v>245</v>
      </c>
      <c r="B249" s="23" t="s">
        <v>64</v>
      </c>
      <c r="C249" s="23" t="s">
        <v>58</v>
      </c>
      <c r="D249" s="23" t="s">
        <v>709</v>
      </c>
      <c r="E249" s="22" t="n">
        <v>70</v>
      </c>
      <c r="F249" s="22" t="n">
        <v>1</v>
      </c>
      <c r="G249" s="22" t="s">
        <v>59</v>
      </c>
      <c r="H249" s="23" t="s">
        <v>580</v>
      </c>
      <c r="I249" s="18" t="s">
        <v>62</v>
      </c>
      <c r="J249" s="18" t="s">
        <v>63</v>
      </c>
    </row>
    <row r="250" customFormat="false" ht="15" hidden="false" customHeight="false" outlineLevel="0" collapsed="false">
      <c r="A250" s="22" t="n">
        <v>246</v>
      </c>
      <c r="B250" s="23" t="s">
        <v>388</v>
      </c>
      <c r="C250" s="23" t="s">
        <v>205</v>
      </c>
      <c r="D250" s="23" t="s">
        <v>710</v>
      </c>
      <c r="E250" s="22" t="n">
        <v>69</v>
      </c>
      <c r="F250" s="22" t="n">
        <v>1</v>
      </c>
      <c r="G250" s="22" t="s">
        <v>59</v>
      </c>
      <c r="H250" s="23" t="s">
        <v>168</v>
      </c>
      <c r="I250" s="18" t="s">
        <v>62</v>
      </c>
      <c r="J250" s="18" t="s">
        <v>63</v>
      </c>
    </row>
    <row r="251" customFormat="false" ht="15" hidden="false" customHeight="false" outlineLevel="0" collapsed="false">
      <c r="A251" s="22" t="n">
        <v>247</v>
      </c>
      <c r="B251" s="23" t="s">
        <v>189</v>
      </c>
      <c r="C251" s="23" t="s">
        <v>58</v>
      </c>
      <c r="D251" s="23" t="s">
        <v>711</v>
      </c>
      <c r="E251" s="22" t="n">
        <v>67</v>
      </c>
      <c r="F251" s="22" t="n">
        <v>1</v>
      </c>
      <c r="G251" s="22" t="s">
        <v>66</v>
      </c>
      <c r="H251" s="23" t="s">
        <v>141</v>
      </c>
      <c r="I251" s="18" t="s">
        <v>62</v>
      </c>
      <c r="J251" s="18" t="s">
        <v>63</v>
      </c>
    </row>
    <row r="252" customFormat="false" ht="15" hidden="false" customHeight="false" outlineLevel="0" collapsed="false">
      <c r="A252" s="22" t="n">
        <v>248</v>
      </c>
      <c r="B252" s="23" t="s">
        <v>144</v>
      </c>
      <c r="C252" s="23" t="s">
        <v>58</v>
      </c>
      <c r="D252" s="23" t="s">
        <v>711</v>
      </c>
      <c r="E252" s="22" t="n">
        <v>67</v>
      </c>
      <c r="F252" s="22" t="n">
        <v>1</v>
      </c>
      <c r="G252" s="22" t="s">
        <v>115</v>
      </c>
      <c r="H252" s="23" t="s">
        <v>145</v>
      </c>
      <c r="I252" s="18" t="s">
        <v>62</v>
      </c>
      <c r="J252" s="18" t="s">
        <v>63</v>
      </c>
    </row>
    <row r="253" customFormat="false" ht="15" hidden="false" customHeight="false" outlineLevel="0" collapsed="false">
      <c r="A253" s="22" t="n">
        <v>249</v>
      </c>
      <c r="B253" s="23" t="s">
        <v>361</v>
      </c>
      <c r="C253" s="23" t="s">
        <v>205</v>
      </c>
      <c r="D253" s="23" t="s">
        <v>711</v>
      </c>
      <c r="E253" s="22" t="n">
        <v>67</v>
      </c>
      <c r="F253" s="22" t="n">
        <v>2</v>
      </c>
      <c r="G253" s="22" t="s">
        <v>66</v>
      </c>
      <c r="H253" s="23" t="s">
        <v>168</v>
      </c>
      <c r="I253" s="18" t="s">
        <v>62</v>
      </c>
      <c r="J253" s="18" t="s">
        <v>63</v>
      </c>
    </row>
    <row r="254" customFormat="false" ht="15" hidden="false" customHeight="false" outlineLevel="0" collapsed="false">
      <c r="A254" s="22" t="n">
        <v>250</v>
      </c>
      <c r="B254" s="23" t="s">
        <v>64</v>
      </c>
      <c r="C254" s="23" t="s">
        <v>58</v>
      </c>
      <c r="D254" s="23" t="s">
        <v>712</v>
      </c>
      <c r="E254" s="22" t="n">
        <v>66</v>
      </c>
      <c r="F254" s="22" t="n">
        <v>1</v>
      </c>
      <c r="G254" s="22" t="s">
        <v>59</v>
      </c>
      <c r="H254" s="23" t="s">
        <v>580</v>
      </c>
      <c r="I254" s="18" t="s">
        <v>62</v>
      </c>
      <c r="J254" s="18" t="s">
        <v>63</v>
      </c>
    </row>
    <row r="255" customFormat="false" ht="15" hidden="false" customHeight="false" outlineLevel="0" collapsed="false">
      <c r="A255" s="22" t="n">
        <v>251</v>
      </c>
      <c r="B255" s="23" t="s">
        <v>76</v>
      </c>
      <c r="C255" s="23" t="s">
        <v>58</v>
      </c>
      <c r="D255" s="23" t="s">
        <v>712</v>
      </c>
      <c r="E255" s="22" t="n">
        <v>66</v>
      </c>
      <c r="F255" s="22" t="n">
        <v>1</v>
      </c>
      <c r="G255" s="22" t="s">
        <v>66</v>
      </c>
      <c r="H255" s="23" t="s">
        <v>77</v>
      </c>
      <c r="I255" s="18" t="s">
        <v>62</v>
      </c>
      <c r="J255" s="18" t="s">
        <v>63</v>
      </c>
    </row>
    <row r="256" customFormat="false" ht="15" hidden="false" customHeight="false" outlineLevel="0" collapsed="false">
      <c r="A256" s="22" t="n">
        <v>252</v>
      </c>
      <c r="B256" s="23" t="s">
        <v>175</v>
      </c>
      <c r="C256" s="23" t="s">
        <v>58</v>
      </c>
      <c r="D256" s="23" t="s">
        <v>712</v>
      </c>
      <c r="E256" s="22" t="n">
        <v>66</v>
      </c>
      <c r="F256" s="22" t="n">
        <v>1</v>
      </c>
      <c r="G256" s="22" t="s">
        <v>66</v>
      </c>
      <c r="H256" s="23" t="s">
        <v>168</v>
      </c>
      <c r="I256" s="18" t="s">
        <v>62</v>
      </c>
      <c r="J256" s="18" t="s">
        <v>63</v>
      </c>
    </row>
    <row r="257" customFormat="false" ht="15" hidden="false" customHeight="false" outlineLevel="0" collapsed="false">
      <c r="A257" s="22" t="n">
        <v>253</v>
      </c>
      <c r="B257" s="23" t="s">
        <v>389</v>
      </c>
      <c r="C257" s="23" t="s">
        <v>208</v>
      </c>
      <c r="D257" s="23" t="s">
        <v>712</v>
      </c>
      <c r="E257" s="22" t="n">
        <v>66</v>
      </c>
      <c r="F257" s="22" t="n">
        <v>1</v>
      </c>
      <c r="G257" s="22" t="s">
        <v>66</v>
      </c>
      <c r="H257" s="23" t="s">
        <v>211</v>
      </c>
      <c r="I257" s="18" t="s">
        <v>62</v>
      </c>
      <c r="J257" s="18" t="s">
        <v>63</v>
      </c>
    </row>
    <row r="258" customFormat="false" ht="15" hidden="false" customHeight="false" outlineLevel="0" collapsed="false">
      <c r="A258" s="22" t="n">
        <v>254</v>
      </c>
      <c r="B258" s="23" t="s">
        <v>131</v>
      </c>
      <c r="C258" s="23" t="s">
        <v>58</v>
      </c>
      <c r="D258" s="23" t="s">
        <v>712</v>
      </c>
      <c r="E258" s="22" t="n">
        <v>66</v>
      </c>
      <c r="F258" s="22" t="n">
        <v>1</v>
      </c>
      <c r="G258" s="22" t="s">
        <v>59</v>
      </c>
      <c r="H258" s="23" t="s">
        <v>133</v>
      </c>
      <c r="I258" s="18" t="s">
        <v>62</v>
      </c>
      <c r="J258" s="18" t="s">
        <v>63</v>
      </c>
    </row>
    <row r="259" customFormat="false" ht="15" hidden="false" customHeight="false" outlineLevel="0" collapsed="false">
      <c r="A259" s="22" t="n">
        <v>255</v>
      </c>
      <c r="B259" s="23" t="s">
        <v>390</v>
      </c>
      <c r="C259" s="23" t="s">
        <v>205</v>
      </c>
      <c r="D259" s="23" t="s">
        <v>712</v>
      </c>
      <c r="E259" s="22" t="n">
        <v>66</v>
      </c>
      <c r="F259" s="22" t="n">
        <v>1</v>
      </c>
      <c r="G259" s="22" t="s">
        <v>66</v>
      </c>
      <c r="H259" s="23" t="s">
        <v>168</v>
      </c>
      <c r="I259" s="18" t="s">
        <v>62</v>
      </c>
      <c r="J259" s="18" t="s">
        <v>63</v>
      </c>
    </row>
    <row r="260" customFormat="false" ht="15" hidden="false" customHeight="false" outlineLevel="0" collapsed="false">
      <c r="A260" s="22" t="n">
        <v>256</v>
      </c>
      <c r="B260" s="23" t="s">
        <v>286</v>
      </c>
      <c r="C260" s="23" t="s">
        <v>205</v>
      </c>
      <c r="D260" s="23" t="s">
        <v>713</v>
      </c>
      <c r="E260" s="22" t="n">
        <v>65</v>
      </c>
      <c r="F260" s="22" t="n">
        <v>1</v>
      </c>
      <c r="G260" s="22" t="s">
        <v>59</v>
      </c>
      <c r="H260" s="23" t="s">
        <v>287</v>
      </c>
      <c r="I260" s="18" t="s">
        <v>62</v>
      </c>
      <c r="J260" s="18" t="s">
        <v>63</v>
      </c>
    </row>
    <row r="261" customFormat="false" ht="15" hidden="false" customHeight="false" outlineLevel="0" collapsed="false">
      <c r="A261" s="22" t="n">
        <v>257</v>
      </c>
      <c r="B261" s="23" t="s">
        <v>225</v>
      </c>
      <c r="C261" s="23" t="s">
        <v>205</v>
      </c>
      <c r="D261" s="23" t="s">
        <v>713</v>
      </c>
      <c r="E261" s="22" t="n">
        <v>65</v>
      </c>
      <c r="F261" s="22" t="n">
        <v>1</v>
      </c>
      <c r="G261" s="22" t="s">
        <v>59</v>
      </c>
      <c r="H261" s="23" t="s">
        <v>168</v>
      </c>
      <c r="I261" s="18" t="s">
        <v>62</v>
      </c>
      <c r="J261" s="18" t="s">
        <v>63</v>
      </c>
    </row>
    <row r="262" customFormat="false" ht="15" hidden="false" customHeight="false" outlineLevel="0" collapsed="false">
      <c r="A262" s="22" t="n">
        <v>258</v>
      </c>
      <c r="B262" s="23" t="s">
        <v>99</v>
      </c>
      <c r="C262" s="23" t="s">
        <v>58</v>
      </c>
      <c r="D262" s="23" t="s">
        <v>713</v>
      </c>
      <c r="E262" s="22" t="n">
        <v>65</v>
      </c>
      <c r="F262" s="22" t="n">
        <v>1</v>
      </c>
      <c r="G262" s="22" t="s">
        <v>66</v>
      </c>
      <c r="H262" s="23" t="s">
        <v>714</v>
      </c>
      <c r="I262" s="18" t="s">
        <v>62</v>
      </c>
      <c r="J262" s="18" t="s">
        <v>63</v>
      </c>
    </row>
    <row r="263" customFormat="false" ht="15" hidden="false" customHeight="false" outlineLevel="0" collapsed="false">
      <c r="A263" s="22" t="n">
        <v>259</v>
      </c>
      <c r="B263" s="23" t="s">
        <v>391</v>
      </c>
      <c r="C263" s="23" t="s">
        <v>233</v>
      </c>
      <c r="D263" s="23" t="s">
        <v>713</v>
      </c>
      <c r="E263" s="22" t="n">
        <v>65</v>
      </c>
      <c r="F263" s="22" t="n">
        <v>1</v>
      </c>
      <c r="G263" s="22" t="s">
        <v>115</v>
      </c>
      <c r="H263" s="23" t="s">
        <v>392</v>
      </c>
      <c r="I263" s="18" t="s">
        <v>62</v>
      </c>
      <c r="J263" s="18" t="s">
        <v>63</v>
      </c>
    </row>
    <row r="264" customFormat="false" ht="15" hidden="false" customHeight="false" outlineLevel="0" collapsed="false">
      <c r="A264" s="22" t="n">
        <v>260</v>
      </c>
      <c r="B264" s="23" t="s">
        <v>296</v>
      </c>
      <c r="C264" s="23" t="s">
        <v>297</v>
      </c>
      <c r="D264" s="23" t="s">
        <v>715</v>
      </c>
      <c r="E264" s="22" t="n">
        <v>64</v>
      </c>
      <c r="F264" s="22" t="n">
        <v>1</v>
      </c>
      <c r="G264" s="22" t="s">
        <v>59</v>
      </c>
      <c r="H264" s="23" t="s">
        <v>168</v>
      </c>
      <c r="I264" s="18" t="s">
        <v>62</v>
      </c>
      <c r="J264" s="18" t="s">
        <v>63</v>
      </c>
    </row>
    <row r="265" customFormat="false" ht="15" hidden="false" customHeight="false" outlineLevel="0" collapsed="false">
      <c r="A265" s="22" t="n">
        <v>261</v>
      </c>
      <c r="B265" s="23" t="s">
        <v>296</v>
      </c>
      <c r="C265" s="23" t="s">
        <v>297</v>
      </c>
      <c r="D265" s="23" t="s">
        <v>715</v>
      </c>
      <c r="E265" s="22" t="n">
        <v>64</v>
      </c>
      <c r="F265" s="22" t="n">
        <v>1</v>
      </c>
      <c r="G265" s="22" t="s">
        <v>59</v>
      </c>
      <c r="H265" s="23" t="s">
        <v>168</v>
      </c>
      <c r="I265" s="18" t="s">
        <v>62</v>
      </c>
      <c r="J265" s="18" t="s">
        <v>63</v>
      </c>
    </row>
    <row r="266" customFormat="false" ht="15" hidden="false" customHeight="false" outlineLevel="0" collapsed="false">
      <c r="A266" s="22" t="n">
        <v>262</v>
      </c>
      <c r="B266" s="23" t="s">
        <v>105</v>
      </c>
      <c r="C266" s="23" t="s">
        <v>58</v>
      </c>
      <c r="D266" s="23" t="s">
        <v>715</v>
      </c>
      <c r="E266" s="22" t="n">
        <v>64</v>
      </c>
      <c r="F266" s="22" t="n">
        <v>1</v>
      </c>
      <c r="G266" s="22" t="s">
        <v>66</v>
      </c>
      <c r="H266" s="23" t="s">
        <v>106</v>
      </c>
      <c r="I266" s="18" t="s">
        <v>62</v>
      </c>
      <c r="J266" s="18" t="s">
        <v>63</v>
      </c>
    </row>
    <row r="267" customFormat="false" ht="15" hidden="false" customHeight="false" outlineLevel="0" collapsed="false">
      <c r="A267" s="22" t="n">
        <v>263</v>
      </c>
      <c r="B267" s="23" t="s">
        <v>353</v>
      </c>
      <c r="C267" s="23" t="s">
        <v>205</v>
      </c>
      <c r="D267" s="23" t="s">
        <v>716</v>
      </c>
      <c r="E267" s="22" t="n">
        <v>63</v>
      </c>
      <c r="F267" s="22" t="n">
        <v>1</v>
      </c>
      <c r="G267" s="22" t="s">
        <v>66</v>
      </c>
      <c r="H267" s="23" t="s">
        <v>717</v>
      </c>
      <c r="I267" s="18" t="s">
        <v>62</v>
      </c>
      <c r="J267" s="18" t="s">
        <v>63</v>
      </c>
    </row>
    <row r="268" customFormat="false" ht="15" hidden="false" customHeight="false" outlineLevel="0" collapsed="false">
      <c r="A268" s="22" t="n">
        <v>264</v>
      </c>
      <c r="B268" s="23" t="s">
        <v>393</v>
      </c>
      <c r="C268" s="23" t="s">
        <v>205</v>
      </c>
      <c r="D268" s="23" t="s">
        <v>718</v>
      </c>
      <c r="E268" s="22" t="n">
        <v>61</v>
      </c>
      <c r="F268" s="22" t="n">
        <v>1</v>
      </c>
      <c r="G268" s="22" t="s">
        <v>59</v>
      </c>
      <c r="H268" s="23" t="s">
        <v>394</v>
      </c>
      <c r="I268" s="18" t="s">
        <v>62</v>
      </c>
      <c r="J268" s="18" t="s">
        <v>63</v>
      </c>
    </row>
    <row r="269" customFormat="false" ht="15" hidden="false" customHeight="false" outlineLevel="0" collapsed="false">
      <c r="A269" s="22" t="n">
        <v>265</v>
      </c>
      <c r="B269" s="23" t="s">
        <v>395</v>
      </c>
      <c r="C269" s="23" t="s">
        <v>205</v>
      </c>
      <c r="D269" s="23" t="s">
        <v>718</v>
      </c>
      <c r="E269" s="22" t="n">
        <v>61</v>
      </c>
      <c r="F269" s="22" t="n">
        <v>1</v>
      </c>
      <c r="G269" s="22" t="s">
        <v>59</v>
      </c>
      <c r="H269" s="23" t="s">
        <v>168</v>
      </c>
      <c r="I269" s="18" t="s">
        <v>62</v>
      </c>
      <c r="J269" s="18" t="s">
        <v>63</v>
      </c>
    </row>
    <row r="270" customFormat="false" ht="15" hidden="false" customHeight="false" outlineLevel="0" collapsed="false">
      <c r="A270" s="22" t="n">
        <v>266</v>
      </c>
      <c r="B270" s="23" t="s">
        <v>396</v>
      </c>
      <c r="C270" s="23" t="s">
        <v>205</v>
      </c>
      <c r="D270" s="23" t="s">
        <v>719</v>
      </c>
      <c r="E270" s="22" t="n">
        <v>60</v>
      </c>
      <c r="F270" s="22" t="n">
        <v>1</v>
      </c>
      <c r="G270" s="22" t="s">
        <v>66</v>
      </c>
      <c r="H270" s="23" t="s">
        <v>143</v>
      </c>
      <c r="I270" s="18" t="s">
        <v>62</v>
      </c>
      <c r="J270" s="18" t="s">
        <v>63</v>
      </c>
    </row>
    <row r="271" customFormat="false" ht="15" hidden="false" customHeight="false" outlineLevel="0" collapsed="false">
      <c r="A271" s="22" t="n">
        <v>267</v>
      </c>
      <c r="B271" s="23" t="s">
        <v>117</v>
      </c>
      <c r="C271" s="23" t="s">
        <v>58</v>
      </c>
      <c r="D271" s="23" t="s">
        <v>719</v>
      </c>
      <c r="E271" s="22" t="n">
        <v>60</v>
      </c>
      <c r="F271" s="22" t="n">
        <v>1</v>
      </c>
      <c r="G271" s="22" t="s">
        <v>59</v>
      </c>
      <c r="H271" s="23" t="s">
        <v>118</v>
      </c>
      <c r="I271" s="18" t="s">
        <v>62</v>
      </c>
      <c r="J271" s="18" t="s">
        <v>63</v>
      </c>
    </row>
    <row r="272" customFormat="false" ht="15" hidden="false" customHeight="false" outlineLevel="0" collapsed="false">
      <c r="A272" s="22" t="n">
        <v>268</v>
      </c>
      <c r="B272" s="23" t="s">
        <v>397</v>
      </c>
      <c r="C272" s="23" t="s">
        <v>205</v>
      </c>
      <c r="D272" s="23" t="s">
        <v>720</v>
      </c>
      <c r="E272" s="22" t="n">
        <v>59</v>
      </c>
      <c r="F272" s="22" t="n">
        <v>1</v>
      </c>
      <c r="G272" s="22" t="s">
        <v>59</v>
      </c>
      <c r="H272" s="23" t="s">
        <v>398</v>
      </c>
      <c r="I272" s="18" t="s">
        <v>62</v>
      </c>
      <c r="J272" s="18" t="s">
        <v>63</v>
      </c>
    </row>
    <row r="273" customFormat="false" ht="15" hidden="false" customHeight="false" outlineLevel="0" collapsed="false">
      <c r="A273" s="22" t="n">
        <v>269</v>
      </c>
      <c r="B273" s="23" t="s">
        <v>397</v>
      </c>
      <c r="C273" s="23" t="s">
        <v>205</v>
      </c>
      <c r="D273" s="23" t="s">
        <v>720</v>
      </c>
      <c r="E273" s="22" t="n">
        <v>59</v>
      </c>
      <c r="F273" s="22" t="n">
        <v>1</v>
      </c>
      <c r="G273" s="22" t="s">
        <v>59</v>
      </c>
      <c r="H273" s="23" t="s">
        <v>398</v>
      </c>
      <c r="I273" s="18" t="s">
        <v>62</v>
      </c>
      <c r="J273" s="18" t="s">
        <v>63</v>
      </c>
    </row>
    <row r="274" customFormat="false" ht="15" hidden="false" customHeight="false" outlineLevel="0" collapsed="false">
      <c r="A274" s="22" t="n">
        <v>270</v>
      </c>
      <c r="B274" s="23" t="s">
        <v>195</v>
      </c>
      <c r="C274" s="23" t="s">
        <v>58</v>
      </c>
      <c r="D274" s="23" t="s">
        <v>720</v>
      </c>
      <c r="E274" s="22" t="n">
        <v>59</v>
      </c>
      <c r="F274" s="22" t="n">
        <v>1</v>
      </c>
      <c r="G274" s="22" t="s">
        <v>115</v>
      </c>
      <c r="H274" s="23" t="s">
        <v>168</v>
      </c>
      <c r="I274" s="18" t="s">
        <v>62</v>
      </c>
      <c r="J274" s="18" t="s">
        <v>63</v>
      </c>
    </row>
    <row r="275" customFormat="false" ht="15" hidden="false" customHeight="false" outlineLevel="0" collapsed="false">
      <c r="A275" s="22" t="n">
        <v>271</v>
      </c>
      <c r="B275" s="23" t="s">
        <v>109</v>
      </c>
      <c r="C275" s="23" t="s">
        <v>58</v>
      </c>
      <c r="D275" s="23" t="s">
        <v>720</v>
      </c>
      <c r="E275" s="22" t="n">
        <v>59</v>
      </c>
      <c r="F275" s="22" t="n">
        <v>3</v>
      </c>
      <c r="G275" s="22" t="s">
        <v>66</v>
      </c>
      <c r="H275" s="23" t="s">
        <v>721</v>
      </c>
      <c r="I275" s="18" t="s">
        <v>62</v>
      </c>
      <c r="J275" s="18" t="s">
        <v>63</v>
      </c>
    </row>
    <row r="276" customFormat="false" ht="15" hidden="false" customHeight="false" outlineLevel="0" collapsed="false">
      <c r="A276" s="22" t="n">
        <v>272</v>
      </c>
      <c r="B276" s="23" t="s">
        <v>399</v>
      </c>
      <c r="C276" s="23" t="s">
        <v>233</v>
      </c>
      <c r="D276" s="23" t="s">
        <v>722</v>
      </c>
      <c r="E276" s="22" t="n">
        <v>58</v>
      </c>
      <c r="F276" s="22" t="n">
        <v>1</v>
      </c>
      <c r="G276" s="22" t="s">
        <v>59</v>
      </c>
      <c r="H276" s="23" t="s">
        <v>400</v>
      </c>
      <c r="I276" s="18" t="s">
        <v>62</v>
      </c>
      <c r="J276" s="18" t="s">
        <v>63</v>
      </c>
    </row>
    <row r="277" customFormat="false" ht="15" hidden="false" customHeight="false" outlineLevel="0" collapsed="false">
      <c r="A277" s="22" t="n">
        <v>273</v>
      </c>
      <c r="B277" s="23" t="s">
        <v>399</v>
      </c>
      <c r="C277" s="23" t="s">
        <v>233</v>
      </c>
      <c r="D277" s="23" t="s">
        <v>722</v>
      </c>
      <c r="E277" s="22" t="n">
        <v>58</v>
      </c>
      <c r="F277" s="22" t="n">
        <v>1</v>
      </c>
      <c r="G277" s="22" t="s">
        <v>59</v>
      </c>
      <c r="H277" s="23" t="s">
        <v>400</v>
      </c>
      <c r="I277" s="18" t="s">
        <v>62</v>
      </c>
      <c r="J277" s="18" t="s">
        <v>63</v>
      </c>
    </row>
    <row r="278" customFormat="false" ht="15" hidden="false" customHeight="false" outlineLevel="0" collapsed="false">
      <c r="A278" s="22" t="n">
        <v>274</v>
      </c>
      <c r="B278" s="23" t="s">
        <v>401</v>
      </c>
      <c r="C278" s="23" t="s">
        <v>205</v>
      </c>
      <c r="D278" s="23" t="s">
        <v>722</v>
      </c>
      <c r="E278" s="22" t="n">
        <v>58</v>
      </c>
      <c r="F278" s="22" t="n">
        <v>1</v>
      </c>
      <c r="G278" s="22" t="s">
        <v>59</v>
      </c>
      <c r="H278" s="23" t="s">
        <v>143</v>
      </c>
      <c r="I278" s="18" t="s">
        <v>62</v>
      </c>
      <c r="J278" s="18" t="s">
        <v>63</v>
      </c>
    </row>
    <row r="279" customFormat="false" ht="15" hidden="false" customHeight="false" outlineLevel="0" collapsed="false">
      <c r="A279" s="22" t="n">
        <v>275</v>
      </c>
      <c r="B279" s="23" t="s">
        <v>161</v>
      </c>
      <c r="C279" s="23" t="s">
        <v>58</v>
      </c>
      <c r="D279" s="23" t="s">
        <v>722</v>
      </c>
      <c r="E279" s="22" t="n">
        <v>58</v>
      </c>
      <c r="F279" s="22" t="n">
        <v>1</v>
      </c>
      <c r="G279" s="22" t="s">
        <v>66</v>
      </c>
      <c r="H279" s="23" t="s">
        <v>162</v>
      </c>
      <c r="I279" s="18" t="s">
        <v>62</v>
      </c>
      <c r="J279" s="18" t="s">
        <v>63</v>
      </c>
    </row>
    <row r="280" customFormat="false" ht="15" hidden="false" customHeight="false" outlineLevel="0" collapsed="false">
      <c r="A280" s="22" t="n">
        <v>276</v>
      </c>
      <c r="B280" s="23" t="s">
        <v>402</v>
      </c>
      <c r="C280" s="23" t="s">
        <v>205</v>
      </c>
      <c r="D280" s="23" t="s">
        <v>722</v>
      </c>
      <c r="E280" s="22" t="n">
        <v>58</v>
      </c>
      <c r="F280" s="22" t="n">
        <v>1</v>
      </c>
      <c r="G280" s="22" t="s">
        <v>115</v>
      </c>
      <c r="H280" s="23" t="s">
        <v>211</v>
      </c>
      <c r="I280" s="18" t="s">
        <v>62</v>
      </c>
      <c r="J280" s="22" t="s">
        <v>211</v>
      </c>
    </row>
    <row r="281" customFormat="false" ht="15" hidden="false" customHeight="false" outlineLevel="0" collapsed="false">
      <c r="A281" s="22" t="n">
        <v>277</v>
      </c>
      <c r="B281" s="23" t="s">
        <v>403</v>
      </c>
      <c r="C281" s="23" t="s">
        <v>205</v>
      </c>
      <c r="D281" s="23" t="s">
        <v>722</v>
      </c>
      <c r="E281" s="22" t="n">
        <v>58</v>
      </c>
      <c r="F281" s="22" t="n">
        <v>1</v>
      </c>
      <c r="G281" s="22" t="s">
        <v>59</v>
      </c>
      <c r="H281" s="23" t="s">
        <v>168</v>
      </c>
      <c r="I281" s="18" t="s">
        <v>62</v>
      </c>
      <c r="J281" s="18" t="s">
        <v>63</v>
      </c>
    </row>
    <row r="282" customFormat="false" ht="15" hidden="false" customHeight="false" outlineLevel="0" collapsed="false">
      <c r="A282" s="22" t="n">
        <v>278</v>
      </c>
      <c r="B282" s="23" t="s">
        <v>404</v>
      </c>
      <c r="C282" s="23" t="s">
        <v>205</v>
      </c>
      <c r="D282" s="23" t="s">
        <v>722</v>
      </c>
      <c r="E282" s="22" t="n">
        <v>58</v>
      </c>
      <c r="F282" s="22" t="n">
        <v>1</v>
      </c>
      <c r="G282" s="22" t="s">
        <v>115</v>
      </c>
      <c r="H282" s="23" t="s">
        <v>211</v>
      </c>
      <c r="I282" s="18" t="s">
        <v>62</v>
      </c>
      <c r="J282" s="22" t="s">
        <v>211</v>
      </c>
    </row>
    <row r="283" customFormat="false" ht="15" hidden="false" customHeight="false" outlineLevel="0" collapsed="false">
      <c r="A283" s="22" t="n">
        <v>279</v>
      </c>
      <c r="B283" s="23" t="s">
        <v>399</v>
      </c>
      <c r="C283" s="23" t="s">
        <v>233</v>
      </c>
      <c r="D283" s="23" t="s">
        <v>722</v>
      </c>
      <c r="E283" s="22" t="n">
        <v>58</v>
      </c>
      <c r="F283" s="22" t="n">
        <v>1</v>
      </c>
      <c r="G283" s="22" t="s">
        <v>59</v>
      </c>
      <c r="H283" s="23" t="s">
        <v>400</v>
      </c>
      <c r="I283" s="18" t="s">
        <v>62</v>
      </c>
      <c r="J283" s="18" t="s">
        <v>63</v>
      </c>
    </row>
    <row r="284" customFormat="false" ht="15" hidden="false" customHeight="false" outlineLevel="0" collapsed="false">
      <c r="A284" s="22" t="n">
        <v>280</v>
      </c>
      <c r="B284" s="23" t="s">
        <v>405</v>
      </c>
      <c r="C284" s="23" t="s">
        <v>205</v>
      </c>
      <c r="D284" s="23" t="s">
        <v>723</v>
      </c>
      <c r="E284" s="22" t="n">
        <v>57</v>
      </c>
      <c r="F284" s="22" t="n">
        <v>1</v>
      </c>
      <c r="G284" s="22" t="s">
        <v>59</v>
      </c>
      <c r="H284" s="23" t="s">
        <v>406</v>
      </c>
      <c r="I284" s="18" t="s">
        <v>62</v>
      </c>
      <c r="J284" s="18" t="s">
        <v>63</v>
      </c>
    </row>
    <row r="285" customFormat="false" ht="15" hidden="false" customHeight="false" outlineLevel="0" collapsed="false">
      <c r="A285" s="22" t="n">
        <v>281</v>
      </c>
      <c r="B285" s="23" t="s">
        <v>407</v>
      </c>
      <c r="C285" s="23" t="s">
        <v>205</v>
      </c>
      <c r="D285" s="23" t="s">
        <v>723</v>
      </c>
      <c r="E285" s="22" t="n">
        <v>57</v>
      </c>
      <c r="F285" s="22" t="n">
        <v>1</v>
      </c>
      <c r="G285" s="22" t="s">
        <v>59</v>
      </c>
      <c r="H285" s="23" t="s">
        <v>408</v>
      </c>
      <c r="I285" s="18" t="s">
        <v>62</v>
      </c>
      <c r="J285" s="18" t="s">
        <v>63</v>
      </c>
    </row>
    <row r="286" customFormat="false" ht="15" hidden="false" customHeight="false" outlineLevel="0" collapsed="false">
      <c r="A286" s="22" t="n">
        <v>282</v>
      </c>
      <c r="B286" s="23" t="s">
        <v>409</v>
      </c>
      <c r="C286" s="23" t="s">
        <v>205</v>
      </c>
      <c r="D286" s="23" t="s">
        <v>724</v>
      </c>
      <c r="E286" s="22" t="n">
        <v>56</v>
      </c>
      <c r="F286" s="22" t="n">
        <v>5</v>
      </c>
      <c r="G286" s="22" t="s">
        <v>59</v>
      </c>
      <c r="H286" s="23" t="s">
        <v>143</v>
      </c>
      <c r="I286" s="18" t="s">
        <v>62</v>
      </c>
      <c r="J286" s="18" t="s">
        <v>63</v>
      </c>
    </row>
    <row r="287" customFormat="false" ht="15" hidden="false" customHeight="false" outlineLevel="0" collapsed="false">
      <c r="A287" s="22" t="n">
        <v>283</v>
      </c>
      <c r="B287" s="23" t="s">
        <v>409</v>
      </c>
      <c r="C287" s="23" t="s">
        <v>205</v>
      </c>
      <c r="D287" s="23" t="s">
        <v>724</v>
      </c>
      <c r="E287" s="22" t="n">
        <v>56</v>
      </c>
      <c r="F287" s="22" t="n">
        <v>2</v>
      </c>
      <c r="G287" s="22" t="s">
        <v>59</v>
      </c>
      <c r="H287" s="23" t="s">
        <v>143</v>
      </c>
      <c r="I287" s="18" t="s">
        <v>62</v>
      </c>
      <c r="J287" s="18" t="s">
        <v>63</v>
      </c>
    </row>
    <row r="288" customFormat="false" ht="15" hidden="false" customHeight="false" outlineLevel="0" collapsed="false">
      <c r="A288" s="22" t="n">
        <v>284</v>
      </c>
      <c r="B288" s="23" t="s">
        <v>76</v>
      </c>
      <c r="C288" s="23" t="s">
        <v>58</v>
      </c>
      <c r="D288" s="23" t="s">
        <v>724</v>
      </c>
      <c r="E288" s="22" t="n">
        <v>56</v>
      </c>
      <c r="F288" s="22" t="n">
        <v>2</v>
      </c>
      <c r="G288" s="22" t="s">
        <v>66</v>
      </c>
      <c r="H288" s="23" t="s">
        <v>77</v>
      </c>
      <c r="I288" s="18" t="s">
        <v>62</v>
      </c>
      <c r="J288" s="18" t="s">
        <v>63</v>
      </c>
    </row>
    <row r="289" customFormat="false" ht="15" hidden="false" customHeight="false" outlineLevel="0" collapsed="false">
      <c r="A289" s="22" t="n">
        <v>285</v>
      </c>
      <c r="B289" s="23" t="s">
        <v>146</v>
      </c>
      <c r="C289" s="23" t="s">
        <v>58</v>
      </c>
      <c r="D289" s="23" t="s">
        <v>724</v>
      </c>
      <c r="E289" s="22" t="n">
        <v>56</v>
      </c>
      <c r="F289" s="22" t="n">
        <v>2</v>
      </c>
      <c r="G289" s="22" t="s">
        <v>115</v>
      </c>
      <c r="H289" s="23" t="s">
        <v>147</v>
      </c>
      <c r="I289" s="18" t="s">
        <v>62</v>
      </c>
      <c r="J289" s="18" t="s">
        <v>63</v>
      </c>
    </row>
    <row r="290" customFormat="false" ht="15" hidden="false" customHeight="false" outlineLevel="0" collapsed="false">
      <c r="A290" s="22" t="n">
        <v>286</v>
      </c>
      <c r="B290" s="23" t="s">
        <v>410</v>
      </c>
      <c r="C290" s="23" t="s">
        <v>205</v>
      </c>
      <c r="D290" s="23" t="s">
        <v>724</v>
      </c>
      <c r="E290" s="22" t="n">
        <v>56</v>
      </c>
      <c r="F290" s="22" t="n">
        <v>1</v>
      </c>
      <c r="G290" s="22" t="s">
        <v>59</v>
      </c>
      <c r="H290" s="23" t="s">
        <v>411</v>
      </c>
      <c r="I290" s="18" t="s">
        <v>62</v>
      </c>
      <c r="J290" s="18" t="s">
        <v>63</v>
      </c>
    </row>
    <row r="291" customFormat="false" ht="15" hidden="false" customHeight="false" outlineLevel="0" collapsed="false">
      <c r="A291" s="22" t="n">
        <v>287</v>
      </c>
      <c r="B291" s="23" t="s">
        <v>148</v>
      </c>
      <c r="C291" s="23" t="s">
        <v>58</v>
      </c>
      <c r="D291" s="23" t="s">
        <v>724</v>
      </c>
      <c r="E291" s="22" t="n">
        <v>56</v>
      </c>
      <c r="F291" s="22" t="n">
        <v>1</v>
      </c>
      <c r="G291" s="22" t="s">
        <v>115</v>
      </c>
      <c r="H291" s="23" t="s">
        <v>725</v>
      </c>
      <c r="I291" s="18" t="s">
        <v>62</v>
      </c>
      <c r="J291" s="18" t="s">
        <v>63</v>
      </c>
    </row>
    <row r="292" customFormat="false" ht="15" hidden="false" customHeight="false" outlineLevel="0" collapsed="false">
      <c r="A292" s="22" t="n">
        <v>288</v>
      </c>
      <c r="B292" s="23" t="s">
        <v>412</v>
      </c>
      <c r="C292" s="23" t="s">
        <v>205</v>
      </c>
      <c r="D292" s="23" t="s">
        <v>724</v>
      </c>
      <c r="E292" s="22" t="n">
        <v>56</v>
      </c>
      <c r="F292" s="22" t="n">
        <v>1</v>
      </c>
      <c r="G292" s="22" t="s">
        <v>66</v>
      </c>
      <c r="H292" s="23" t="s">
        <v>168</v>
      </c>
      <c r="I292" s="18" t="s">
        <v>62</v>
      </c>
      <c r="J292" s="18" t="s">
        <v>63</v>
      </c>
    </row>
    <row r="293" customFormat="false" ht="15" hidden="false" customHeight="false" outlineLevel="0" collapsed="false">
      <c r="A293" s="22" t="n">
        <v>289</v>
      </c>
      <c r="B293" s="23" t="s">
        <v>107</v>
      </c>
      <c r="C293" s="23" t="s">
        <v>58</v>
      </c>
      <c r="D293" s="23" t="s">
        <v>726</v>
      </c>
      <c r="E293" s="22" t="n">
        <v>55</v>
      </c>
      <c r="F293" s="22" t="n">
        <v>1</v>
      </c>
      <c r="G293" s="22" t="s">
        <v>59</v>
      </c>
      <c r="H293" s="23" t="s">
        <v>108</v>
      </c>
      <c r="I293" s="18" t="s">
        <v>62</v>
      </c>
      <c r="J293" s="18" t="s">
        <v>63</v>
      </c>
    </row>
    <row r="294" customFormat="false" ht="15" hidden="false" customHeight="false" outlineLevel="0" collapsed="false">
      <c r="A294" s="22" t="n">
        <v>290</v>
      </c>
      <c r="B294" s="23" t="s">
        <v>107</v>
      </c>
      <c r="C294" s="23" t="s">
        <v>58</v>
      </c>
      <c r="D294" s="23" t="s">
        <v>726</v>
      </c>
      <c r="E294" s="22" t="n">
        <v>55</v>
      </c>
      <c r="F294" s="22" t="n">
        <v>1</v>
      </c>
      <c r="G294" s="22" t="s">
        <v>59</v>
      </c>
      <c r="H294" s="23" t="s">
        <v>108</v>
      </c>
      <c r="I294" s="18" t="s">
        <v>62</v>
      </c>
      <c r="J294" s="18" t="s">
        <v>63</v>
      </c>
    </row>
    <row r="295" customFormat="false" ht="15" hidden="false" customHeight="false" outlineLevel="0" collapsed="false">
      <c r="A295" s="22" t="n">
        <v>291</v>
      </c>
      <c r="B295" s="23" t="s">
        <v>414</v>
      </c>
      <c r="C295" s="23" t="s">
        <v>205</v>
      </c>
      <c r="D295" s="23" t="s">
        <v>727</v>
      </c>
      <c r="E295" s="22" t="n">
        <v>53</v>
      </c>
      <c r="F295" s="22" t="n">
        <v>1</v>
      </c>
      <c r="G295" s="22" t="s">
        <v>59</v>
      </c>
      <c r="H295" s="23" t="s">
        <v>141</v>
      </c>
      <c r="I295" s="18" t="s">
        <v>62</v>
      </c>
      <c r="J295" s="18" t="s">
        <v>63</v>
      </c>
    </row>
    <row r="296" customFormat="false" ht="15" hidden="false" customHeight="false" outlineLevel="0" collapsed="false">
      <c r="A296" s="22" t="n">
        <v>292</v>
      </c>
      <c r="B296" s="23" t="s">
        <v>413</v>
      </c>
      <c r="C296" s="23" t="s">
        <v>208</v>
      </c>
      <c r="D296" s="23" t="s">
        <v>727</v>
      </c>
      <c r="E296" s="22" t="n">
        <v>53</v>
      </c>
      <c r="F296" s="22" t="n">
        <v>1</v>
      </c>
      <c r="G296" s="22" t="s">
        <v>115</v>
      </c>
      <c r="H296" s="23" t="s">
        <v>141</v>
      </c>
      <c r="I296" s="18" t="s">
        <v>62</v>
      </c>
      <c r="J296" s="18" t="s">
        <v>63</v>
      </c>
    </row>
    <row r="297" customFormat="false" ht="15" hidden="false" customHeight="false" outlineLevel="0" collapsed="false">
      <c r="A297" s="22" t="n">
        <v>293</v>
      </c>
      <c r="B297" s="23" t="s">
        <v>415</v>
      </c>
      <c r="C297" s="23" t="s">
        <v>205</v>
      </c>
      <c r="D297" s="23" t="s">
        <v>727</v>
      </c>
      <c r="E297" s="22" t="n">
        <v>53</v>
      </c>
      <c r="F297" s="22" t="n">
        <v>1</v>
      </c>
      <c r="G297" s="22" t="s">
        <v>66</v>
      </c>
      <c r="H297" s="23" t="s">
        <v>141</v>
      </c>
      <c r="I297" s="18" t="s">
        <v>62</v>
      </c>
      <c r="J297" s="18" t="s">
        <v>63</v>
      </c>
    </row>
    <row r="298" customFormat="false" ht="15" hidden="false" customHeight="false" outlineLevel="0" collapsed="false">
      <c r="A298" s="22" t="n">
        <v>294</v>
      </c>
      <c r="B298" s="23" t="s">
        <v>416</v>
      </c>
      <c r="C298" s="23" t="s">
        <v>229</v>
      </c>
      <c r="D298" s="23" t="s">
        <v>727</v>
      </c>
      <c r="E298" s="22" t="n">
        <v>53</v>
      </c>
      <c r="F298" s="22" t="n">
        <v>1</v>
      </c>
      <c r="G298" s="22" t="s">
        <v>66</v>
      </c>
      <c r="H298" s="23" t="s">
        <v>211</v>
      </c>
      <c r="I298" s="18" t="s">
        <v>62</v>
      </c>
      <c r="J298" s="18" t="s">
        <v>63</v>
      </c>
    </row>
    <row r="299" customFormat="false" ht="15" hidden="false" customHeight="false" outlineLevel="0" collapsed="false">
      <c r="A299" s="22" t="n">
        <v>295</v>
      </c>
      <c r="B299" s="23" t="s">
        <v>153</v>
      </c>
      <c r="C299" s="23" t="s">
        <v>58</v>
      </c>
      <c r="D299" s="23" t="s">
        <v>727</v>
      </c>
      <c r="E299" s="22" t="n">
        <v>53</v>
      </c>
      <c r="F299" s="22" t="n">
        <v>1</v>
      </c>
      <c r="G299" s="22" t="s">
        <v>59</v>
      </c>
      <c r="H299" s="23" t="s">
        <v>154</v>
      </c>
      <c r="I299" s="18" t="s">
        <v>62</v>
      </c>
      <c r="J299" s="18" t="s">
        <v>63</v>
      </c>
    </row>
    <row r="300" customFormat="false" ht="15" hidden="false" customHeight="false" outlineLevel="0" collapsed="false">
      <c r="A300" s="22" t="n">
        <v>296</v>
      </c>
      <c r="B300" s="23" t="s">
        <v>175</v>
      </c>
      <c r="C300" s="23" t="s">
        <v>58</v>
      </c>
      <c r="D300" s="23" t="s">
        <v>728</v>
      </c>
      <c r="E300" s="22" t="n">
        <v>52</v>
      </c>
      <c r="F300" s="22" t="n">
        <v>1</v>
      </c>
      <c r="G300" s="22" t="s">
        <v>66</v>
      </c>
      <c r="H300" s="23" t="s">
        <v>168</v>
      </c>
      <c r="I300" s="18" t="s">
        <v>62</v>
      </c>
      <c r="J300" s="18" t="s">
        <v>63</v>
      </c>
    </row>
    <row r="301" customFormat="false" ht="15" hidden="false" customHeight="false" outlineLevel="0" collapsed="false">
      <c r="A301" s="22" t="n">
        <v>297</v>
      </c>
      <c r="B301" s="23" t="s">
        <v>413</v>
      </c>
      <c r="C301" s="23" t="s">
        <v>208</v>
      </c>
      <c r="D301" s="23" t="s">
        <v>728</v>
      </c>
      <c r="E301" s="22" t="n">
        <v>52</v>
      </c>
      <c r="F301" s="22" t="n">
        <v>1</v>
      </c>
      <c r="G301" s="22" t="s">
        <v>115</v>
      </c>
      <c r="H301" s="23" t="s">
        <v>141</v>
      </c>
      <c r="I301" s="18" t="s">
        <v>62</v>
      </c>
      <c r="J301" s="18" t="s">
        <v>63</v>
      </c>
    </row>
    <row r="302" customFormat="false" ht="15" hidden="false" customHeight="false" outlineLevel="0" collapsed="false">
      <c r="A302" s="22" t="n">
        <v>298</v>
      </c>
      <c r="B302" s="23" t="s">
        <v>417</v>
      </c>
      <c r="C302" s="23" t="s">
        <v>205</v>
      </c>
      <c r="D302" s="23" t="s">
        <v>728</v>
      </c>
      <c r="E302" s="22" t="n">
        <v>52</v>
      </c>
      <c r="F302" s="22" t="n">
        <v>1</v>
      </c>
      <c r="G302" s="22" t="s">
        <v>66</v>
      </c>
      <c r="H302" s="23" t="s">
        <v>141</v>
      </c>
      <c r="I302" s="18" t="s">
        <v>62</v>
      </c>
      <c r="J302" s="18" t="s">
        <v>63</v>
      </c>
    </row>
    <row r="303" customFormat="false" ht="15" hidden="false" customHeight="false" outlineLevel="0" collapsed="false">
      <c r="A303" s="22" t="n">
        <v>299</v>
      </c>
      <c r="B303" s="23" t="s">
        <v>166</v>
      </c>
      <c r="C303" s="23" t="s">
        <v>58</v>
      </c>
      <c r="D303" s="23" t="s">
        <v>728</v>
      </c>
      <c r="E303" s="22" t="n">
        <v>52</v>
      </c>
      <c r="F303" s="22" t="n">
        <v>1</v>
      </c>
      <c r="G303" s="22" t="s">
        <v>59</v>
      </c>
      <c r="H303" s="23" t="s">
        <v>168</v>
      </c>
      <c r="I303" s="18" t="s">
        <v>62</v>
      </c>
      <c r="J303" s="18" t="s">
        <v>63</v>
      </c>
    </row>
    <row r="304" customFormat="false" ht="15" hidden="false" customHeight="false" outlineLevel="0" collapsed="false">
      <c r="A304" s="22" t="n">
        <v>300</v>
      </c>
      <c r="B304" s="23" t="s">
        <v>82</v>
      </c>
      <c r="C304" s="23" t="s">
        <v>58</v>
      </c>
      <c r="D304" s="23" t="s">
        <v>729</v>
      </c>
      <c r="E304" s="22" t="n">
        <v>51</v>
      </c>
      <c r="F304" s="22" t="n">
        <v>1</v>
      </c>
      <c r="G304" s="22" t="s">
        <v>66</v>
      </c>
      <c r="H304" s="23" t="s">
        <v>168</v>
      </c>
      <c r="I304" s="18" t="s">
        <v>62</v>
      </c>
      <c r="J304" s="18" t="s">
        <v>63</v>
      </c>
    </row>
    <row r="305" customFormat="false" ht="15" hidden="false" customHeight="false" outlineLevel="0" collapsed="false">
      <c r="A305" s="22" t="n">
        <v>301</v>
      </c>
      <c r="B305" s="23" t="s">
        <v>121</v>
      </c>
      <c r="C305" s="23" t="s">
        <v>58</v>
      </c>
      <c r="D305" s="23" t="s">
        <v>729</v>
      </c>
      <c r="E305" s="22" t="n">
        <v>51</v>
      </c>
      <c r="F305" s="22" t="n">
        <v>1</v>
      </c>
      <c r="G305" s="22" t="s">
        <v>66</v>
      </c>
      <c r="H305" s="23" t="s">
        <v>141</v>
      </c>
      <c r="I305" s="18" t="s">
        <v>62</v>
      </c>
      <c r="J305" s="18" t="s">
        <v>63</v>
      </c>
    </row>
    <row r="306" customFormat="false" ht="15" hidden="false" customHeight="false" outlineLevel="0" collapsed="false">
      <c r="A306" s="22" t="n">
        <v>302</v>
      </c>
      <c r="B306" s="23" t="s">
        <v>418</v>
      </c>
      <c r="C306" s="23" t="s">
        <v>205</v>
      </c>
      <c r="D306" s="23" t="s">
        <v>729</v>
      </c>
      <c r="E306" s="22" t="n">
        <v>51</v>
      </c>
      <c r="F306" s="22" t="n">
        <v>1</v>
      </c>
      <c r="G306" s="22" t="s">
        <v>66</v>
      </c>
      <c r="H306" s="23" t="s">
        <v>141</v>
      </c>
      <c r="I306" s="18" t="s">
        <v>62</v>
      </c>
      <c r="J306" s="18" t="s">
        <v>63</v>
      </c>
    </row>
    <row r="307" customFormat="false" ht="15" hidden="false" customHeight="false" outlineLevel="0" collapsed="false">
      <c r="A307" s="22" t="n">
        <v>303</v>
      </c>
      <c r="B307" s="23" t="s">
        <v>166</v>
      </c>
      <c r="C307" s="23" t="s">
        <v>58</v>
      </c>
      <c r="D307" s="23" t="s">
        <v>729</v>
      </c>
      <c r="E307" s="22" t="n">
        <v>51</v>
      </c>
      <c r="F307" s="22" t="n">
        <v>1</v>
      </c>
      <c r="G307" s="22" t="s">
        <v>59</v>
      </c>
      <c r="H307" s="23" t="s">
        <v>168</v>
      </c>
      <c r="I307" s="18" t="s">
        <v>62</v>
      </c>
      <c r="J307" s="18" t="s">
        <v>63</v>
      </c>
    </row>
    <row r="308" customFormat="false" ht="15" hidden="false" customHeight="false" outlineLevel="0" collapsed="false">
      <c r="A308" s="22" t="n">
        <v>304</v>
      </c>
      <c r="B308" s="23" t="s">
        <v>166</v>
      </c>
      <c r="C308" s="23" t="s">
        <v>58</v>
      </c>
      <c r="D308" s="23" t="s">
        <v>729</v>
      </c>
      <c r="E308" s="22" t="n">
        <v>51</v>
      </c>
      <c r="F308" s="22" t="n">
        <v>1</v>
      </c>
      <c r="G308" s="22" t="s">
        <v>59</v>
      </c>
      <c r="H308" s="23" t="s">
        <v>168</v>
      </c>
      <c r="I308" s="18" t="s">
        <v>62</v>
      </c>
      <c r="J308" s="18" t="s">
        <v>63</v>
      </c>
    </row>
    <row r="309" customFormat="false" ht="15" hidden="false" customHeight="false" outlineLevel="0" collapsed="false">
      <c r="A309" s="22" t="n">
        <v>305</v>
      </c>
      <c r="B309" s="23" t="s">
        <v>166</v>
      </c>
      <c r="C309" s="23" t="s">
        <v>58</v>
      </c>
      <c r="D309" s="23" t="s">
        <v>729</v>
      </c>
      <c r="E309" s="22" t="n">
        <v>51</v>
      </c>
      <c r="F309" s="22" t="n">
        <v>1</v>
      </c>
      <c r="G309" s="22" t="s">
        <v>59</v>
      </c>
      <c r="H309" s="23" t="s">
        <v>168</v>
      </c>
      <c r="I309" s="18" t="s">
        <v>62</v>
      </c>
      <c r="J309" s="18" t="s">
        <v>63</v>
      </c>
    </row>
    <row r="310" customFormat="false" ht="15" hidden="false" customHeight="false" outlineLevel="0" collapsed="false">
      <c r="A310" s="22" t="n">
        <v>306</v>
      </c>
      <c r="B310" s="23" t="s">
        <v>419</v>
      </c>
      <c r="C310" s="23" t="s">
        <v>205</v>
      </c>
      <c r="D310" s="23" t="s">
        <v>729</v>
      </c>
      <c r="E310" s="22" t="n">
        <v>51</v>
      </c>
      <c r="F310" s="22" t="n">
        <v>1</v>
      </c>
      <c r="G310" s="22" t="s">
        <v>59</v>
      </c>
      <c r="H310" s="23" t="s">
        <v>168</v>
      </c>
      <c r="I310" s="18" t="s">
        <v>62</v>
      </c>
      <c r="J310" s="18" t="s">
        <v>63</v>
      </c>
    </row>
    <row r="311" customFormat="false" ht="15" hidden="false" customHeight="false" outlineLevel="0" collapsed="false">
      <c r="A311" s="22" t="n">
        <v>307</v>
      </c>
      <c r="B311" s="23" t="s">
        <v>129</v>
      </c>
      <c r="C311" s="23" t="s">
        <v>58</v>
      </c>
      <c r="D311" s="23" t="s">
        <v>730</v>
      </c>
      <c r="E311" s="22" t="n">
        <v>50</v>
      </c>
      <c r="F311" s="22" t="n">
        <v>1</v>
      </c>
      <c r="G311" s="22" t="s">
        <v>66</v>
      </c>
      <c r="H311" s="23" t="s">
        <v>130</v>
      </c>
      <c r="I311" s="18" t="s">
        <v>62</v>
      </c>
      <c r="J311" s="18" t="s">
        <v>63</v>
      </c>
    </row>
    <row r="312" customFormat="false" ht="15" hidden="false" customHeight="false" outlineLevel="0" collapsed="false">
      <c r="A312" s="22" t="n">
        <v>308</v>
      </c>
      <c r="B312" s="23" t="s">
        <v>151</v>
      </c>
      <c r="C312" s="23" t="s">
        <v>58</v>
      </c>
      <c r="D312" s="23" t="s">
        <v>730</v>
      </c>
      <c r="E312" s="22" t="n">
        <v>50</v>
      </c>
      <c r="F312" s="22" t="n">
        <v>1</v>
      </c>
      <c r="G312" s="22" t="s">
        <v>59</v>
      </c>
      <c r="H312" s="23" t="s">
        <v>152</v>
      </c>
      <c r="I312" s="18" t="s">
        <v>62</v>
      </c>
      <c r="J312" s="18" t="s">
        <v>63</v>
      </c>
    </row>
    <row r="313" customFormat="false" ht="15" hidden="false" customHeight="false" outlineLevel="0" collapsed="false">
      <c r="A313" s="22" t="n">
        <v>309</v>
      </c>
      <c r="B313" s="23" t="s">
        <v>420</v>
      </c>
      <c r="C313" s="23" t="s">
        <v>208</v>
      </c>
      <c r="D313" s="23" t="s">
        <v>730</v>
      </c>
      <c r="E313" s="22" t="n">
        <v>50</v>
      </c>
      <c r="F313" s="22" t="n">
        <v>1</v>
      </c>
      <c r="G313" s="22" t="s">
        <v>59</v>
      </c>
      <c r="H313" s="23" t="s">
        <v>168</v>
      </c>
      <c r="I313" s="18" t="s">
        <v>62</v>
      </c>
      <c r="J313" s="18" t="s">
        <v>63</v>
      </c>
    </row>
    <row r="314" customFormat="false" ht="15" hidden="false" customHeight="false" outlineLevel="0" collapsed="false">
      <c r="A314" s="22" t="n">
        <v>310</v>
      </c>
      <c r="B314" s="23" t="s">
        <v>421</v>
      </c>
      <c r="C314" s="23" t="s">
        <v>205</v>
      </c>
      <c r="D314" s="23" t="s">
        <v>730</v>
      </c>
      <c r="E314" s="22" t="n">
        <v>50</v>
      </c>
      <c r="F314" s="22" t="n">
        <v>1</v>
      </c>
      <c r="G314" s="22" t="s">
        <v>59</v>
      </c>
      <c r="H314" s="23" t="s">
        <v>422</v>
      </c>
      <c r="I314" s="18" t="s">
        <v>62</v>
      </c>
      <c r="J314" s="18" t="s">
        <v>63</v>
      </c>
    </row>
    <row r="315" customFormat="false" ht="15" hidden="false" customHeight="false" outlineLevel="0" collapsed="false">
      <c r="A315" s="22" t="n">
        <v>311</v>
      </c>
      <c r="B315" s="23" t="s">
        <v>423</v>
      </c>
      <c r="C315" s="23" t="s">
        <v>205</v>
      </c>
      <c r="D315" s="23" t="s">
        <v>731</v>
      </c>
      <c r="E315" s="22" t="n">
        <v>49</v>
      </c>
      <c r="F315" s="22" t="n">
        <v>1</v>
      </c>
      <c r="G315" s="22" t="s">
        <v>59</v>
      </c>
      <c r="H315" s="23" t="s">
        <v>206</v>
      </c>
      <c r="I315" s="18" t="s">
        <v>62</v>
      </c>
      <c r="J315" s="18" t="s">
        <v>63</v>
      </c>
    </row>
    <row r="316" customFormat="false" ht="15" hidden="false" customHeight="false" outlineLevel="0" collapsed="false">
      <c r="A316" s="22" t="n">
        <v>312</v>
      </c>
      <c r="B316" s="23" t="s">
        <v>423</v>
      </c>
      <c r="C316" s="23" t="s">
        <v>205</v>
      </c>
      <c r="D316" s="23" t="s">
        <v>731</v>
      </c>
      <c r="E316" s="22" t="n">
        <v>49</v>
      </c>
      <c r="F316" s="22" t="n">
        <v>1</v>
      </c>
      <c r="G316" s="22" t="s">
        <v>59</v>
      </c>
      <c r="H316" s="23" t="s">
        <v>206</v>
      </c>
      <c r="I316" s="18" t="s">
        <v>62</v>
      </c>
      <c r="J316" s="18" t="s">
        <v>63</v>
      </c>
    </row>
    <row r="317" customFormat="false" ht="15" hidden="false" customHeight="false" outlineLevel="0" collapsed="false">
      <c r="A317" s="22" t="n">
        <v>313</v>
      </c>
      <c r="B317" s="23" t="s">
        <v>425</v>
      </c>
      <c r="C317" s="23" t="s">
        <v>205</v>
      </c>
      <c r="D317" s="23" t="s">
        <v>731</v>
      </c>
      <c r="E317" s="22" t="n">
        <v>49</v>
      </c>
      <c r="F317" s="22" t="n">
        <v>1</v>
      </c>
      <c r="G317" s="22" t="s">
        <v>66</v>
      </c>
      <c r="H317" s="23" t="s">
        <v>143</v>
      </c>
      <c r="I317" s="18" t="s">
        <v>62</v>
      </c>
      <c r="J317" s="18" t="s">
        <v>63</v>
      </c>
    </row>
    <row r="318" customFormat="false" ht="15" hidden="false" customHeight="false" outlineLevel="0" collapsed="false">
      <c r="A318" s="22" t="n">
        <v>314</v>
      </c>
      <c r="B318" s="23" t="s">
        <v>426</v>
      </c>
      <c r="C318" s="23" t="s">
        <v>208</v>
      </c>
      <c r="D318" s="23" t="s">
        <v>732</v>
      </c>
      <c r="E318" s="22" t="n">
        <v>48</v>
      </c>
      <c r="F318" s="22" t="n">
        <v>1</v>
      </c>
      <c r="G318" s="22" t="s">
        <v>66</v>
      </c>
      <c r="H318" s="23" t="s">
        <v>168</v>
      </c>
      <c r="I318" s="18" t="s">
        <v>62</v>
      </c>
      <c r="J318" s="18" t="s">
        <v>63</v>
      </c>
    </row>
    <row r="319" customFormat="false" ht="15" hidden="false" customHeight="false" outlineLevel="0" collapsed="false">
      <c r="A319" s="22" t="n">
        <v>315</v>
      </c>
      <c r="B319" s="23" t="s">
        <v>427</v>
      </c>
      <c r="C319" s="23" t="s">
        <v>205</v>
      </c>
      <c r="D319" s="23" t="s">
        <v>732</v>
      </c>
      <c r="E319" s="22" t="n">
        <v>48</v>
      </c>
      <c r="F319" s="22" t="n">
        <v>1</v>
      </c>
      <c r="G319" s="22" t="s">
        <v>115</v>
      </c>
      <c r="H319" s="23" t="s">
        <v>428</v>
      </c>
      <c r="I319" s="18" t="s">
        <v>62</v>
      </c>
      <c r="J319" s="18" t="s">
        <v>63</v>
      </c>
    </row>
    <row r="320" customFormat="false" ht="15" hidden="false" customHeight="false" outlineLevel="0" collapsed="false">
      <c r="A320" s="22" t="n">
        <v>316</v>
      </c>
      <c r="B320" s="23" t="s">
        <v>99</v>
      </c>
      <c r="C320" s="23" t="s">
        <v>58</v>
      </c>
      <c r="D320" s="23" t="s">
        <v>733</v>
      </c>
      <c r="E320" s="22" t="n">
        <v>47</v>
      </c>
      <c r="F320" s="22" t="n">
        <v>1</v>
      </c>
      <c r="G320" s="22" t="s">
        <v>66</v>
      </c>
      <c r="H320" s="23" t="s">
        <v>697</v>
      </c>
      <c r="I320" s="18" t="s">
        <v>62</v>
      </c>
      <c r="J320" s="18" t="s">
        <v>63</v>
      </c>
    </row>
    <row r="321" customFormat="false" ht="15" hidden="false" customHeight="false" outlineLevel="0" collapsed="false">
      <c r="A321" s="22" t="n">
        <v>317</v>
      </c>
      <c r="B321" s="23" t="s">
        <v>296</v>
      </c>
      <c r="C321" s="23" t="s">
        <v>297</v>
      </c>
      <c r="D321" s="23" t="s">
        <v>733</v>
      </c>
      <c r="E321" s="22" t="n">
        <v>47</v>
      </c>
      <c r="F321" s="22" t="n">
        <v>2</v>
      </c>
      <c r="G321" s="22" t="s">
        <v>66</v>
      </c>
      <c r="H321" s="23" t="s">
        <v>168</v>
      </c>
      <c r="I321" s="18" t="s">
        <v>62</v>
      </c>
      <c r="J321" s="18" t="s">
        <v>63</v>
      </c>
    </row>
    <row r="322" customFormat="false" ht="15" hidden="false" customHeight="false" outlineLevel="0" collapsed="false">
      <c r="A322" s="22" t="n">
        <v>318</v>
      </c>
      <c r="B322" s="23" t="s">
        <v>134</v>
      </c>
      <c r="C322" s="23" t="s">
        <v>58</v>
      </c>
      <c r="D322" s="23" t="s">
        <v>733</v>
      </c>
      <c r="E322" s="22" t="n">
        <v>47</v>
      </c>
      <c r="F322" s="22" t="n">
        <v>3</v>
      </c>
      <c r="G322" s="22" t="s">
        <v>59</v>
      </c>
      <c r="H322" s="23" t="s">
        <v>135</v>
      </c>
      <c r="I322" s="18" t="s">
        <v>62</v>
      </c>
      <c r="J322" s="18" t="s">
        <v>63</v>
      </c>
    </row>
    <row r="323" customFormat="false" ht="15" hidden="false" customHeight="false" outlineLevel="0" collapsed="false">
      <c r="A323" s="22" t="n">
        <v>319</v>
      </c>
      <c r="B323" s="23" t="s">
        <v>157</v>
      </c>
      <c r="C323" s="23" t="s">
        <v>58</v>
      </c>
      <c r="D323" s="23" t="s">
        <v>734</v>
      </c>
      <c r="E323" s="22" t="n">
        <v>46</v>
      </c>
      <c r="F323" s="22" t="n">
        <v>1</v>
      </c>
      <c r="G323" s="22" t="s">
        <v>115</v>
      </c>
      <c r="H323" s="23" t="s">
        <v>158</v>
      </c>
      <c r="I323" s="18" t="s">
        <v>62</v>
      </c>
      <c r="J323" s="18" t="s">
        <v>63</v>
      </c>
    </row>
    <row r="324" customFormat="false" ht="15" hidden="false" customHeight="false" outlineLevel="0" collapsed="false">
      <c r="A324" s="22" t="n">
        <v>320</v>
      </c>
      <c r="B324" s="23" t="s">
        <v>97</v>
      </c>
      <c r="C324" s="23" t="s">
        <v>58</v>
      </c>
      <c r="D324" s="23" t="s">
        <v>735</v>
      </c>
      <c r="E324" s="22" t="n">
        <v>45</v>
      </c>
      <c r="F324" s="22" t="n">
        <v>1</v>
      </c>
      <c r="G324" s="22" t="s">
        <v>66</v>
      </c>
      <c r="H324" s="23" t="s">
        <v>736</v>
      </c>
      <c r="I324" s="18" t="s">
        <v>62</v>
      </c>
      <c r="J324" s="18" t="s">
        <v>63</v>
      </c>
    </row>
    <row r="325" customFormat="false" ht="15" hidden="false" customHeight="false" outlineLevel="0" collapsed="false">
      <c r="A325" s="22" t="n">
        <v>321</v>
      </c>
      <c r="B325" s="23" t="s">
        <v>429</v>
      </c>
      <c r="C325" s="23" t="s">
        <v>233</v>
      </c>
      <c r="D325" s="23" t="s">
        <v>735</v>
      </c>
      <c r="E325" s="22" t="n">
        <v>45</v>
      </c>
      <c r="F325" s="22" t="n">
        <v>1</v>
      </c>
      <c r="G325" s="22" t="s">
        <v>66</v>
      </c>
      <c r="H325" s="23" t="s">
        <v>430</v>
      </c>
      <c r="I325" s="18" t="s">
        <v>62</v>
      </c>
      <c r="J325" s="18" t="s">
        <v>63</v>
      </c>
    </row>
    <row r="326" customFormat="false" ht="15" hidden="false" customHeight="false" outlineLevel="0" collapsed="false">
      <c r="A326" s="22" t="n">
        <v>322</v>
      </c>
      <c r="B326" s="23" t="s">
        <v>429</v>
      </c>
      <c r="C326" s="23" t="s">
        <v>233</v>
      </c>
      <c r="D326" s="23" t="s">
        <v>735</v>
      </c>
      <c r="E326" s="22" t="n">
        <v>45</v>
      </c>
      <c r="F326" s="22" t="n">
        <v>1</v>
      </c>
      <c r="G326" s="22" t="s">
        <v>66</v>
      </c>
      <c r="H326" s="23" t="s">
        <v>430</v>
      </c>
      <c r="I326" s="18" t="s">
        <v>62</v>
      </c>
      <c r="J326" s="18" t="s">
        <v>63</v>
      </c>
    </row>
    <row r="327" customFormat="false" ht="15" hidden="false" customHeight="false" outlineLevel="0" collapsed="false">
      <c r="A327" s="22" t="n">
        <v>323</v>
      </c>
      <c r="B327" s="23" t="s">
        <v>431</v>
      </c>
      <c r="C327" s="23" t="s">
        <v>205</v>
      </c>
      <c r="D327" s="23" t="s">
        <v>737</v>
      </c>
      <c r="E327" s="22" t="n">
        <v>44</v>
      </c>
      <c r="F327" s="22" t="n">
        <v>1</v>
      </c>
      <c r="G327" s="22" t="s">
        <v>59</v>
      </c>
      <c r="H327" s="23" t="s">
        <v>168</v>
      </c>
      <c r="I327" s="18" t="s">
        <v>62</v>
      </c>
      <c r="J327" s="18" t="s">
        <v>63</v>
      </c>
    </row>
    <row r="328" customFormat="false" ht="15" hidden="false" customHeight="false" outlineLevel="0" collapsed="false">
      <c r="A328" s="22" t="n">
        <v>324</v>
      </c>
      <c r="B328" s="23" t="s">
        <v>194</v>
      </c>
      <c r="C328" s="23" t="s">
        <v>58</v>
      </c>
      <c r="D328" s="23" t="s">
        <v>737</v>
      </c>
      <c r="E328" s="22" t="n">
        <v>44</v>
      </c>
      <c r="F328" s="22" t="n">
        <v>1</v>
      </c>
      <c r="G328" s="22" t="s">
        <v>66</v>
      </c>
      <c r="H328" s="23" t="s">
        <v>168</v>
      </c>
      <c r="I328" s="18" t="s">
        <v>62</v>
      </c>
      <c r="J328" s="18" t="s">
        <v>63</v>
      </c>
    </row>
    <row r="329" customFormat="false" ht="15" hidden="false" customHeight="false" outlineLevel="0" collapsed="false">
      <c r="A329" s="22" t="n">
        <v>325</v>
      </c>
      <c r="B329" s="23" t="s">
        <v>119</v>
      </c>
      <c r="C329" s="23" t="s">
        <v>58</v>
      </c>
      <c r="D329" s="23" t="s">
        <v>737</v>
      </c>
      <c r="E329" s="22" t="n">
        <v>44</v>
      </c>
      <c r="F329" s="22" t="n">
        <v>1</v>
      </c>
      <c r="G329" s="22" t="s">
        <v>66</v>
      </c>
      <c r="H329" s="23" t="s">
        <v>120</v>
      </c>
      <c r="I329" s="18" t="s">
        <v>62</v>
      </c>
      <c r="J329" s="18" t="s">
        <v>63</v>
      </c>
    </row>
    <row r="330" customFormat="false" ht="15" hidden="false" customHeight="false" outlineLevel="0" collapsed="false">
      <c r="A330" s="22" t="n">
        <v>326</v>
      </c>
      <c r="B330" s="23" t="s">
        <v>432</v>
      </c>
      <c r="C330" s="23" t="s">
        <v>205</v>
      </c>
      <c r="D330" s="23" t="s">
        <v>738</v>
      </c>
      <c r="E330" s="22" t="n">
        <v>43</v>
      </c>
      <c r="F330" s="22" t="n">
        <v>1</v>
      </c>
      <c r="G330" s="22" t="s">
        <v>115</v>
      </c>
      <c r="H330" s="23" t="s">
        <v>141</v>
      </c>
      <c r="I330" s="18" t="s">
        <v>62</v>
      </c>
      <c r="J330" s="18" t="s">
        <v>63</v>
      </c>
    </row>
    <row r="331" customFormat="false" ht="15" hidden="false" customHeight="false" outlineLevel="0" collapsed="false">
      <c r="A331" s="22" t="n">
        <v>327</v>
      </c>
      <c r="B331" s="23" t="s">
        <v>423</v>
      </c>
      <c r="C331" s="23" t="s">
        <v>205</v>
      </c>
      <c r="D331" s="23" t="s">
        <v>738</v>
      </c>
      <c r="E331" s="22" t="n">
        <v>43</v>
      </c>
      <c r="F331" s="22" t="n">
        <v>1</v>
      </c>
      <c r="G331" s="22" t="s">
        <v>59</v>
      </c>
      <c r="H331" s="23" t="s">
        <v>739</v>
      </c>
      <c r="I331" s="18" t="s">
        <v>62</v>
      </c>
      <c r="J331" s="18" t="s">
        <v>63</v>
      </c>
    </row>
    <row r="332" customFormat="false" ht="15" hidden="false" customHeight="false" outlineLevel="0" collapsed="false">
      <c r="A332" s="22" t="n">
        <v>328</v>
      </c>
      <c r="B332" s="23" t="s">
        <v>191</v>
      </c>
      <c r="C332" s="23" t="s">
        <v>58</v>
      </c>
      <c r="D332" s="23" t="s">
        <v>738</v>
      </c>
      <c r="E332" s="22" t="n">
        <v>43</v>
      </c>
      <c r="F332" s="22" t="n">
        <v>2</v>
      </c>
      <c r="G332" s="22" t="s">
        <v>66</v>
      </c>
      <c r="H332" s="23" t="s">
        <v>168</v>
      </c>
      <c r="I332" s="18" t="s">
        <v>62</v>
      </c>
      <c r="J332" s="18" t="s">
        <v>63</v>
      </c>
    </row>
    <row r="333" customFormat="false" ht="15" hidden="false" customHeight="false" outlineLevel="0" collapsed="false">
      <c r="A333" s="22" t="n">
        <v>329</v>
      </c>
      <c r="B333" s="23" t="s">
        <v>434</v>
      </c>
      <c r="C333" s="23" t="s">
        <v>205</v>
      </c>
      <c r="D333" s="23" t="s">
        <v>738</v>
      </c>
      <c r="E333" s="22" t="n">
        <v>43</v>
      </c>
      <c r="F333" s="22" t="n">
        <v>1</v>
      </c>
      <c r="G333" s="22" t="s">
        <v>115</v>
      </c>
      <c r="H333" s="23" t="s">
        <v>168</v>
      </c>
      <c r="I333" s="18" t="s">
        <v>62</v>
      </c>
      <c r="J333" s="18" t="s">
        <v>63</v>
      </c>
    </row>
    <row r="334" customFormat="false" ht="15" hidden="false" customHeight="false" outlineLevel="0" collapsed="false">
      <c r="A334" s="22" t="n">
        <v>330</v>
      </c>
      <c r="B334" s="23" t="s">
        <v>175</v>
      </c>
      <c r="C334" s="23" t="s">
        <v>58</v>
      </c>
      <c r="D334" s="23" t="s">
        <v>738</v>
      </c>
      <c r="E334" s="22" t="n">
        <v>43</v>
      </c>
      <c r="F334" s="22" t="n">
        <v>1</v>
      </c>
      <c r="G334" s="22" t="s">
        <v>66</v>
      </c>
      <c r="H334" s="23" t="s">
        <v>168</v>
      </c>
      <c r="I334" s="18" t="s">
        <v>62</v>
      </c>
      <c r="J334" s="18" t="s">
        <v>63</v>
      </c>
    </row>
    <row r="335" customFormat="false" ht="15" hidden="false" customHeight="false" outlineLevel="0" collapsed="false">
      <c r="A335" s="22" t="n">
        <v>331</v>
      </c>
      <c r="B335" s="23" t="s">
        <v>435</v>
      </c>
      <c r="C335" s="23" t="s">
        <v>205</v>
      </c>
      <c r="D335" s="23" t="s">
        <v>740</v>
      </c>
      <c r="E335" s="22" t="n">
        <v>42</v>
      </c>
      <c r="F335" s="22" t="n">
        <v>1</v>
      </c>
      <c r="G335" s="22" t="s">
        <v>59</v>
      </c>
      <c r="H335" s="23" t="s">
        <v>168</v>
      </c>
      <c r="I335" s="18" t="s">
        <v>62</v>
      </c>
      <c r="J335" s="18" t="s">
        <v>63</v>
      </c>
    </row>
    <row r="336" customFormat="false" ht="15" hidden="false" customHeight="false" outlineLevel="0" collapsed="false">
      <c r="A336" s="22" t="n">
        <v>332</v>
      </c>
      <c r="B336" s="23" t="s">
        <v>121</v>
      </c>
      <c r="C336" s="23" t="s">
        <v>58</v>
      </c>
      <c r="D336" s="23" t="s">
        <v>740</v>
      </c>
      <c r="E336" s="22" t="n">
        <v>42</v>
      </c>
      <c r="F336" s="22" t="n">
        <v>1</v>
      </c>
      <c r="G336" s="22" t="s">
        <v>66</v>
      </c>
      <c r="H336" s="23" t="s">
        <v>741</v>
      </c>
      <c r="I336" s="18" t="s">
        <v>62</v>
      </c>
      <c r="J336" s="18" t="s">
        <v>63</v>
      </c>
    </row>
    <row r="337" customFormat="false" ht="15" hidden="false" customHeight="false" outlineLevel="0" collapsed="false">
      <c r="A337" s="22" t="n">
        <v>333</v>
      </c>
      <c r="B337" s="23" t="s">
        <v>435</v>
      </c>
      <c r="C337" s="23" t="s">
        <v>205</v>
      </c>
      <c r="D337" s="23" t="s">
        <v>740</v>
      </c>
      <c r="E337" s="22" t="n">
        <v>42</v>
      </c>
      <c r="F337" s="22" t="n">
        <v>1</v>
      </c>
      <c r="G337" s="22" t="s">
        <v>66</v>
      </c>
      <c r="H337" s="23" t="s">
        <v>168</v>
      </c>
      <c r="I337" s="18" t="s">
        <v>62</v>
      </c>
      <c r="J337" s="18" t="s">
        <v>63</v>
      </c>
    </row>
    <row r="338" customFormat="false" ht="15" hidden="false" customHeight="false" outlineLevel="0" collapsed="false">
      <c r="A338" s="22" t="n">
        <v>334</v>
      </c>
      <c r="B338" s="23" t="s">
        <v>97</v>
      </c>
      <c r="C338" s="23" t="s">
        <v>58</v>
      </c>
      <c r="D338" s="23" t="s">
        <v>740</v>
      </c>
      <c r="E338" s="22" t="n">
        <v>42</v>
      </c>
      <c r="F338" s="22" t="n">
        <v>1</v>
      </c>
      <c r="G338" s="22" t="s">
        <v>66</v>
      </c>
      <c r="H338" s="23" t="s">
        <v>736</v>
      </c>
      <c r="I338" s="18" t="s">
        <v>62</v>
      </c>
      <c r="J338" s="18" t="s">
        <v>63</v>
      </c>
    </row>
    <row r="339" customFormat="false" ht="15" hidden="false" customHeight="false" outlineLevel="0" collapsed="false">
      <c r="A339" s="22" t="n">
        <v>335</v>
      </c>
      <c r="B339" s="23" t="s">
        <v>435</v>
      </c>
      <c r="C339" s="23" t="s">
        <v>205</v>
      </c>
      <c r="D339" s="23" t="s">
        <v>740</v>
      </c>
      <c r="E339" s="22" t="n">
        <v>42</v>
      </c>
      <c r="F339" s="22" t="n">
        <v>1</v>
      </c>
      <c r="G339" s="22" t="s">
        <v>59</v>
      </c>
      <c r="H339" s="23" t="s">
        <v>168</v>
      </c>
      <c r="I339" s="18" t="s">
        <v>62</v>
      </c>
      <c r="J339" s="18" t="s">
        <v>63</v>
      </c>
    </row>
    <row r="340" customFormat="false" ht="15" hidden="false" customHeight="false" outlineLevel="0" collapsed="false">
      <c r="A340" s="22" t="n">
        <v>336</v>
      </c>
      <c r="B340" s="23" t="s">
        <v>192</v>
      </c>
      <c r="C340" s="23" t="s">
        <v>58</v>
      </c>
      <c r="D340" s="23" t="s">
        <v>742</v>
      </c>
      <c r="E340" s="22" t="n">
        <v>40</v>
      </c>
      <c r="F340" s="22" t="n">
        <v>1</v>
      </c>
      <c r="G340" s="22" t="s">
        <v>59</v>
      </c>
      <c r="H340" s="23" t="s">
        <v>141</v>
      </c>
      <c r="I340" s="18" t="s">
        <v>62</v>
      </c>
      <c r="J340" s="18" t="s">
        <v>63</v>
      </c>
    </row>
    <row r="341" customFormat="false" ht="15" hidden="false" customHeight="false" outlineLevel="0" collapsed="false">
      <c r="A341" s="22" t="n">
        <v>337</v>
      </c>
      <c r="B341" s="23" t="s">
        <v>127</v>
      </c>
      <c r="C341" s="23" t="s">
        <v>58</v>
      </c>
      <c r="D341" s="23" t="s">
        <v>743</v>
      </c>
      <c r="E341" s="22" t="n">
        <v>39</v>
      </c>
      <c r="F341" s="22" t="n">
        <v>1</v>
      </c>
      <c r="G341" s="22" t="s">
        <v>66</v>
      </c>
      <c r="H341" s="23" t="s">
        <v>128</v>
      </c>
      <c r="I341" s="18" t="s">
        <v>62</v>
      </c>
      <c r="J341" s="18" t="s">
        <v>63</v>
      </c>
    </row>
    <row r="342" customFormat="false" ht="15" hidden="false" customHeight="false" outlineLevel="0" collapsed="false">
      <c r="A342" s="22" t="n">
        <v>338</v>
      </c>
      <c r="B342" s="23" t="s">
        <v>436</v>
      </c>
      <c r="C342" s="23" t="s">
        <v>205</v>
      </c>
      <c r="D342" s="23" t="s">
        <v>743</v>
      </c>
      <c r="E342" s="22" t="n">
        <v>39</v>
      </c>
      <c r="F342" s="22" t="n">
        <v>1</v>
      </c>
      <c r="G342" s="22" t="s">
        <v>59</v>
      </c>
      <c r="H342" s="23" t="s">
        <v>141</v>
      </c>
      <c r="I342" s="18" t="s">
        <v>62</v>
      </c>
      <c r="J342" s="18" t="s">
        <v>63</v>
      </c>
    </row>
    <row r="343" customFormat="false" ht="15" hidden="false" customHeight="false" outlineLevel="0" collapsed="false">
      <c r="A343" s="22" t="n">
        <v>339</v>
      </c>
      <c r="B343" s="23" t="s">
        <v>127</v>
      </c>
      <c r="C343" s="23" t="s">
        <v>58</v>
      </c>
      <c r="D343" s="23" t="s">
        <v>743</v>
      </c>
      <c r="E343" s="22" t="n">
        <v>39</v>
      </c>
      <c r="F343" s="22" t="n">
        <v>1</v>
      </c>
      <c r="G343" s="22" t="s">
        <v>66</v>
      </c>
      <c r="H343" s="23" t="s">
        <v>128</v>
      </c>
      <c r="I343" s="18" t="s">
        <v>62</v>
      </c>
      <c r="J343" s="18" t="s">
        <v>63</v>
      </c>
    </row>
    <row r="344" customFormat="false" ht="15" hidden="false" customHeight="false" outlineLevel="0" collapsed="false">
      <c r="A344" s="22" t="n">
        <v>340</v>
      </c>
      <c r="B344" s="23" t="s">
        <v>375</v>
      </c>
      <c r="C344" s="23" t="s">
        <v>205</v>
      </c>
      <c r="D344" s="23" t="s">
        <v>743</v>
      </c>
      <c r="E344" s="22" t="n">
        <v>39</v>
      </c>
      <c r="F344" s="22" t="n">
        <v>2</v>
      </c>
      <c r="G344" s="22" t="s">
        <v>59</v>
      </c>
      <c r="H344" s="23" t="s">
        <v>744</v>
      </c>
      <c r="I344" s="18" t="s">
        <v>62</v>
      </c>
      <c r="J344" s="18" t="s">
        <v>63</v>
      </c>
    </row>
    <row r="345" customFormat="false" ht="15" hidden="false" customHeight="false" outlineLevel="0" collapsed="false">
      <c r="A345" s="22" t="n">
        <v>341</v>
      </c>
      <c r="B345" s="23" t="s">
        <v>438</v>
      </c>
      <c r="C345" s="23" t="s">
        <v>233</v>
      </c>
      <c r="D345" s="23" t="s">
        <v>745</v>
      </c>
      <c r="E345" s="22" t="n">
        <v>38</v>
      </c>
      <c r="F345" s="22" t="n">
        <v>1</v>
      </c>
      <c r="G345" s="22" t="s">
        <v>59</v>
      </c>
      <c r="H345" s="23" t="s">
        <v>143</v>
      </c>
      <c r="I345" s="18" t="s">
        <v>62</v>
      </c>
      <c r="J345" s="18" t="s">
        <v>63</v>
      </c>
    </row>
    <row r="346" customFormat="false" ht="15" hidden="false" customHeight="false" outlineLevel="0" collapsed="false">
      <c r="A346" s="22" t="n">
        <v>342</v>
      </c>
      <c r="B346" s="23" t="s">
        <v>439</v>
      </c>
      <c r="C346" s="23" t="s">
        <v>205</v>
      </c>
      <c r="D346" s="23" t="s">
        <v>745</v>
      </c>
      <c r="E346" s="22" t="n">
        <v>38</v>
      </c>
      <c r="F346" s="22" t="n">
        <v>2</v>
      </c>
      <c r="G346" s="22" t="s">
        <v>59</v>
      </c>
      <c r="H346" s="23" t="s">
        <v>440</v>
      </c>
      <c r="I346" s="18" t="s">
        <v>62</v>
      </c>
      <c r="J346" s="18" t="s">
        <v>63</v>
      </c>
    </row>
    <row r="347" customFormat="false" ht="15" hidden="false" customHeight="false" outlineLevel="0" collapsed="false">
      <c r="A347" s="22" t="n">
        <v>343</v>
      </c>
      <c r="B347" s="23" t="s">
        <v>437</v>
      </c>
      <c r="C347" s="23" t="s">
        <v>205</v>
      </c>
      <c r="D347" s="23" t="s">
        <v>745</v>
      </c>
      <c r="E347" s="22" t="n">
        <v>38</v>
      </c>
      <c r="F347" s="22" t="n">
        <v>2</v>
      </c>
      <c r="G347" s="22" t="s">
        <v>59</v>
      </c>
      <c r="H347" s="23" t="s">
        <v>143</v>
      </c>
      <c r="I347" s="18" t="s">
        <v>62</v>
      </c>
      <c r="J347" s="18" t="s">
        <v>63</v>
      </c>
    </row>
    <row r="348" customFormat="false" ht="15" hidden="false" customHeight="false" outlineLevel="0" collapsed="false">
      <c r="A348" s="22" t="n">
        <v>344</v>
      </c>
      <c r="B348" s="23" t="s">
        <v>437</v>
      </c>
      <c r="C348" s="23" t="s">
        <v>205</v>
      </c>
      <c r="D348" s="23" t="s">
        <v>745</v>
      </c>
      <c r="E348" s="22" t="n">
        <v>38</v>
      </c>
      <c r="F348" s="22" t="n">
        <v>1</v>
      </c>
      <c r="G348" s="22" t="s">
        <v>59</v>
      </c>
      <c r="H348" s="23" t="s">
        <v>143</v>
      </c>
      <c r="I348" s="18" t="s">
        <v>62</v>
      </c>
      <c r="J348" s="18" t="s">
        <v>63</v>
      </c>
    </row>
    <row r="349" customFormat="false" ht="15" hidden="false" customHeight="false" outlineLevel="0" collapsed="false">
      <c r="A349" s="22" t="n">
        <v>345</v>
      </c>
      <c r="B349" s="23" t="s">
        <v>441</v>
      </c>
      <c r="C349" s="23" t="s">
        <v>205</v>
      </c>
      <c r="D349" s="23" t="s">
        <v>745</v>
      </c>
      <c r="E349" s="22" t="n">
        <v>38</v>
      </c>
      <c r="F349" s="22" t="n">
        <v>1</v>
      </c>
      <c r="G349" s="22" t="s">
        <v>59</v>
      </c>
      <c r="H349" s="23" t="s">
        <v>168</v>
      </c>
      <c r="I349" s="18" t="s">
        <v>62</v>
      </c>
      <c r="J349" s="18" t="s">
        <v>63</v>
      </c>
    </row>
    <row r="350" customFormat="false" ht="15" hidden="false" customHeight="false" outlineLevel="0" collapsed="false">
      <c r="A350" s="22" t="n">
        <v>346</v>
      </c>
      <c r="B350" s="23" t="s">
        <v>136</v>
      </c>
      <c r="C350" s="23" t="s">
        <v>58</v>
      </c>
      <c r="D350" s="23" t="s">
        <v>745</v>
      </c>
      <c r="E350" s="22" t="n">
        <v>38</v>
      </c>
      <c r="F350" s="22" t="n">
        <v>1</v>
      </c>
      <c r="G350" s="22" t="s">
        <v>115</v>
      </c>
      <c r="H350" s="23" t="s">
        <v>138</v>
      </c>
      <c r="I350" s="18" t="s">
        <v>62</v>
      </c>
      <c r="J350" s="18" t="s">
        <v>63</v>
      </c>
    </row>
    <row r="351" customFormat="false" ht="15" hidden="false" customHeight="false" outlineLevel="0" collapsed="false">
      <c r="A351" s="22" t="n">
        <v>347</v>
      </c>
      <c r="B351" s="23" t="s">
        <v>442</v>
      </c>
      <c r="C351" s="23" t="s">
        <v>205</v>
      </c>
      <c r="D351" s="23" t="s">
        <v>746</v>
      </c>
      <c r="E351" s="22" t="n">
        <v>37</v>
      </c>
      <c r="F351" s="22" t="n">
        <v>2</v>
      </c>
      <c r="G351" s="22" t="s">
        <v>59</v>
      </c>
      <c r="H351" s="23" t="s">
        <v>443</v>
      </c>
      <c r="I351" s="18" t="s">
        <v>62</v>
      </c>
      <c r="J351" s="18" t="s">
        <v>63</v>
      </c>
    </row>
    <row r="352" customFormat="false" ht="15" hidden="false" customHeight="false" outlineLevel="0" collapsed="false">
      <c r="A352" s="22" t="n">
        <v>348</v>
      </c>
      <c r="B352" s="23" t="s">
        <v>444</v>
      </c>
      <c r="C352" s="23" t="s">
        <v>205</v>
      </c>
      <c r="D352" s="23" t="s">
        <v>747</v>
      </c>
      <c r="E352" s="22" t="n">
        <v>36</v>
      </c>
      <c r="F352" s="22" t="n">
        <v>1</v>
      </c>
      <c r="G352" s="22" t="s">
        <v>66</v>
      </c>
      <c r="H352" s="23" t="s">
        <v>717</v>
      </c>
      <c r="I352" s="18" t="s">
        <v>62</v>
      </c>
      <c r="J352" s="18" t="s">
        <v>63</v>
      </c>
    </row>
    <row r="353" customFormat="false" ht="15" hidden="false" customHeight="false" outlineLevel="0" collapsed="false">
      <c r="A353" s="22" t="n">
        <v>349</v>
      </c>
      <c r="B353" s="23" t="s">
        <v>444</v>
      </c>
      <c r="C353" s="23" t="s">
        <v>205</v>
      </c>
      <c r="D353" s="23" t="s">
        <v>747</v>
      </c>
      <c r="E353" s="22" t="n">
        <v>36</v>
      </c>
      <c r="F353" s="22" t="n">
        <v>1</v>
      </c>
      <c r="G353" s="22" t="s">
        <v>66</v>
      </c>
      <c r="H353" s="23" t="s">
        <v>717</v>
      </c>
      <c r="I353" s="18" t="s">
        <v>62</v>
      </c>
      <c r="J353" s="18" t="s">
        <v>63</v>
      </c>
    </row>
    <row r="354" customFormat="false" ht="15" hidden="false" customHeight="false" outlineLevel="0" collapsed="false">
      <c r="A354" s="22" t="n">
        <v>350</v>
      </c>
      <c r="B354" s="23" t="s">
        <v>446</v>
      </c>
      <c r="C354" s="23" t="s">
        <v>205</v>
      </c>
      <c r="D354" s="23" t="s">
        <v>748</v>
      </c>
      <c r="E354" s="22" t="n">
        <v>35</v>
      </c>
      <c r="F354" s="22" t="n">
        <v>1</v>
      </c>
      <c r="G354" s="22" t="s">
        <v>115</v>
      </c>
      <c r="H354" s="23" t="s">
        <v>211</v>
      </c>
      <c r="I354" s="18" t="s">
        <v>62</v>
      </c>
      <c r="J354" s="22" t="s">
        <v>211</v>
      </c>
    </row>
    <row r="355" customFormat="false" ht="15" hidden="false" customHeight="false" outlineLevel="0" collapsed="false">
      <c r="A355" s="22" t="n">
        <v>351</v>
      </c>
      <c r="B355" s="23" t="s">
        <v>447</v>
      </c>
      <c r="C355" s="23" t="s">
        <v>205</v>
      </c>
      <c r="D355" s="23" t="s">
        <v>748</v>
      </c>
      <c r="E355" s="22" t="n">
        <v>35</v>
      </c>
      <c r="F355" s="22" t="n">
        <v>1</v>
      </c>
      <c r="G355" s="22" t="s">
        <v>66</v>
      </c>
      <c r="H355" s="23" t="s">
        <v>141</v>
      </c>
      <c r="I355" s="18" t="s">
        <v>62</v>
      </c>
      <c r="J355" s="18" t="s">
        <v>63</v>
      </c>
    </row>
    <row r="356" customFormat="false" ht="15" hidden="false" customHeight="false" outlineLevel="0" collapsed="false">
      <c r="A356" s="22" t="n">
        <v>352</v>
      </c>
      <c r="B356" s="23" t="s">
        <v>448</v>
      </c>
      <c r="C356" s="23" t="s">
        <v>233</v>
      </c>
      <c r="D356" s="23" t="s">
        <v>749</v>
      </c>
      <c r="E356" s="22" t="n">
        <v>32</v>
      </c>
      <c r="F356" s="22" t="n">
        <v>1</v>
      </c>
      <c r="G356" s="22" t="s">
        <v>59</v>
      </c>
      <c r="H356" s="23" t="s">
        <v>449</v>
      </c>
      <c r="I356" s="18" t="s">
        <v>62</v>
      </c>
      <c r="J356" s="18" t="s">
        <v>63</v>
      </c>
    </row>
    <row r="357" customFormat="false" ht="15" hidden="false" customHeight="false" outlineLevel="0" collapsed="false">
      <c r="A357" s="22" t="n">
        <v>353</v>
      </c>
      <c r="B357" s="23" t="s">
        <v>450</v>
      </c>
      <c r="C357" s="23" t="s">
        <v>205</v>
      </c>
      <c r="D357" s="23" t="s">
        <v>749</v>
      </c>
      <c r="E357" s="22" t="n">
        <v>32</v>
      </c>
      <c r="F357" s="22" t="n">
        <v>1</v>
      </c>
      <c r="G357" s="22" t="s">
        <v>66</v>
      </c>
      <c r="H357" s="23" t="s">
        <v>141</v>
      </c>
      <c r="I357" s="18" t="s">
        <v>62</v>
      </c>
      <c r="J357" s="18" t="s">
        <v>63</v>
      </c>
    </row>
    <row r="358" customFormat="false" ht="15" hidden="false" customHeight="false" outlineLevel="0" collapsed="false">
      <c r="A358" s="22" t="n">
        <v>354</v>
      </c>
      <c r="B358" s="23" t="s">
        <v>451</v>
      </c>
      <c r="C358" s="23" t="s">
        <v>205</v>
      </c>
      <c r="D358" s="23" t="s">
        <v>749</v>
      </c>
      <c r="E358" s="22" t="n">
        <v>32</v>
      </c>
      <c r="F358" s="22" t="n">
        <v>2</v>
      </c>
      <c r="G358" s="22" t="s">
        <v>59</v>
      </c>
      <c r="H358" s="23" t="s">
        <v>143</v>
      </c>
      <c r="I358" s="18" t="s">
        <v>62</v>
      </c>
      <c r="J358" s="18" t="s">
        <v>63</v>
      </c>
    </row>
    <row r="359" customFormat="false" ht="15" hidden="false" customHeight="false" outlineLevel="0" collapsed="false">
      <c r="A359" s="22" t="n">
        <v>355</v>
      </c>
      <c r="B359" s="23" t="s">
        <v>454</v>
      </c>
      <c r="C359" s="23" t="s">
        <v>205</v>
      </c>
      <c r="D359" s="23" t="s">
        <v>750</v>
      </c>
      <c r="E359" s="22" t="n">
        <v>31</v>
      </c>
      <c r="F359" s="22" t="n">
        <v>1</v>
      </c>
      <c r="G359" s="22" t="s">
        <v>66</v>
      </c>
      <c r="H359" s="23" t="s">
        <v>455</v>
      </c>
      <c r="I359" s="18" t="s">
        <v>62</v>
      </c>
      <c r="J359" s="18" t="s">
        <v>63</v>
      </c>
    </row>
    <row r="360" customFormat="false" ht="15" hidden="false" customHeight="false" outlineLevel="0" collapsed="false">
      <c r="A360" s="22" t="n">
        <v>356</v>
      </c>
      <c r="B360" s="23" t="s">
        <v>159</v>
      </c>
      <c r="C360" s="23" t="s">
        <v>58</v>
      </c>
      <c r="D360" s="23" t="s">
        <v>750</v>
      </c>
      <c r="E360" s="22" t="n">
        <v>31</v>
      </c>
      <c r="F360" s="22" t="n">
        <v>1</v>
      </c>
      <c r="G360" s="22" t="s">
        <v>66</v>
      </c>
      <c r="H360" s="23" t="s">
        <v>160</v>
      </c>
      <c r="I360" s="18" t="s">
        <v>62</v>
      </c>
      <c r="J360" s="18" t="s">
        <v>63</v>
      </c>
    </row>
    <row r="361" customFormat="false" ht="15" hidden="false" customHeight="false" outlineLevel="0" collapsed="false">
      <c r="A361" s="22" t="n">
        <v>357</v>
      </c>
      <c r="B361" s="23" t="s">
        <v>452</v>
      </c>
      <c r="C361" s="23" t="s">
        <v>233</v>
      </c>
      <c r="D361" s="23" t="s">
        <v>750</v>
      </c>
      <c r="E361" s="22" t="n">
        <v>31</v>
      </c>
      <c r="F361" s="22" t="n">
        <v>1</v>
      </c>
      <c r="G361" s="22" t="s">
        <v>59</v>
      </c>
      <c r="H361" s="23" t="s">
        <v>751</v>
      </c>
      <c r="I361" s="18" t="s">
        <v>62</v>
      </c>
      <c r="J361" s="18" t="s">
        <v>63</v>
      </c>
    </row>
    <row r="362" customFormat="false" ht="15" hidden="false" customHeight="false" outlineLevel="0" collapsed="false">
      <c r="A362" s="22" t="n">
        <v>358</v>
      </c>
      <c r="B362" s="23" t="s">
        <v>456</v>
      </c>
      <c r="C362" s="23" t="s">
        <v>205</v>
      </c>
      <c r="D362" s="23" t="s">
        <v>750</v>
      </c>
      <c r="E362" s="22" t="n">
        <v>31</v>
      </c>
      <c r="F362" s="22" t="n">
        <v>1</v>
      </c>
      <c r="G362" s="22" t="s">
        <v>59</v>
      </c>
      <c r="H362" s="23" t="s">
        <v>168</v>
      </c>
      <c r="I362" s="18" t="s">
        <v>62</v>
      </c>
      <c r="J362" s="18" t="s">
        <v>63</v>
      </c>
    </row>
    <row r="363" customFormat="false" ht="15" hidden="false" customHeight="false" outlineLevel="0" collapsed="false">
      <c r="A363" s="22" t="n">
        <v>359</v>
      </c>
      <c r="B363" s="23" t="s">
        <v>351</v>
      </c>
      <c r="C363" s="23" t="s">
        <v>205</v>
      </c>
      <c r="D363" s="23" t="s">
        <v>750</v>
      </c>
      <c r="E363" s="22" t="n">
        <v>31</v>
      </c>
      <c r="F363" s="22" t="n">
        <v>1</v>
      </c>
      <c r="G363" s="22" t="s">
        <v>66</v>
      </c>
      <c r="H363" s="23" t="s">
        <v>168</v>
      </c>
      <c r="I363" s="18" t="s">
        <v>62</v>
      </c>
      <c r="J363" s="18" t="s">
        <v>63</v>
      </c>
    </row>
    <row r="364" customFormat="false" ht="15" hidden="false" customHeight="false" outlineLevel="0" collapsed="false">
      <c r="A364" s="22" t="n">
        <v>360</v>
      </c>
      <c r="B364" s="23" t="s">
        <v>436</v>
      </c>
      <c r="C364" s="23" t="s">
        <v>205</v>
      </c>
      <c r="D364" s="23" t="s">
        <v>750</v>
      </c>
      <c r="E364" s="22" t="n">
        <v>31</v>
      </c>
      <c r="F364" s="22" t="n">
        <v>1</v>
      </c>
      <c r="G364" s="22" t="s">
        <v>66</v>
      </c>
      <c r="H364" s="23" t="s">
        <v>141</v>
      </c>
      <c r="I364" s="18" t="s">
        <v>62</v>
      </c>
      <c r="J364" s="18" t="s">
        <v>63</v>
      </c>
    </row>
    <row r="365" customFormat="false" ht="15" hidden="false" customHeight="false" outlineLevel="0" collapsed="false">
      <c r="A365" s="22" t="n">
        <v>361</v>
      </c>
      <c r="B365" s="23" t="s">
        <v>457</v>
      </c>
      <c r="C365" s="23" t="s">
        <v>205</v>
      </c>
      <c r="D365" s="23" t="s">
        <v>752</v>
      </c>
      <c r="E365" s="22" t="n">
        <v>30</v>
      </c>
      <c r="F365" s="22" t="n">
        <v>4</v>
      </c>
      <c r="G365" s="22" t="s">
        <v>66</v>
      </c>
      <c r="H365" s="23" t="s">
        <v>168</v>
      </c>
      <c r="I365" s="18" t="s">
        <v>62</v>
      </c>
      <c r="J365" s="18" t="s">
        <v>63</v>
      </c>
    </row>
    <row r="366" customFormat="false" ht="15" hidden="false" customHeight="false" outlineLevel="0" collapsed="false">
      <c r="A366" s="22" t="n">
        <v>362</v>
      </c>
      <c r="B366" s="23" t="s">
        <v>325</v>
      </c>
      <c r="C366" s="23" t="s">
        <v>233</v>
      </c>
      <c r="D366" s="23" t="s">
        <v>753</v>
      </c>
      <c r="E366" s="22" t="n">
        <v>29</v>
      </c>
      <c r="F366" s="22" t="n">
        <v>1</v>
      </c>
      <c r="G366" s="22" t="s">
        <v>59</v>
      </c>
      <c r="H366" s="23" t="s">
        <v>754</v>
      </c>
      <c r="I366" s="18" t="s">
        <v>62</v>
      </c>
      <c r="J366" s="18" t="s">
        <v>63</v>
      </c>
    </row>
    <row r="367" customFormat="false" ht="15" hidden="false" customHeight="false" outlineLevel="0" collapsed="false">
      <c r="A367" s="22" t="n">
        <v>363</v>
      </c>
      <c r="B367" s="23" t="s">
        <v>458</v>
      </c>
      <c r="C367" s="23" t="s">
        <v>205</v>
      </c>
      <c r="D367" s="23" t="s">
        <v>753</v>
      </c>
      <c r="E367" s="22" t="n">
        <v>29</v>
      </c>
      <c r="F367" s="22" t="n">
        <v>1</v>
      </c>
      <c r="G367" s="22" t="s">
        <v>66</v>
      </c>
      <c r="H367" s="23" t="s">
        <v>141</v>
      </c>
      <c r="I367" s="18" t="s">
        <v>62</v>
      </c>
      <c r="J367" s="18" t="s">
        <v>63</v>
      </c>
    </row>
    <row r="368" customFormat="false" ht="15" hidden="false" customHeight="false" outlineLevel="0" collapsed="false">
      <c r="A368" s="22" t="n">
        <v>364</v>
      </c>
      <c r="B368" s="23" t="s">
        <v>180</v>
      </c>
      <c r="C368" s="23" t="s">
        <v>58</v>
      </c>
      <c r="D368" s="23" t="s">
        <v>753</v>
      </c>
      <c r="E368" s="22" t="n">
        <v>29</v>
      </c>
      <c r="F368" s="22" t="n">
        <v>1</v>
      </c>
      <c r="G368" s="22" t="s">
        <v>66</v>
      </c>
      <c r="H368" s="23" t="s">
        <v>181</v>
      </c>
      <c r="I368" s="18" t="s">
        <v>62</v>
      </c>
      <c r="J368" s="18" t="s">
        <v>63</v>
      </c>
    </row>
    <row r="369" customFormat="false" ht="15" hidden="false" customHeight="false" outlineLevel="0" collapsed="false">
      <c r="A369" s="22" t="n">
        <v>365</v>
      </c>
      <c r="B369" s="23" t="s">
        <v>196</v>
      </c>
      <c r="C369" s="23" t="s">
        <v>58</v>
      </c>
      <c r="D369" s="23" t="s">
        <v>755</v>
      </c>
      <c r="E369" s="22" t="n">
        <v>28</v>
      </c>
      <c r="F369" s="22" t="n">
        <v>1</v>
      </c>
      <c r="G369" s="22" t="s">
        <v>66</v>
      </c>
      <c r="H369" s="23" t="s">
        <v>168</v>
      </c>
      <c r="I369" s="18" t="s">
        <v>62</v>
      </c>
      <c r="J369" s="18" t="s">
        <v>63</v>
      </c>
    </row>
    <row r="370" customFormat="false" ht="15" hidden="false" customHeight="false" outlineLevel="0" collapsed="false">
      <c r="A370" s="22" t="n">
        <v>366</v>
      </c>
      <c r="B370" s="23" t="s">
        <v>461</v>
      </c>
      <c r="C370" s="23" t="s">
        <v>233</v>
      </c>
      <c r="D370" s="23" t="s">
        <v>755</v>
      </c>
      <c r="E370" s="22" t="n">
        <v>28</v>
      </c>
      <c r="F370" s="22" t="n">
        <v>1</v>
      </c>
      <c r="G370" s="22" t="s">
        <v>59</v>
      </c>
      <c r="H370" s="23" t="s">
        <v>143</v>
      </c>
      <c r="I370" s="18" t="s">
        <v>62</v>
      </c>
      <c r="J370" s="18" t="s">
        <v>63</v>
      </c>
    </row>
    <row r="371" customFormat="false" ht="15" hidden="false" customHeight="false" outlineLevel="0" collapsed="false">
      <c r="A371" s="22" t="n">
        <v>367</v>
      </c>
      <c r="B371" s="23" t="s">
        <v>459</v>
      </c>
      <c r="C371" s="23" t="s">
        <v>205</v>
      </c>
      <c r="D371" s="23" t="s">
        <v>755</v>
      </c>
      <c r="E371" s="22" t="n">
        <v>28</v>
      </c>
      <c r="F371" s="22" t="n">
        <v>1</v>
      </c>
      <c r="G371" s="22" t="s">
        <v>115</v>
      </c>
      <c r="H371" s="23" t="s">
        <v>460</v>
      </c>
      <c r="I371" s="18" t="s">
        <v>62</v>
      </c>
      <c r="J371" s="18" t="s">
        <v>63</v>
      </c>
    </row>
    <row r="372" customFormat="false" ht="15" hidden="false" customHeight="false" outlineLevel="0" collapsed="false">
      <c r="A372" s="22" t="n">
        <v>368</v>
      </c>
      <c r="B372" s="23" t="s">
        <v>121</v>
      </c>
      <c r="C372" s="23" t="s">
        <v>58</v>
      </c>
      <c r="D372" s="23" t="s">
        <v>755</v>
      </c>
      <c r="E372" s="22" t="n">
        <v>28</v>
      </c>
      <c r="F372" s="22" t="n">
        <v>1</v>
      </c>
      <c r="G372" s="22" t="s">
        <v>66</v>
      </c>
      <c r="H372" s="23" t="s">
        <v>741</v>
      </c>
      <c r="I372" s="18" t="s">
        <v>62</v>
      </c>
      <c r="J372" s="18" t="s">
        <v>63</v>
      </c>
    </row>
    <row r="373" customFormat="false" ht="15" hidden="false" customHeight="false" outlineLevel="0" collapsed="false">
      <c r="A373" s="22" t="n">
        <v>369</v>
      </c>
      <c r="B373" s="23" t="s">
        <v>462</v>
      </c>
      <c r="C373" s="23" t="s">
        <v>205</v>
      </c>
      <c r="D373" s="23" t="s">
        <v>755</v>
      </c>
      <c r="E373" s="22" t="n">
        <v>28</v>
      </c>
      <c r="F373" s="22" t="n">
        <v>1</v>
      </c>
      <c r="G373" s="22" t="s">
        <v>59</v>
      </c>
      <c r="H373" s="23" t="s">
        <v>211</v>
      </c>
      <c r="I373" s="18" t="s">
        <v>62</v>
      </c>
      <c r="J373" s="22" t="s">
        <v>211</v>
      </c>
    </row>
    <row r="374" customFormat="false" ht="15" hidden="false" customHeight="false" outlineLevel="0" collapsed="false">
      <c r="A374" s="22" t="n">
        <v>370</v>
      </c>
      <c r="B374" s="23" t="s">
        <v>176</v>
      </c>
      <c r="C374" s="23" t="s">
        <v>58</v>
      </c>
      <c r="D374" s="23" t="s">
        <v>755</v>
      </c>
      <c r="E374" s="22" t="n">
        <v>28</v>
      </c>
      <c r="F374" s="22" t="n">
        <v>1</v>
      </c>
      <c r="G374" s="22" t="s">
        <v>59</v>
      </c>
      <c r="H374" s="23" t="s">
        <v>177</v>
      </c>
      <c r="I374" s="18" t="s">
        <v>62</v>
      </c>
      <c r="J374" s="18" t="s">
        <v>63</v>
      </c>
    </row>
    <row r="375" customFormat="false" ht="15" hidden="false" customHeight="false" outlineLevel="0" collapsed="false">
      <c r="A375" s="22" t="n">
        <v>371</v>
      </c>
      <c r="B375" s="23" t="s">
        <v>459</v>
      </c>
      <c r="C375" s="23" t="s">
        <v>205</v>
      </c>
      <c r="D375" s="23" t="s">
        <v>755</v>
      </c>
      <c r="E375" s="22" t="n">
        <v>28</v>
      </c>
      <c r="F375" s="22" t="n">
        <v>1</v>
      </c>
      <c r="G375" s="22" t="s">
        <v>115</v>
      </c>
      <c r="H375" s="23" t="s">
        <v>460</v>
      </c>
      <c r="I375" s="18" t="s">
        <v>62</v>
      </c>
      <c r="J375" s="18" t="s">
        <v>63</v>
      </c>
    </row>
    <row r="376" customFormat="false" ht="15" hidden="false" customHeight="false" outlineLevel="0" collapsed="false">
      <c r="A376" s="22" t="n">
        <v>372</v>
      </c>
      <c r="B376" s="23" t="s">
        <v>198</v>
      </c>
      <c r="C376" s="23" t="s">
        <v>58</v>
      </c>
      <c r="D376" s="23" t="s">
        <v>755</v>
      </c>
      <c r="E376" s="22" t="n">
        <v>28</v>
      </c>
      <c r="F376" s="22" t="n">
        <v>1</v>
      </c>
      <c r="G376" s="22" t="s">
        <v>115</v>
      </c>
      <c r="H376" s="23" t="s">
        <v>199</v>
      </c>
      <c r="I376" s="18" t="s">
        <v>62</v>
      </c>
      <c r="J376" s="18" t="s">
        <v>63</v>
      </c>
    </row>
    <row r="377" customFormat="false" ht="15" hidden="false" customHeight="false" outlineLevel="0" collapsed="false">
      <c r="A377" s="22" t="n">
        <v>373</v>
      </c>
      <c r="B377" s="23" t="s">
        <v>178</v>
      </c>
      <c r="C377" s="23" t="s">
        <v>58</v>
      </c>
      <c r="D377" s="23" t="s">
        <v>756</v>
      </c>
      <c r="E377" s="22" t="n">
        <v>27</v>
      </c>
      <c r="F377" s="22" t="n">
        <v>1</v>
      </c>
      <c r="G377" s="22" t="s">
        <v>66</v>
      </c>
      <c r="H377" s="23" t="s">
        <v>179</v>
      </c>
      <c r="I377" s="18" t="s">
        <v>62</v>
      </c>
      <c r="J377" s="18" t="s">
        <v>63</v>
      </c>
    </row>
    <row r="378" customFormat="false" ht="15" hidden="false" customHeight="false" outlineLevel="0" collapsed="false">
      <c r="A378" s="22" t="n">
        <v>374</v>
      </c>
      <c r="B378" s="23" t="s">
        <v>173</v>
      </c>
      <c r="C378" s="23" t="s">
        <v>58</v>
      </c>
      <c r="D378" s="23" t="s">
        <v>757</v>
      </c>
      <c r="E378" s="22" t="n">
        <v>26</v>
      </c>
      <c r="F378" s="22" t="n">
        <v>3</v>
      </c>
      <c r="G378" s="22" t="s">
        <v>66</v>
      </c>
      <c r="H378" s="23" t="s">
        <v>174</v>
      </c>
      <c r="I378" s="18" t="s">
        <v>62</v>
      </c>
      <c r="J378" s="18" t="s">
        <v>63</v>
      </c>
    </row>
    <row r="379" customFormat="false" ht="15" hidden="false" customHeight="false" outlineLevel="0" collapsed="false">
      <c r="A379" s="22" t="n">
        <v>375</v>
      </c>
      <c r="B379" s="23" t="s">
        <v>467</v>
      </c>
      <c r="C379" s="23" t="s">
        <v>205</v>
      </c>
      <c r="D379" s="23" t="s">
        <v>758</v>
      </c>
      <c r="E379" s="22" t="n">
        <v>25</v>
      </c>
      <c r="F379" s="22" t="n">
        <v>1</v>
      </c>
      <c r="G379" s="22" t="s">
        <v>59</v>
      </c>
      <c r="H379" s="23" t="s">
        <v>468</v>
      </c>
      <c r="I379" s="18" t="s">
        <v>62</v>
      </c>
      <c r="J379" s="18" t="s">
        <v>63</v>
      </c>
    </row>
    <row r="380" customFormat="false" ht="15" hidden="false" customHeight="false" outlineLevel="0" collapsed="false">
      <c r="A380" s="22" t="n">
        <v>376</v>
      </c>
      <c r="B380" s="23" t="s">
        <v>471</v>
      </c>
      <c r="C380" s="23" t="s">
        <v>205</v>
      </c>
      <c r="D380" s="23" t="s">
        <v>758</v>
      </c>
      <c r="E380" s="22" t="n">
        <v>25</v>
      </c>
      <c r="F380" s="22" t="n">
        <v>1</v>
      </c>
      <c r="G380" s="22" t="s">
        <v>115</v>
      </c>
      <c r="H380" s="23" t="s">
        <v>472</v>
      </c>
      <c r="I380" s="18" t="s">
        <v>62</v>
      </c>
      <c r="J380" s="18" t="s">
        <v>63</v>
      </c>
    </row>
    <row r="381" customFormat="false" ht="15" hidden="false" customHeight="false" outlineLevel="0" collapsed="false">
      <c r="A381" s="22" t="n">
        <v>377</v>
      </c>
      <c r="B381" s="23" t="s">
        <v>465</v>
      </c>
      <c r="C381" s="23" t="s">
        <v>205</v>
      </c>
      <c r="D381" s="23" t="s">
        <v>758</v>
      </c>
      <c r="E381" s="22" t="n">
        <v>25</v>
      </c>
      <c r="F381" s="22" t="n">
        <v>1</v>
      </c>
      <c r="G381" s="22" t="s">
        <v>59</v>
      </c>
      <c r="H381" s="23" t="s">
        <v>466</v>
      </c>
      <c r="I381" s="18" t="s">
        <v>62</v>
      </c>
      <c r="J381" s="18" t="s">
        <v>63</v>
      </c>
    </row>
    <row r="382" customFormat="false" ht="15" hidden="false" customHeight="false" outlineLevel="0" collapsed="false">
      <c r="A382" s="22" t="n">
        <v>378</v>
      </c>
      <c r="B382" s="23" t="s">
        <v>469</v>
      </c>
      <c r="C382" s="23" t="s">
        <v>205</v>
      </c>
      <c r="D382" s="23" t="s">
        <v>758</v>
      </c>
      <c r="E382" s="22" t="n">
        <v>25</v>
      </c>
      <c r="F382" s="22" t="n">
        <v>1</v>
      </c>
      <c r="G382" s="22" t="s">
        <v>59</v>
      </c>
      <c r="H382" s="23" t="s">
        <v>470</v>
      </c>
      <c r="I382" s="18" t="s">
        <v>62</v>
      </c>
      <c r="J382" s="18" t="s">
        <v>63</v>
      </c>
    </row>
    <row r="383" customFormat="false" ht="15" hidden="false" customHeight="false" outlineLevel="0" collapsed="false">
      <c r="A383" s="22" t="n">
        <v>379</v>
      </c>
      <c r="B383" s="23" t="s">
        <v>463</v>
      </c>
      <c r="C383" s="23" t="s">
        <v>205</v>
      </c>
      <c r="D383" s="23" t="s">
        <v>758</v>
      </c>
      <c r="E383" s="22" t="n">
        <v>25</v>
      </c>
      <c r="F383" s="22" t="n">
        <v>1</v>
      </c>
      <c r="G383" s="22" t="s">
        <v>59</v>
      </c>
      <c r="H383" s="23" t="s">
        <v>464</v>
      </c>
      <c r="I383" s="18" t="s">
        <v>62</v>
      </c>
      <c r="J383" s="18" t="s">
        <v>63</v>
      </c>
    </row>
    <row r="384" customFormat="false" ht="15" hidden="false" customHeight="false" outlineLevel="0" collapsed="false">
      <c r="A384" s="22" t="n">
        <v>380</v>
      </c>
      <c r="B384" s="23" t="s">
        <v>469</v>
      </c>
      <c r="C384" s="23" t="s">
        <v>205</v>
      </c>
      <c r="D384" s="23" t="s">
        <v>758</v>
      </c>
      <c r="E384" s="22" t="n">
        <v>25</v>
      </c>
      <c r="F384" s="22" t="n">
        <v>1</v>
      </c>
      <c r="G384" s="22" t="s">
        <v>59</v>
      </c>
      <c r="H384" s="23" t="s">
        <v>470</v>
      </c>
      <c r="I384" s="18" t="s">
        <v>62</v>
      </c>
      <c r="J384" s="18" t="s">
        <v>63</v>
      </c>
    </row>
    <row r="385" customFormat="false" ht="15" hidden="false" customHeight="false" outlineLevel="0" collapsed="false">
      <c r="A385" s="22" t="n">
        <v>381</v>
      </c>
      <c r="B385" s="23" t="s">
        <v>473</v>
      </c>
      <c r="C385" s="23" t="s">
        <v>205</v>
      </c>
      <c r="D385" s="23" t="s">
        <v>758</v>
      </c>
      <c r="E385" s="22" t="n">
        <v>25</v>
      </c>
      <c r="F385" s="22" t="n">
        <v>1</v>
      </c>
      <c r="G385" s="22" t="s">
        <v>66</v>
      </c>
      <c r="H385" s="23" t="s">
        <v>168</v>
      </c>
      <c r="I385" s="18" t="s">
        <v>62</v>
      </c>
      <c r="J385" s="18" t="s">
        <v>63</v>
      </c>
    </row>
    <row r="386" customFormat="false" ht="15" hidden="false" customHeight="false" outlineLevel="0" collapsed="false">
      <c r="A386" s="22" t="n">
        <v>382</v>
      </c>
      <c r="B386" s="23" t="s">
        <v>474</v>
      </c>
      <c r="C386" s="23" t="s">
        <v>233</v>
      </c>
      <c r="D386" s="23" t="s">
        <v>758</v>
      </c>
      <c r="E386" s="22" t="n">
        <v>25</v>
      </c>
      <c r="F386" s="22" t="n">
        <v>1</v>
      </c>
      <c r="G386" s="22" t="s">
        <v>66</v>
      </c>
      <c r="H386" s="23" t="s">
        <v>475</v>
      </c>
      <c r="I386" s="18" t="s">
        <v>62</v>
      </c>
      <c r="J386" s="18" t="s">
        <v>63</v>
      </c>
    </row>
    <row r="387" customFormat="false" ht="15" hidden="false" customHeight="false" outlineLevel="0" collapsed="false">
      <c r="A387" s="22" t="n">
        <v>383</v>
      </c>
      <c r="B387" s="23" t="s">
        <v>163</v>
      </c>
      <c r="C387" s="23" t="s">
        <v>58</v>
      </c>
      <c r="D387" s="23" t="s">
        <v>758</v>
      </c>
      <c r="E387" s="22" t="n">
        <v>25</v>
      </c>
      <c r="F387" s="22" t="n">
        <v>1</v>
      </c>
      <c r="G387" s="22" t="s">
        <v>59</v>
      </c>
      <c r="H387" s="23" t="s">
        <v>165</v>
      </c>
      <c r="I387" s="18" t="s">
        <v>62</v>
      </c>
      <c r="J387" s="18" t="s">
        <v>63</v>
      </c>
    </row>
    <row r="388" customFormat="false" ht="15" hidden="false" customHeight="false" outlineLevel="0" collapsed="false">
      <c r="A388" s="22" t="n">
        <v>384</v>
      </c>
      <c r="B388" s="23" t="s">
        <v>467</v>
      </c>
      <c r="C388" s="23" t="s">
        <v>205</v>
      </c>
      <c r="D388" s="23" t="s">
        <v>759</v>
      </c>
      <c r="E388" s="22" t="n">
        <v>24</v>
      </c>
      <c r="F388" s="22" t="n">
        <v>1</v>
      </c>
      <c r="G388" s="22" t="s">
        <v>59</v>
      </c>
      <c r="H388" s="23" t="s">
        <v>468</v>
      </c>
      <c r="I388" s="18" t="s">
        <v>62</v>
      </c>
      <c r="J388" s="18" t="s">
        <v>63</v>
      </c>
    </row>
    <row r="389" customFormat="false" ht="15" hidden="false" customHeight="false" outlineLevel="0" collapsed="false">
      <c r="A389" s="22" t="n">
        <v>385</v>
      </c>
      <c r="B389" s="23" t="s">
        <v>463</v>
      </c>
      <c r="C389" s="23" t="s">
        <v>205</v>
      </c>
      <c r="D389" s="23" t="s">
        <v>759</v>
      </c>
      <c r="E389" s="22" t="n">
        <v>24</v>
      </c>
      <c r="F389" s="22" t="n">
        <v>1</v>
      </c>
      <c r="G389" s="22" t="s">
        <v>59</v>
      </c>
      <c r="H389" s="23" t="s">
        <v>464</v>
      </c>
      <c r="I389" s="18" t="s">
        <v>62</v>
      </c>
      <c r="J389" s="18" t="s">
        <v>63</v>
      </c>
    </row>
    <row r="390" customFormat="false" ht="15" hidden="false" customHeight="false" outlineLevel="0" collapsed="false">
      <c r="A390" s="22" t="n">
        <v>386</v>
      </c>
      <c r="B390" s="23" t="s">
        <v>476</v>
      </c>
      <c r="C390" s="23" t="s">
        <v>205</v>
      </c>
      <c r="D390" s="23" t="s">
        <v>759</v>
      </c>
      <c r="E390" s="22" t="n">
        <v>24</v>
      </c>
      <c r="F390" s="22" t="n">
        <v>1</v>
      </c>
      <c r="G390" s="22" t="s">
        <v>66</v>
      </c>
      <c r="H390" s="23" t="s">
        <v>477</v>
      </c>
      <c r="I390" s="18" t="s">
        <v>62</v>
      </c>
      <c r="J390" s="18" t="s">
        <v>63</v>
      </c>
    </row>
    <row r="391" customFormat="false" ht="15" hidden="false" customHeight="false" outlineLevel="0" collapsed="false">
      <c r="A391" s="22" t="n">
        <v>387</v>
      </c>
      <c r="B391" s="23" t="s">
        <v>478</v>
      </c>
      <c r="C391" s="23" t="s">
        <v>205</v>
      </c>
      <c r="D391" s="23" t="s">
        <v>759</v>
      </c>
      <c r="E391" s="22" t="n">
        <v>24</v>
      </c>
      <c r="F391" s="22" t="n">
        <v>1</v>
      </c>
      <c r="G391" s="22" t="s">
        <v>115</v>
      </c>
      <c r="H391" s="23" t="s">
        <v>141</v>
      </c>
      <c r="I391" s="18" t="s">
        <v>62</v>
      </c>
      <c r="J391" s="18" t="s">
        <v>63</v>
      </c>
    </row>
    <row r="392" customFormat="false" ht="15" hidden="false" customHeight="false" outlineLevel="0" collapsed="false">
      <c r="A392" s="22" t="n">
        <v>388</v>
      </c>
      <c r="B392" s="23" t="s">
        <v>479</v>
      </c>
      <c r="C392" s="23" t="s">
        <v>205</v>
      </c>
      <c r="D392" s="23" t="s">
        <v>760</v>
      </c>
      <c r="E392" s="22" t="n">
        <v>23</v>
      </c>
      <c r="F392" s="22" t="n">
        <v>1</v>
      </c>
      <c r="G392" s="22" t="s">
        <v>115</v>
      </c>
      <c r="H392" s="23" t="s">
        <v>141</v>
      </c>
      <c r="I392" s="18" t="s">
        <v>62</v>
      </c>
      <c r="J392" s="18" t="s">
        <v>63</v>
      </c>
    </row>
    <row r="393" customFormat="false" ht="15" hidden="false" customHeight="false" outlineLevel="0" collapsed="false">
      <c r="A393" s="22" t="n">
        <v>389</v>
      </c>
      <c r="B393" s="23" t="s">
        <v>103</v>
      </c>
      <c r="C393" s="23" t="s">
        <v>58</v>
      </c>
      <c r="D393" s="23" t="s">
        <v>761</v>
      </c>
      <c r="E393" s="22" t="n">
        <v>22</v>
      </c>
      <c r="F393" s="22" t="n">
        <v>2</v>
      </c>
      <c r="G393" s="22" t="s">
        <v>66</v>
      </c>
      <c r="H393" s="23" t="s">
        <v>104</v>
      </c>
      <c r="I393" s="18" t="s">
        <v>62</v>
      </c>
      <c r="J393" s="18" t="s">
        <v>63</v>
      </c>
    </row>
    <row r="394" customFormat="false" ht="15" hidden="false" customHeight="false" outlineLevel="0" collapsed="false">
      <c r="A394" s="22" t="n">
        <v>390</v>
      </c>
      <c r="B394" s="23" t="s">
        <v>480</v>
      </c>
      <c r="C394" s="23" t="s">
        <v>205</v>
      </c>
      <c r="D394" s="23" t="s">
        <v>761</v>
      </c>
      <c r="E394" s="22" t="n">
        <v>22</v>
      </c>
      <c r="F394" s="22" t="n">
        <v>1</v>
      </c>
      <c r="G394" s="22" t="s">
        <v>66</v>
      </c>
      <c r="H394" s="23" t="s">
        <v>168</v>
      </c>
      <c r="I394" s="18" t="s">
        <v>62</v>
      </c>
      <c r="J394" s="18" t="s">
        <v>63</v>
      </c>
    </row>
    <row r="395" customFormat="false" ht="15" hidden="false" customHeight="false" outlineLevel="0" collapsed="false">
      <c r="A395" s="22" t="n">
        <v>391</v>
      </c>
      <c r="B395" s="23" t="s">
        <v>481</v>
      </c>
      <c r="C395" s="23" t="s">
        <v>205</v>
      </c>
      <c r="D395" s="23" t="s">
        <v>761</v>
      </c>
      <c r="E395" s="22" t="n">
        <v>22</v>
      </c>
      <c r="F395" s="22" t="n">
        <v>1</v>
      </c>
      <c r="G395" s="22" t="s">
        <v>59</v>
      </c>
      <c r="H395" s="23" t="s">
        <v>482</v>
      </c>
      <c r="I395" s="18" t="s">
        <v>62</v>
      </c>
      <c r="J395" s="18" t="s">
        <v>63</v>
      </c>
    </row>
    <row r="396" customFormat="false" ht="15" hidden="false" customHeight="false" outlineLevel="0" collapsed="false">
      <c r="A396" s="22" t="n">
        <v>392</v>
      </c>
      <c r="B396" s="23" t="s">
        <v>485</v>
      </c>
      <c r="C396" s="23" t="s">
        <v>205</v>
      </c>
      <c r="D396" s="23" t="s">
        <v>762</v>
      </c>
      <c r="E396" s="22" t="n">
        <v>21</v>
      </c>
      <c r="F396" s="22" t="n">
        <v>1</v>
      </c>
      <c r="G396" s="22" t="s">
        <v>66</v>
      </c>
      <c r="H396" s="23" t="s">
        <v>211</v>
      </c>
      <c r="I396" s="18" t="s">
        <v>62</v>
      </c>
      <c r="J396" s="18" t="s">
        <v>63</v>
      </c>
    </row>
    <row r="397" customFormat="false" ht="15" hidden="false" customHeight="false" outlineLevel="0" collapsed="false">
      <c r="A397" s="22" t="n">
        <v>393</v>
      </c>
      <c r="B397" s="23" t="s">
        <v>171</v>
      </c>
      <c r="C397" s="23" t="s">
        <v>58</v>
      </c>
      <c r="D397" s="23" t="s">
        <v>762</v>
      </c>
      <c r="E397" s="22" t="n">
        <v>21</v>
      </c>
      <c r="F397" s="22" t="n">
        <v>3</v>
      </c>
      <c r="G397" s="22" t="s">
        <v>59</v>
      </c>
      <c r="H397" s="23" t="s">
        <v>172</v>
      </c>
      <c r="I397" s="18" t="s">
        <v>62</v>
      </c>
      <c r="J397" s="18" t="s">
        <v>63</v>
      </c>
    </row>
    <row r="398" customFormat="false" ht="15" hidden="false" customHeight="false" outlineLevel="0" collapsed="false">
      <c r="A398" s="22" t="n">
        <v>394</v>
      </c>
      <c r="B398" s="23" t="s">
        <v>103</v>
      </c>
      <c r="C398" s="23" t="s">
        <v>58</v>
      </c>
      <c r="D398" s="23" t="s">
        <v>762</v>
      </c>
      <c r="E398" s="22" t="n">
        <v>21</v>
      </c>
      <c r="F398" s="22" t="n">
        <v>4</v>
      </c>
      <c r="G398" s="22" t="s">
        <v>59</v>
      </c>
      <c r="H398" s="23" t="s">
        <v>104</v>
      </c>
      <c r="I398" s="18" t="s">
        <v>62</v>
      </c>
      <c r="J398" s="18" t="s">
        <v>63</v>
      </c>
    </row>
    <row r="399" customFormat="false" ht="15" hidden="false" customHeight="false" outlineLevel="0" collapsed="false">
      <c r="A399" s="22" t="n">
        <v>395</v>
      </c>
      <c r="B399" s="23" t="s">
        <v>486</v>
      </c>
      <c r="C399" s="23" t="s">
        <v>208</v>
      </c>
      <c r="D399" s="23" t="s">
        <v>762</v>
      </c>
      <c r="E399" s="22" t="n">
        <v>21</v>
      </c>
      <c r="F399" s="22" t="n">
        <v>1</v>
      </c>
      <c r="G399" s="22" t="s">
        <v>66</v>
      </c>
      <c r="H399" s="23" t="s">
        <v>211</v>
      </c>
      <c r="I399" s="18" t="s">
        <v>62</v>
      </c>
      <c r="J399" s="18" t="s">
        <v>63</v>
      </c>
    </row>
    <row r="400" customFormat="false" ht="15" hidden="false" customHeight="false" outlineLevel="0" collapsed="false">
      <c r="A400" s="22" t="n">
        <v>396</v>
      </c>
      <c r="B400" s="23" t="s">
        <v>487</v>
      </c>
      <c r="C400" s="23" t="s">
        <v>205</v>
      </c>
      <c r="D400" s="23" t="s">
        <v>762</v>
      </c>
      <c r="E400" s="22" t="n">
        <v>21</v>
      </c>
      <c r="F400" s="22" t="n">
        <v>2</v>
      </c>
      <c r="G400" s="22" t="s">
        <v>59</v>
      </c>
      <c r="H400" s="23" t="s">
        <v>488</v>
      </c>
      <c r="I400" s="18" t="s">
        <v>62</v>
      </c>
      <c r="J400" s="18" t="s">
        <v>63</v>
      </c>
    </row>
    <row r="401" customFormat="false" ht="15" hidden="false" customHeight="false" outlineLevel="0" collapsed="false">
      <c r="A401" s="22" t="n">
        <v>397</v>
      </c>
      <c r="B401" s="23" t="s">
        <v>483</v>
      </c>
      <c r="C401" s="23" t="s">
        <v>205</v>
      </c>
      <c r="D401" s="23" t="s">
        <v>762</v>
      </c>
      <c r="E401" s="22" t="n">
        <v>21</v>
      </c>
      <c r="F401" s="22" t="n">
        <v>1</v>
      </c>
      <c r="G401" s="22" t="s">
        <v>59</v>
      </c>
      <c r="H401" s="23" t="s">
        <v>763</v>
      </c>
      <c r="I401" s="18" t="s">
        <v>62</v>
      </c>
      <c r="J401" s="18" t="s">
        <v>63</v>
      </c>
    </row>
    <row r="402" customFormat="false" ht="15" hidden="false" customHeight="false" outlineLevel="0" collapsed="false">
      <c r="A402" s="22" t="n">
        <v>398</v>
      </c>
      <c r="B402" s="23" t="s">
        <v>103</v>
      </c>
      <c r="C402" s="23" t="s">
        <v>58</v>
      </c>
      <c r="D402" s="23" t="s">
        <v>762</v>
      </c>
      <c r="E402" s="22" t="n">
        <v>21</v>
      </c>
      <c r="F402" s="22" t="n">
        <v>1</v>
      </c>
      <c r="G402" s="22" t="s">
        <v>59</v>
      </c>
      <c r="H402" s="23" t="s">
        <v>104</v>
      </c>
      <c r="I402" s="18" t="s">
        <v>62</v>
      </c>
      <c r="J402" s="18" t="s">
        <v>63</v>
      </c>
    </row>
    <row r="403" customFormat="false" ht="15" hidden="false" customHeight="false" outlineLevel="0" collapsed="false">
      <c r="A403" s="22" t="n">
        <v>399</v>
      </c>
      <c r="B403" s="23" t="s">
        <v>103</v>
      </c>
      <c r="C403" s="23" t="s">
        <v>58</v>
      </c>
      <c r="D403" s="23" t="s">
        <v>762</v>
      </c>
      <c r="E403" s="22" t="n">
        <v>21</v>
      </c>
      <c r="F403" s="22" t="n">
        <v>1</v>
      </c>
      <c r="G403" s="22" t="s">
        <v>59</v>
      </c>
      <c r="H403" s="23" t="s">
        <v>104</v>
      </c>
      <c r="I403" s="18" t="s">
        <v>62</v>
      </c>
      <c r="J403" s="18" t="s">
        <v>63</v>
      </c>
    </row>
    <row r="404" customFormat="false" ht="15" hidden="false" customHeight="false" outlineLevel="0" collapsed="false">
      <c r="A404" s="22" t="n">
        <v>400</v>
      </c>
      <c r="B404" s="23" t="s">
        <v>444</v>
      </c>
      <c r="C404" s="23" t="s">
        <v>205</v>
      </c>
      <c r="D404" s="23" t="s">
        <v>764</v>
      </c>
      <c r="E404" s="22" t="n">
        <v>20</v>
      </c>
      <c r="F404" s="22" t="n">
        <v>1</v>
      </c>
      <c r="G404" s="22" t="s">
        <v>66</v>
      </c>
      <c r="H404" s="23" t="s">
        <v>168</v>
      </c>
      <c r="I404" s="18" t="s">
        <v>62</v>
      </c>
      <c r="J404" s="18" t="s">
        <v>63</v>
      </c>
    </row>
    <row r="405" customFormat="false" ht="15" hidden="false" customHeight="false" outlineLevel="0" collapsed="false">
      <c r="A405" s="22" t="n">
        <v>401</v>
      </c>
      <c r="B405" s="23" t="s">
        <v>200</v>
      </c>
      <c r="C405" s="23" t="s">
        <v>58</v>
      </c>
      <c r="D405" s="23" t="s">
        <v>764</v>
      </c>
      <c r="E405" s="22" t="n">
        <v>20</v>
      </c>
      <c r="F405" s="22" t="n">
        <v>1</v>
      </c>
      <c r="G405" s="22" t="s">
        <v>66</v>
      </c>
      <c r="H405" s="23" t="s">
        <v>168</v>
      </c>
      <c r="I405" s="18" t="s">
        <v>62</v>
      </c>
      <c r="J405" s="18" t="s">
        <v>63</v>
      </c>
    </row>
    <row r="406" customFormat="false" ht="15" hidden="false" customHeight="false" outlineLevel="0" collapsed="false">
      <c r="A406" s="22" t="n">
        <v>402</v>
      </c>
      <c r="B406" s="23" t="s">
        <v>197</v>
      </c>
      <c r="C406" s="23" t="s">
        <v>58</v>
      </c>
      <c r="D406" s="23" t="s">
        <v>765</v>
      </c>
      <c r="E406" s="22" t="n">
        <v>18</v>
      </c>
      <c r="F406" s="22" t="n">
        <v>1</v>
      </c>
      <c r="G406" s="22" t="s">
        <v>66</v>
      </c>
      <c r="H406" s="23" t="s">
        <v>141</v>
      </c>
      <c r="I406" s="18" t="s">
        <v>62</v>
      </c>
      <c r="J406" s="18" t="s">
        <v>63</v>
      </c>
    </row>
    <row r="407" customFormat="false" ht="15" hidden="false" customHeight="false" outlineLevel="0" collapsed="false">
      <c r="A407" s="22" t="n">
        <v>403</v>
      </c>
      <c r="B407" s="23" t="s">
        <v>155</v>
      </c>
      <c r="C407" s="23" t="s">
        <v>58</v>
      </c>
      <c r="D407" s="23" t="s">
        <v>765</v>
      </c>
      <c r="E407" s="22" t="n">
        <v>18</v>
      </c>
      <c r="F407" s="22" t="n">
        <v>1</v>
      </c>
      <c r="G407" s="22" t="s">
        <v>59</v>
      </c>
      <c r="H407" s="23" t="s">
        <v>156</v>
      </c>
      <c r="I407" s="18" t="s">
        <v>62</v>
      </c>
      <c r="J407" s="18" t="s">
        <v>63</v>
      </c>
    </row>
    <row r="408" customFormat="false" ht="15" hidden="false" customHeight="false" outlineLevel="0" collapsed="false">
      <c r="A408" s="22" t="n">
        <v>404</v>
      </c>
      <c r="B408" s="23" t="s">
        <v>155</v>
      </c>
      <c r="C408" s="23" t="s">
        <v>58</v>
      </c>
      <c r="D408" s="23" t="s">
        <v>765</v>
      </c>
      <c r="E408" s="22" t="n">
        <v>18</v>
      </c>
      <c r="F408" s="22" t="n">
        <v>1</v>
      </c>
      <c r="G408" s="22" t="s">
        <v>59</v>
      </c>
      <c r="H408" s="23" t="s">
        <v>156</v>
      </c>
      <c r="I408" s="18" t="s">
        <v>62</v>
      </c>
      <c r="J408" s="18" t="s">
        <v>63</v>
      </c>
    </row>
    <row r="409" customFormat="false" ht="15" hidden="false" customHeight="false" outlineLevel="0" collapsed="false">
      <c r="A409" s="22" t="n">
        <v>405</v>
      </c>
      <c r="B409" s="23" t="s">
        <v>489</v>
      </c>
      <c r="C409" s="23" t="s">
        <v>205</v>
      </c>
      <c r="D409" s="23" t="s">
        <v>765</v>
      </c>
      <c r="E409" s="22" t="n">
        <v>18</v>
      </c>
      <c r="F409" s="22" t="n">
        <v>1</v>
      </c>
      <c r="G409" s="22" t="s">
        <v>59</v>
      </c>
      <c r="H409" s="23" t="s">
        <v>490</v>
      </c>
      <c r="I409" s="18" t="s">
        <v>62</v>
      </c>
      <c r="J409" s="18" t="s">
        <v>63</v>
      </c>
    </row>
    <row r="410" customFormat="false" ht="15" hidden="false" customHeight="false" outlineLevel="0" collapsed="false">
      <c r="A410" s="22" t="n">
        <v>406</v>
      </c>
      <c r="B410" s="23" t="s">
        <v>129</v>
      </c>
      <c r="C410" s="23" t="s">
        <v>58</v>
      </c>
      <c r="D410" s="23" t="s">
        <v>766</v>
      </c>
      <c r="E410" s="22" t="n">
        <v>17</v>
      </c>
      <c r="F410" s="22" t="n">
        <v>1</v>
      </c>
      <c r="G410" s="22" t="s">
        <v>66</v>
      </c>
      <c r="H410" s="23" t="s">
        <v>130</v>
      </c>
      <c r="I410" s="18" t="s">
        <v>62</v>
      </c>
      <c r="J410" s="18" t="s">
        <v>63</v>
      </c>
    </row>
    <row r="411" customFormat="false" ht="15" hidden="false" customHeight="false" outlineLevel="0" collapsed="false">
      <c r="A411" s="22" t="n">
        <v>407</v>
      </c>
      <c r="B411" s="23" t="s">
        <v>444</v>
      </c>
      <c r="C411" s="23" t="s">
        <v>205</v>
      </c>
      <c r="D411" s="23" t="s">
        <v>766</v>
      </c>
      <c r="E411" s="22" t="n">
        <v>17</v>
      </c>
      <c r="F411" s="22" t="n">
        <v>1</v>
      </c>
      <c r="G411" s="22" t="s">
        <v>66</v>
      </c>
      <c r="H411" s="23" t="s">
        <v>717</v>
      </c>
      <c r="I411" s="18" t="s">
        <v>62</v>
      </c>
      <c r="J411" s="18" t="s">
        <v>63</v>
      </c>
    </row>
    <row r="412" customFormat="false" ht="15" hidden="false" customHeight="false" outlineLevel="0" collapsed="false">
      <c r="A412" s="22" t="n">
        <v>408</v>
      </c>
      <c r="B412" s="23" t="s">
        <v>82</v>
      </c>
      <c r="C412" s="23" t="s">
        <v>58</v>
      </c>
      <c r="D412" s="23" t="s">
        <v>766</v>
      </c>
      <c r="E412" s="22" t="n">
        <v>17</v>
      </c>
      <c r="F412" s="22" t="n">
        <v>1</v>
      </c>
      <c r="G412" s="22" t="s">
        <v>66</v>
      </c>
      <c r="H412" s="23" t="s">
        <v>767</v>
      </c>
      <c r="I412" s="18" t="s">
        <v>62</v>
      </c>
      <c r="J412" s="18" t="s">
        <v>63</v>
      </c>
    </row>
    <row r="413" customFormat="false" ht="15" hidden="false" customHeight="false" outlineLevel="0" collapsed="false">
      <c r="A413" s="22" t="n">
        <v>409</v>
      </c>
      <c r="B413" s="23" t="s">
        <v>491</v>
      </c>
      <c r="C413" s="23" t="s">
        <v>205</v>
      </c>
      <c r="D413" s="23" t="s">
        <v>766</v>
      </c>
      <c r="E413" s="22" t="n">
        <v>17</v>
      </c>
      <c r="F413" s="22" t="n">
        <v>1</v>
      </c>
      <c r="G413" s="22" t="s">
        <v>59</v>
      </c>
      <c r="H413" s="23" t="s">
        <v>492</v>
      </c>
      <c r="I413" s="18" t="s">
        <v>62</v>
      </c>
      <c r="J413" s="18" t="s">
        <v>63</v>
      </c>
    </row>
    <row r="414" customFormat="false" ht="15" hidden="false" customHeight="false" outlineLevel="0" collapsed="false">
      <c r="A414" s="22" t="n">
        <v>410</v>
      </c>
      <c r="B414" s="23" t="s">
        <v>493</v>
      </c>
      <c r="C414" s="23" t="s">
        <v>205</v>
      </c>
      <c r="D414" s="23" t="s">
        <v>766</v>
      </c>
      <c r="E414" s="22" t="n">
        <v>17</v>
      </c>
      <c r="F414" s="22" t="n">
        <v>1</v>
      </c>
      <c r="G414" s="22" t="s">
        <v>66</v>
      </c>
      <c r="H414" s="23" t="s">
        <v>141</v>
      </c>
      <c r="I414" s="18" t="s">
        <v>62</v>
      </c>
      <c r="J414" s="18" t="s">
        <v>63</v>
      </c>
    </row>
    <row r="415" customFormat="false" ht="15" hidden="false" customHeight="false" outlineLevel="0" collapsed="false">
      <c r="A415" s="22" t="n">
        <v>411</v>
      </c>
      <c r="B415" s="23" t="s">
        <v>496</v>
      </c>
      <c r="C415" s="23" t="s">
        <v>205</v>
      </c>
      <c r="D415" s="23" t="s">
        <v>768</v>
      </c>
      <c r="E415" s="22" t="n">
        <v>16</v>
      </c>
      <c r="F415" s="22" t="n">
        <v>1</v>
      </c>
      <c r="G415" s="22" t="s">
        <v>59</v>
      </c>
      <c r="H415" s="23" t="s">
        <v>168</v>
      </c>
      <c r="I415" s="18" t="s">
        <v>62</v>
      </c>
      <c r="J415" s="18" t="s">
        <v>63</v>
      </c>
    </row>
    <row r="416" customFormat="false" ht="15" hidden="false" customHeight="false" outlineLevel="0" collapsed="false">
      <c r="A416" s="22" t="n">
        <v>412</v>
      </c>
      <c r="B416" s="23" t="s">
        <v>494</v>
      </c>
      <c r="C416" s="23" t="s">
        <v>205</v>
      </c>
      <c r="D416" s="23" t="s">
        <v>768</v>
      </c>
      <c r="E416" s="22" t="n">
        <v>16</v>
      </c>
      <c r="F416" s="22" t="n">
        <v>1</v>
      </c>
      <c r="G416" s="22" t="s">
        <v>59</v>
      </c>
      <c r="H416" s="23" t="s">
        <v>495</v>
      </c>
      <c r="I416" s="18" t="s">
        <v>62</v>
      </c>
      <c r="J416" s="18" t="s">
        <v>63</v>
      </c>
    </row>
    <row r="417" customFormat="false" ht="15" hidden="false" customHeight="false" outlineLevel="0" collapsed="false">
      <c r="A417" s="22" t="n">
        <v>413</v>
      </c>
      <c r="B417" s="23" t="s">
        <v>497</v>
      </c>
      <c r="C417" s="23" t="s">
        <v>205</v>
      </c>
      <c r="D417" s="23" t="s">
        <v>768</v>
      </c>
      <c r="E417" s="22" t="n">
        <v>16</v>
      </c>
      <c r="F417" s="22" t="n">
        <v>1</v>
      </c>
      <c r="G417" s="22" t="s">
        <v>66</v>
      </c>
      <c r="H417" s="23" t="s">
        <v>168</v>
      </c>
      <c r="I417" s="18" t="s">
        <v>62</v>
      </c>
      <c r="J417" s="18" t="s">
        <v>63</v>
      </c>
    </row>
    <row r="418" customFormat="false" ht="15" hidden="false" customHeight="false" outlineLevel="0" collapsed="false">
      <c r="A418" s="22" t="n">
        <v>414</v>
      </c>
      <c r="B418" s="23" t="s">
        <v>498</v>
      </c>
      <c r="C418" s="23" t="s">
        <v>205</v>
      </c>
      <c r="D418" s="23" t="s">
        <v>768</v>
      </c>
      <c r="E418" s="22" t="n">
        <v>16</v>
      </c>
      <c r="F418" s="22" t="n">
        <v>1</v>
      </c>
      <c r="G418" s="22" t="s">
        <v>59</v>
      </c>
      <c r="H418" s="23" t="s">
        <v>143</v>
      </c>
      <c r="I418" s="18" t="s">
        <v>62</v>
      </c>
      <c r="J418" s="18" t="s">
        <v>63</v>
      </c>
    </row>
    <row r="419" customFormat="false" ht="15" hidden="false" customHeight="false" outlineLevel="0" collapsed="false">
      <c r="A419" s="22" t="n">
        <v>415</v>
      </c>
      <c r="B419" s="23" t="s">
        <v>494</v>
      </c>
      <c r="C419" s="23" t="s">
        <v>205</v>
      </c>
      <c r="D419" s="23" t="s">
        <v>768</v>
      </c>
      <c r="E419" s="22" t="n">
        <v>16</v>
      </c>
      <c r="F419" s="22" t="n">
        <v>1</v>
      </c>
      <c r="G419" s="22" t="s">
        <v>59</v>
      </c>
      <c r="H419" s="23" t="s">
        <v>495</v>
      </c>
      <c r="I419" s="18" t="s">
        <v>62</v>
      </c>
      <c r="J419" s="18" t="s">
        <v>63</v>
      </c>
    </row>
    <row r="420" customFormat="false" ht="15" hidden="false" customHeight="false" outlineLevel="0" collapsed="false">
      <c r="A420" s="22" t="n">
        <v>416</v>
      </c>
      <c r="B420" s="23" t="s">
        <v>190</v>
      </c>
      <c r="C420" s="23" t="s">
        <v>58</v>
      </c>
      <c r="D420" s="23" t="s">
        <v>768</v>
      </c>
      <c r="E420" s="22" t="n">
        <v>16</v>
      </c>
      <c r="F420" s="22" t="n">
        <v>13</v>
      </c>
      <c r="G420" s="22" t="s">
        <v>66</v>
      </c>
      <c r="H420" s="23" t="s">
        <v>168</v>
      </c>
      <c r="I420" s="18" t="s">
        <v>62</v>
      </c>
      <c r="J420" s="18" t="s">
        <v>63</v>
      </c>
    </row>
    <row r="421" customFormat="false" ht="15" hidden="false" customHeight="false" outlineLevel="0" collapsed="false">
      <c r="A421" s="22" t="n">
        <v>417</v>
      </c>
      <c r="B421" s="23" t="s">
        <v>499</v>
      </c>
      <c r="C421" s="23" t="s">
        <v>205</v>
      </c>
      <c r="D421" s="23" t="s">
        <v>769</v>
      </c>
      <c r="E421" s="22" t="n">
        <v>15</v>
      </c>
      <c r="F421" s="22" t="n">
        <v>1</v>
      </c>
      <c r="G421" s="22" t="s">
        <v>59</v>
      </c>
      <c r="H421" s="23" t="s">
        <v>500</v>
      </c>
      <c r="I421" s="18" t="s">
        <v>62</v>
      </c>
      <c r="J421" s="18" t="s">
        <v>63</v>
      </c>
    </row>
    <row r="422" customFormat="false" ht="15" hidden="false" customHeight="false" outlineLevel="0" collapsed="false">
      <c r="A422" s="22" t="n">
        <v>418</v>
      </c>
      <c r="B422" s="23" t="s">
        <v>501</v>
      </c>
      <c r="C422" s="23" t="s">
        <v>229</v>
      </c>
      <c r="D422" s="23" t="s">
        <v>769</v>
      </c>
      <c r="E422" s="22" t="n">
        <v>15</v>
      </c>
      <c r="F422" s="22" t="n">
        <v>6</v>
      </c>
      <c r="G422" s="22" t="s">
        <v>66</v>
      </c>
      <c r="H422" s="23" t="s">
        <v>141</v>
      </c>
      <c r="I422" s="18" t="s">
        <v>62</v>
      </c>
      <c r="J422" s="18" t="s">
        <v>63</v>
      </c>
    </row>
    <row r="423" customFormat="false" ht="15" hidden="false" customHeight="false" outlineLevel="0" collapsed="false">
      <c r="A423" s="22" t="n">
        <v>419</v>
      </c>
      <c r="B423" s="23" t="s">
        <v>502</v>
      </c>
      <c r="C423" s="23" t="s">
        <v>205</v>
      </c>
      <c r="D423" s="23" t="s">
        <v>769</v>
      </c>
      <c r="E423" s="22" t="n">
        <v>15</v>
      </c>
      <c r="F423" s="22" t="n">
        <v>1</v>
      </c>
      <c r="G423" s="22" t="s">
        <v>59</v>
      </c>
      <c r="H423" s="23" t="s">
        <v>503</v>
      </c>
      <c r="I423" s="18" t="s">
        <v>62</v>
      </c>
      <c r="J423" s="18" t="s">
        <v>63</v>
      </c>
    </row>
    <row r="424" customFormat="false" ht="15" hidden="false" customHeight="false" outlineLevel="0" collapsed="false">
      <c r="A424" s="22" t="n">
        <v>420</v>
      </c>
      <c r="B424" s="23" t="s">
        <v>504</v>
      </c>
      <c r="C424" s="23" t="s">
        <v>205</v>
      </c>
      <c r="D424" s="23" t="s">
        <v>769</v>
      </c>
      <c r="E424" s="22" t="n">
        <v>15</v>
      </c>
      <c r="F424" s="22" t="n">
        <v>1</v>
      </c>
      <c r="G424" s="22" t="s">
        <v>115</v>
      </c>
      <c r="H424" s="23" t="s">
        <v>505</v>
      </c>
      <c r="I424" s="18" t="s">
        <v>62</v>
      </c>
      <c r="J424" s="18" t="s">
        <v>63</v>
      </c>
    </row>
    <row r="425" customFormat="false" ht="15" hidden="false" customHeight="false" outlineLevel="0" collapsed="false">
      <c r="A425" s="22" t="n">
        <v>421</v>
      </c>
      <c r="B425" s="23" t="s">
        <v>193</v>
      </c>
      <c r="C425" s="23" t="s">
        <v>58</v>
      </c>
      <c r="D425" s="23" t="s">
        <v>770</v>
      </c>
      <c r="E425" s="22" t="n">
        <v>14</v>
      </c>
      <c r="F425" s="22" t="n">
        <v>6</v>
      </c>
      <c r="G425" s="22" t="s">
        <v>66</v>
      </c>
      <c r="H425" s="23" t="s">
        <v>168</v>
      </c>
      <c r="I425" s="18" t="s">
        <v>62</v>
      </c>
      <c r="J425" s="18" t="s">
        <v>63</v>
      </c>
    </row>
    <row r="426" customFormat="false" ht="15" hidden="false" customHeight="false" outlineLevel="0" collapsed="false">
      <c r="A426" s="22" t="n">
        <v>422</v>
      </c>
      <c r="B426" s="23" t="s">
        <v>463</v>
      </c>
      <c r="C426" s="23" t="s">
        <v>205</v>
      </c>
      <c r="D426" s="23" t="s">
        <v>770</v>
      </c>
      <c r="E426" s="22" t="n">
        <v>14</v>
      </c>
      <c r="F426" s="22" t="n">
        <v>1</v>
      </c>
      <c r="G426" s="22" t="s">
        <v>59</v>
      </c>
      <c r="H426" s="23" t="s">
        <v>464</v>
      </c>
      <c r="I426" s="18" t="s">
        <v>62</v>
      </c>
      <c r="J426" s="18" t="s">
        <v>63</v>
      </c>
    </row>
    <row r="427" customFormat="false" ht="15" hidden="false" customHeight="false" outlineLevel="0" collapsed="false">
      <c r="A427" s="22" t="n">
        <v>423</v>
      </c>
      <c r="B427" s="23" t="s">
        <v>483</v>
      </c>
      <c r="C427" s="23" t="s">
        <v>205</v>
      </c>
      <c r="D427" s="23" t="s">
        <v>770</v>
      </c>
      <c r="E427" s="22" t="n">
        <v>14</v>
      </c>
      <c r="F427" s="22" t="n">
        <v>2</v>
      </c>
      <c r="G427" s="22" t="s">
        <v>59</v>
      </c>
      <c r="H427" s="23" t="s">
        <v>168</v>
      </c>
      <c r="I427" s="18" t="s">
        <v>62</v>
      </c>
      <c r="J427" s="18" t="s">
        <v>63</v>
      </c>
    </row>
    <row r="428" customFormat="false" ht="15" hidden="false" customHeight="false" outlineLevel="0" collapsed="false">
      <c r="A428" s="22" t="n">
        <v>424</v>
      </c>
      <c r="B428" s="23" t="s">
        <v>506</v>
      </c>
      <c r="C428" s="23" t="s">
        <v>205</v>
      </c>
      <c r="D428" s="23" t="s">
        <v>770</v>
      </c>
      <c r="E428" s="22" t="n">
        <v>14</v>
      </c>
      <c r="F428" s="22" t="n">
        <v>2</v>
      </c>
      <c r="G428" s="22" t="s">
        <v>59</v>
      </c>
      <c r="H428" s="23" t="s">
        <v>141</v>
      </c>
      <c r="I428" s="18" t="s">
        <v>62</v>
      </c>
      <c r="J428" s="18" t="s">
        <v>63</v>
      </c>
    </row>
    <row r="429" customFormat="false" ht="15" hidden="false" customHeight="false" outlineLevel="0" collapsed="false">
      <c r="A429" s="22" t="n">
        <v>425</v>
      </c>
      <c r="B429" s="23" t="s">
        <v>507</v>
      </c>
      <c r="C429" s="23" t="s">
        <v>205</v>
      </c>
      <c r="D429" s="23" t="s">
        <v>771</v>
      </c>
      <c r="E429" s="22" t="n">
        <v>13</v>
      </c>
      <c r="F429" s="22" t="n">
        <v>1</v>
      </c>
      <c r="G429" s="22" t="s">
        <v>115</v>
      </c>
      <c r="H429" s="23" t="s">
        <v>211</v>
      </c>
      <c r="I429" s="18" t="s">
        <v>62</v>
      </c>
      <c r="J429" s="22" t="s">
        <v>211</v>
      </c>
    </row>
    <row r="430" customFormat="false" ht="15" hidden="false" customHeight="false" outlineLevel="0" collapsed="false">
      <c r="A430" s="22" t="n">
        <v>426</v>
      </c>
      <c r="B430" s="23" t="s">
        <v>501</v>
      </c>
      <c r="C430" s="23" t="s">
        <v>229</v>
      </c>
      <c r="D430" s="23" t="s">
        <v>771</v>
      </c>
      <c r="E430" s="22" t="n">
        <v>13</v>
      </c>
      <c r="F430" s="22" t="n">
        <v>2</v>
      </c>
      <c r="G430" s="22" t="s">
        <v>66</v>
      </c>
      <c r="H430" s="23" t="s">
        <v>141</v>
      </c>
      <c r="I430" s="18" t="s">
        <v>62</v>
      </c>
      <c r="J430" s="18" t="s">
        <v>63</v>
      </c>
    </row>
    <row r="431" customFormat="false" ht="15" hidden="false" customHeight="false" outlineLevel="0" collapsed="false">
      <c r="A431" s="22" t="n">
        <v>427</v>
      </c>
      <c r="B431" s="23" t="s">
        <v>508</v>
      </c>
      <c r="C431" s="23" t="s">
        <v>205</v>
      </c>
      <c r="D431" s="23" t="s">
        <v>772</v>
      </c>
      <c r="E431" s="22" t="n">
        <v>11</v>
      </c>
      <c r="F431" s="22" t="n">
        <v>1</v>
      </c>
      <c r="G431" s="22" t="s">
        <v>115</v>
      </c>
      <c r="H431" s="23" t="s">
        <v>509</v>
      </c>
      <c r="I431" s="18" t="s">
        <v>62</v>
      </c>
      <c r="J431" s="18" t="s">
        <v>63</v>
      </c>
    </row>
    <row r="432" customFormat="false" ht="15" hidden="false" customHeight="false" outlineLevel="0" collapsed="false">
      <c r="A432" s="22" t="n">
        <v>428</v>
      </c>
      <c r="B432" s="23" t="s">
        <v>169</v>
      </c>
      <c r="C432" s="23" t="s">
        <v>58</v>
      </c>
      <c r="D432" s="23" t="s">
        <v>772</v>
      </c>
      <c r="E432" s="22" t="n">
        <v>11</v>
      </c>
      <c r="F432" s="22" t="n">
        <v>3</v>
      </c>
      <c r="G432" s="22" t="s">
        <v>66</v>
      </c>
      <c r="H432" s="23" t="s">
        <v>170</v>
      </c>
      <c r="I432" s="18" t="s">
        <v>62</v>
      </c>
      <c r="J432" s="18" t="s">
        <v>63</v>
      </c>
    </row>
    <row r="433" customFormat="false" ht="15" hidden="false" customHeight="false" outlineLevel="0" collapsed="false">
      <c r="A433" s="22" t="n">
        <v>429</v>
      </c>
      <c r="B433" s="23" t="s">
        <v>510</v>
      </c>
      <c r="C433" s="23" t="s">
        <v>205</v>
      </c>
      <c r="D433" s="23" t="s">
        <v>772</v>
      </c>
      <c r="E433" s="22" t="n">
        <v>11</v>
      </c>
      <c r="F433" s="22" t="n">
        <v>3</v>
      </c>
      <c r="G433" s="22" t="s">
        <v>66</v>
      </c>
      <c r="H433" s="23" t="s">
        <v>511</v>
      </c>
      <c r="I433" s="18" t="s">
        <v>62</v>
      </c>
      <c r="J433" s="18" t="s">
        <v>63</v>
      </c>
    </row>
    <row r="434" customFormat="false" ht="15" hidden="false" customHeight="false" outlineLevel="0" collapsed="false">
      <c r="A434" s="22" t="n">
        <v>430</v>
      </c>
      <c r="B434" s="23" t="s">
        <v>103</v>
      </c>
      <c r="C434" s="23" t="s">
        <v>58</v>
      </c>
      <c r="D434" s="23" t="s">
        <v>772</v>
      </c>
      <c r="E434" s="22" t="n">
        <v>11</v>
      </c>
      <c r="F434" s="22" t="n">
        <v>1</v>
      </c>
      <c r="G434" s="22" t="s">
        <v>59</v>
      </c>
      <c r="H434" s="23" t="s">
        <v>104</v>
      </c>
      <c r="I434" s="18" t="s">
        <v>62</v>
      </c>
      <c r="J434" s="18" t="s">
        <v>63</v>
      </c>
    </row>
    <row r="435" customFormat="false" ht="15" hidden="false" customHeight="false" outlineLevel="0" collapsed="false">
      <c r="A435" s="22" t="n">
        <v>431</v>
      </c>
      <c r="B435" s="23" t="s">
        <v>187</v>
      </c>
      <c r="C435" s="23" t="s">
        <v>58</v>
      </c>
      <c r="D435" s="23" t="s">
        <v>773</v>
      </c>
      <c r="E435" s="22" t="n">
        <v>10</v>
      </c>
      <c r="F435" s="22" t="n">
        <v>1</v>
      </c>
      <c r="G435" s="22" t="s">
        <v>59</v>
      </c>
      <c r="H435" s="23" t="s">
        <v>188</v>
      </c>
      <c r="I435" s="18" t="s">
        <v>62</v>
      </c>
      <c r="J435" s="18" t="s">
        <v>63</v>
      </c>
    </row>
    <row r="436" customFormat="false" ht="15" hidden="false" customHeight="false" outlineLevel="0" collapsed="false">
      <c r="A436" s="22" t="n">
        <v>432</v>
      </c>
      <c r="B436" s="23" t="s">
        <v>465</v>
      </c>
      <c r="C436" s="23" t="s">
        <v>205</v>
      </c>
      <c r="D436" s="23" t="s">
        <v>773</v>
      </c>
      <c r="E436" s="22" t="n">
        <v>10</v>
      </c>
      <c r="F436" s="22" t="n">
        <v>1</v>
      </c>
      <c r="G436" s="22" t="s">
        <v>59</v>
      </c>
      <c r="H436" s="23" t="s">
        <v>466</v>
      </c>
      <c r="I436" s="18" t="s">
        <v>62</v>
      </c>
      <c r="J436" s="18" t="s">
        <v>63</v>
      </c>
    </row>
    <row r="437" customFormat="false" ht="15" hidden="false" customHeight="false" outlineLevel="0" collapsed="false">
      <c r="A437" s="22" t="n">
        <v>433</v>
      </c>
      <c r="B437" s="23" t="s">
        <v>182</v>
      </c>
      <c r="C437" s="23" t="s">
        <v>58</v>
      </c>
      <c r="D437" s="23" t="s">
        <v>773</v>
      </c>
      <c r="E437" s="22" t="n">
        <v>10</v>
      </c>
      <c r="F437" s="22" t="n">
        <v>1</v>
      </c>
      <c r="G437" s="22" t="s">
        <v>59</v>
      </c>
      <c r="H437" s="23" t="s">
        <v>183</v>
      </c>
      <c r="I437" s="18" t="s">
        <v>62</v>
      </c>
      <c r="J437" s="18" t="s">
        <v>63</v>
      </c>
    </row>
    <row r="438" customFormat="false" ht="15" hidden="false" customHeight="false" outlineLevel="0" collapsed="false">
      <c r="A438" s="22" t="n">
        <v>434</v>
      </c>
      <c r="B438" s="23" t="s">
        <v>465</v>
      </c>
      <c r="C438" s="23" t="s">
        <v>205</v>
      </c>
      <c r="D438" s="23" t="s">
        <v>773</v>
      </c>
      <c r="E438" s="22" t="n">
        <v>10</v>
      </c>
      <c r="F438" s="22" t="n">
        <v>1</v>
      </c>
      <c r="G438" s="22" t="s">
        <v>59</v>
      </c>
      <c r="H438" s="23" t="s">
        <v>466</v>
      </c>
      <c r="I438" s="18" t="s">
        <v>62</v>
      </c>
      <c r="J438" s="18" t="s">
        <v>63</v>
      </c>
    </row>
    <row r="439" customFormat="false" ht="15" hidden="false" customHeight="false" outlineLevel="0" collapsed="false">
      <c r="A439" s="22" t="n">
        <v>435</v>
      </c>
      <c r="B439" s="23" t="s">
        <v>432</v>
      </c>
      <c r="C439" s="23" t="s">
        <v>205</v>
      </c>
      <c r="D439" s="23" t="s">
        <v>773</v>
      </c>
      <c r="E439" s="22" t="n">
        <v>10</v>
      </c>
      <c r="F439" s="22" t="n">
        <v>1</v>
      </c>
      <c r="G439" s="22" t="s">
        <v>59</v>
      </c>
      <c r="H439" s="23" t="s">
        <v>774</v>
      </c>
      <c r="I439" s="18" t="s">
        <v>62</v>
      </c>
      <c r="J439" s="18" t="s">
        <v>63</v>
      </c>
    </row>
    <row r="440" customFormat="false" ht="15" hidden="false" customHeight="false" outlineLevel="0" collapsed="false">
      <c r="A440" s="22" t="n">
        <v>436</v>
      </c>
      <c r="B440" s="23" t="s">
        <v>512</v>
      </c>
      <c r="C440" s="23" t="s">
        <v>229</v>
      </c>
      <c r="D440" s="23" t="s">
        <v>775</v>
      </c>
      <c r="E440" s="22" t="n">
        <v>9</v>
      </c>
      <c r="F440" s="22" t="n">
        <v>1</v>
      </c>
      <c r="G440" s="22" t="s">
        <v>66</v>
      </c>
      <c r="H440" s="23" t="s">
        <v>141</v>
      </c>
      <c r="I440" s="18" t="s">
        <v>62</v>
      </c>
      <c r="J440" s="18" t="s">
        <v>63</v>
      </c>
    </row>
    <row r="441" customFormat="false" ht="15" hidden="false" customHeight="false" outlineLevel="0" collapsed="false">
      <c r="A441" s="22" t="n">
        <v>437</v>
      </c>
      <c r="B441" s="23" t="s">
        <v>513</v>
      </c>
      <c r="C441" s="23" t="s">
        <v>229</v>
      </c>
      <c r="D441" s="23" t="s">
        <v>775</v>
      </c>
      <c r="E441" s="22" t="n">
        <v>9</v>
      </c>
      <c r="F441" s="22" t="n">
        <v>3</v>
      </c>
      <c r="G441" s="22" t="s">
        <v>66</v>
      </c>
      <c r="H441" s="23" t="s">
        <v>211</v>
      </c>
      <c r="I441" s="18" t="s">
        <v>62</v>
      </c>
      <c r="J441" s="18" t="s">
        <v>63</v>
      </c>
    </row>
    <row r="442" customFormat="false" ht="15" hidden="false" customHeight="false" outlineLevel="0" collapsed="false">
      <c r="A442" s="22" t="n">
        <v>438</v>
      </c>
      <c r="B442" s="23" t="s">
        <v>514</v>
      </c>
      <c r="C442" s="23" t="s">
        <v>205</v>
      </c>
      <c r="D442" s="23" t="s">
        <v>775</v>
      </c>
      <c r="E442" s="22" t="n">
        <v>9</v>
      </c>
      <c r="F442" s="22" t="n">
        <v>1</v>
      </c>
      <c r="G442" s="22" t="s">
        <v>59</v>
      </c>
      <c r="H442" s="23" t="s">
        <v>515</v>
      </c>
      <c r="I442" s="18" t="s">
        <v>62</v>
      </c>
      <c r="J442" s="18" t="s">
        <v>63</v>
      </c>
    </row>
    <row r="443" customFormat="false" ht="15" hidden="false" customHeight="false" outlineLevel="0" collapsed="false">
      <c r="A443" s="22" t="n">
        <v>439</v>
      </c>
      <c r="B443" s="23" t="s">
        <v>516</v>
      </c>
      <c r="C443" s="23" t="s">
        <v>229</v>
      </c>
      <c r="D443" s="23" t="s">
        <v>775</v>
      </c>
      <c r="E443" s="22" t="n">
        <v>9</v>
      </c>
      <c r="F443" s="22" t="n">
        <v>3</v>
      </c>
      <c r="G443" s="22" t="s">
        <v>59</v>
      </c>
      <c r="H443" s="23" t="s">
        <v>141</v>
      </c>
      <c r="I443" s="18" t="s">
        <v>62</v>
      </c>
      <c r="J443" s="18" t="s">
        <v>63</v>
      </c>
    </row>
    <row r="444" customFormat="false" ht="15" hidden="false" customHeight="false" outlineLevel="0" collapsed="false">
      <c r="A444" s="22" t="n">
        <v>440</v>
      </c>
      <c r="B444" s="23" t="s">
        <v>517</v>
      </c>
      <c r="C444" s="23" t="s">
        <v>205</v>
      </c>
      <c r="D444" s="23" t="s">
        <v>775</v>
      </c>
      <c r="E444" s="22" t="n">
        <v>9</v>
      </c>
      <c r="F444" s="22" t="n">
        <v>1</v>
      </c>
      <c r="G444" s="22" t="s">
        <v>59</v>
      </c>
      <c r="H444" s="23" t="s">
        <v>168</v>
      </c>
      <c r="I444" s="18" t="s">
        <v>62</v>
      </c>
      <c r="J444" s="18" t="s">
        <v>63</v>
      </c>
    </row>
    <row r="445" customFormat="false" ht="15" hidden="false" customHeight="false" outlineLevel="0" collapsed="false">
      <c r="A445" s="22" t="n">
        <v>441</v>
      </c>
      <c r="B445" s="23" t="s">
        <v>518</v>
      </c>
      <c r="C445" s="23" t="s">
        <v>205</v>
      </c>
      <c r="D445" s="23" t="s">
        <v>775</v>
      </c>
      <c r="E445" s="22" t="n">
        <v>9</v>
      </c>
      <c r="F445" s="22" t="n">
        <v>1</v>
      </c>
      <c r="G445" s="22" t="s">
        <v>66</v>
      </c>
      <c r="H445" s="23" t="s">
        <v>519</v>
      </c>
      <c r="I445" s="18" t="s">
        <v>62</v>
      </c>
      <c r="J445" s="18" t="s">
        <v>63</v>
      </c>
    </row>
    <row r="446" customFormat="false" ht="15" hidden="false" customHeight="false" outlineLevel="0" collapsed="false">
      <c r="A446" s="22" t="n">
        <v>442</v>
      </c>
      <c r="B446" s="23" t="s">
        <v>520</v>
      </c>
      <c r="C446" s="23" t="s">
        <v>205</v>
      </c>
      <c r="D446" s="23" t="s">
        <v>776</v>
      </c>
      <c r="E446" s="22" t="n">
        <v>8</v>
      </c>
      <c r="F446" s="22" t="n">
        <v>4</v>
      </c>
      <c r="G446" s="22" t="s">
        <v>59</v>
      </c>
      <c r="H446" s="23" t="s">
        <v>521</v>
      </c>
      <c r="I446" s="18" t="s">
        <v>62</v>
      </c>
      <c r="J446" s="18" t="s">
        <v>63</v>
      </c>
    </row>
    <row r="447" customFormat="false" ht="15" hidden="false" customHeight="false" outlineLevel="0" collapsed="false">
      <c r="A447" s="22" t="n">
        <v>443</v>
      </c>
      <c r="B447" s="23" t="s">
        <v>522</v>
      </c>
      <c r="C447" s="23" t="s">
        <v>229</v>
      </c>
      <c r="D447" s="23" t="s">
        <v>776</v>
      </c>
      <c r="E447" s="22" t="n">
        <v>8</v>
      </c>
      <c r="F447" s="22" t="n">
        <v>2</v>
      </c>
      <c r="G447" s="22" t="s">
        <v>66</v>
      </c>
      <c r="H447" s="23" t="s">
        <v>141</v>
      </c>
      <c r="I447" s="18" t="s">
        <v>62</v>
      </c>
      <c r="J447" s="18" t="s">
        <v>63</v>
      </c>
    </row>
    <row r="448" customFormat="false" ht="15" hidden="false" customHeight="false" outlineLevel="0" collapsed="false">
      <c r="A448" s="22" t="n">
        <v>444</v>
      </c>
      <c r="B448" s="23" t="s">
        <v>452</v>
      </c>
      <c r="C448" s="23" t="s">
        <v>233</v>
      </c>
      <c r="D448" s="23" t="s">
        <v>776</v>
      </c>
      <c r="E448" s="22" t="n">
        <v>8</v>
      </c>
      <c r="F448" s="22" t="n">
        <v>1</v>
      </c>
      <c r="G448" s="22" t="s">
        <v>59</v>
      </c>
      <c r="H448" s="23" t="s">
        <v>777</v>
      </c>
      <c r="I448" s="18" t="s">
        <v>62</v>
      </c>
      <c r="J448" s="18" t="s">
        <v>63</v>
      </c>
    </row>
    <row r="449" customFormat="false" ht="15" hidden="false" customHeight="false" outlineLevel="0" collapsed="false">
      <c r="A449" s="22" t="n">
        <v>445</v>
      </c>
      <c r="B449" s="23" t="s">
        <v>523</v>
      </c>
      <c r="C449" s="23" t="s">
        <v>229</v>
      </c>
      <c r="D449" s="23" t="s">
        <v>776</v>
      </c>
      <c r="E449" s="22" t="n">
        <v>8</v>
      </c>
      <c r="F449" s="22" t="n">
        <v>1</v>
      </c>
      <c r="G449" s="22" t="s">
        <v>66</v>
      </c>
      <c r="H449" s="23" t="s">
        <v>141</v>
      </c>
      <c r="I449" s="18" t="s">
        <v>62</v>
      </c>
      <c r="J449" s="18" t="s">
        <v>63</v>
      </c>
    </row>
    <row r="450" customFormat="false" ht="15" hidden="false" customHeight="false" outlineLevel="0" collapsed="false">
      <c r="A450" s="22" t="n">
        <v>446</v>
      </c>
      <c r="B450" s="23" t="s">
        <v>524</v>
      </c>
      <c r="C450" s="23" t="s">
        <v>233</v>
      </c>
      <c r="D450" s="23" t="s">
        <v>776</v>
      </c>
      <c r="E450" s="22" t="n">
        <v>8</v>
      </c>
      <c r="F450" s="22" t="n">
        <v>1</v>
      </c>
      <c r="G450" s="22" t="s">
        <v>115</v>
      </c>
      <c r="H450" s="23" t="s">
        <v>525</v>
      </c>
      <c r="I450" s="18" t="s">
        <v>62</v>
      </c>
      <c r="J450" s="18" t="s">
        <v>63</v>
      </c>
    </row>
    <row r="451" customFormat="false" ht="15" hidden="false" customHeight="false" outlineLevel="0" collapsed="false">
      <c r="A451" s="22" t="n">
        <v>447</v>
      </c>
      <c r="B451" s="23" t="s">
        <v>169</v>
      </c>
      <c r="C451" s="23" t="s">
        <v>58</v>
      </c>
      <c r="D451" s="23" t="s">
        <v>776</v>
      </c>
      <c r="E451" s="22" t="n">
        <v>8</v>
      </c>
      <c r="F451" s="22" t="n">
        <v>4</v>
      </c>
      <c r="G451" s="22" t="s">
        <v>66</v>
      </c>
      <c r="H451" s="23" t="s">
        <v>170</v>
      </c>
      <c r="I451" s="18" t="s">
        <v>62</v>
      </c>
      <c r="J451" s="18" t="s">
        <v>63</v>
      </c>
    </row>
    <row r="452" customFormat="false" ht="15" hidden="false" customHeight="false" outlineLevel="0" collapsed="false">
      <c r="A452" s="22" t="n">
        <v>448</v>
      </c>
      <c r="B452" s="23" t="s">
        <v>499</v>
      </c>
      <c r="C452" s="23" t="s">
        <v>205</v>
      </c>
      <c r="D452" s="23" t="s">
        <v>776</v>
      </c>
      <c r="E452" s="22" t="n">
        <v>8</v>
      </c>
      <c r="F452" s="22" t="n">
        <v>2</v>
      </c>
      <c r="G452" s="22" t="s">
        <v>59</v>
      </c>
      <c r="H452" s="23" t="s">
        <v>500</v>
      </c>
      <c r="I452" s="18" t="s">
        <v>62</v>
      </c>
      <c r="J452" s="18" t="s">
        <v>63</v>
      </c>
    </row>
    <row r="453" customFormat="false" ht="15" hidden="false" customHeight="false" outlineLevel="0" collapsed="false">
      <c r="A453" s="22" t="n">
        <v>449</v>
      </c>
      <c r="B453" s="23" t="s">
        <v>526</v>
      </c>
      <c r="C453" s="23" t="s">
        <v>205</v>
      </c>
      <c r="D453" s="23" t="s">
        <v>778</v>
      </c>
      <c r="E453" s="22" t="n">
        <v>7</v>
      </c>
      <c r="F453" s="22" t="n">
        <v>1</v>
      </c>
      <c r="G453" s="22" t="s">
        <v>59</v>
      </c>
      <c r="H453" s="23" t="s">
        <v>527</v>
      </c>
      <c r="I453" s="18" t="s">
        <v>62</v>
      </c>
      <c r="J453" s="18" t="s">
        <v>63</v>
      </c>
    </row>
    <row r="454" customFormat="false" ht="15" hidden="false" customHeight="false" outlineLevel="0" collapsed="false">
      <c r="A454" s="22" t="n">
        <v>450</v>
      </c>
      <c r="B454" s="23" t="s">
        <v>476</v>
      </c>
      <c r="C454" s="23" t="s">
        <v>205</v>
      </c>
      <c r="D454" s="23" t="s">
        <v>778</v>
      </c>
      <c r="E454" s="22" t="n">
        <v>7</v>
      </c>
      <c r="F454" s="22" t="n">
        <v>1</v>
      </c>
      <c r="G454" s="22" t="s">
        <v>59</v>
      </c>
      <c r="H454" s="23" t="s">
        <v>477</v>
      </c>
      <c r="I454" s="18" t="s">
        <v>62</v>
      </c>
      <c r="J454" s="18" t="s">
        <v>63</v>
      </c>
    </row>
    <row r="455" customFormat="false" ht="15" hidden="false" customHeight="false" outlineLevel="0" collapsed="false">
      <c r="A455" s="22" t="n">
        <v>451</v>
      </c>
      <c r="B455" s="23" t="s">
        <v>185</v>
      </c>
      <c r="C455" s="23" t="s">
        <v>58</v>
      </c>
      <c r="D455" s="23" t="s">
        <v>778</v>
      </c>
      <c r="E455" s="22" t="n">
        <v>7</v>
      </c>
      <c r="F455" s="22" t="n">
        <v>2</v>
      </c>
      <c r="G455" s="22" t="s">
        <v>59</v>
      </c>
      <c r="H455" s="23" t="s">
        <v>186</v>
      </c>
      <c r="I455" s="18" t="s">
        <v>62</v>
      </c>
      <c r="J455" s="18" t="s">
        <v>63</v>
      </c>
    </row>
    <row r="456" customFormat="false" ht="15" hidden="false" customHeight="false" outlineLevel="0" collapsed="false">
      <c r="A456" s="22" t="n">
        <v>452</v>
      </c>
      <c r="B456" s="23" t="s">
        <v>528</v>
      </c>
      <c r="C456" s="23" t="s">
        <v>205</v>
      </c>
      <c r="D456" s="23" t="s">
        <v>778</v>
      </c>
      <c r="E456" s="22" t="n">
        <v>7</v>
      </c>
      <c r="F456" s="22" t="n">
        <v>2</v>
      </c>
      <c r="G456" s="22" t="s">
        <v>66</v>
      </c>
      <c r="H456" s="23" t="s">
        <v>529</v>
      </c>
      <c r="I456" s="18" t="s">
        <v>62</v>
      </c>
      <c r="J456" s="18" t="s">
        <v>63</v>
      </c>
    </row>
    <row r="457" customFormat="false" ht="15" hidden="false" customHeight="false" outlineLevel="0" collapsed="false">
      <c r="A457" s="22" t="n">
        <v>453</v>
      </c>
      <c r="B457" s="23" t="s">
        <v>530</v>
      </c>
      <c r="C457" s="23" t="s">
        <v>205</v>
      </c>
      <c r="D457" s="23" t="s">
        <v>778</v>
      </c>
      <c r="E457" s="22" t="n">
        <v>7</v>
      </c>
      <c r="F457" s="22" t="n">
        <v>1</v>
      </c>
      <c r="G457" s="22" t="s">
        <v>66</v>
      </c>
      <c r="H457" s="23" t="s">
        <v>411</v>
      </c>
      <c r="I457" s="18" t="s">
        <v>62</v>
      </c>
      <c r="J457" s="18" t="s">
        <v>63</v>
      </c>
    </row>
    <row r="458" customFormat="false" ht="15" hidden="false" customHeight="false" outlineLevel="0" collapsed="false">
      <c r="A458" s="22" t="n">
        <v>454</v>
      </c>
      <c r="B458" s="23" t="s">
        <v>531</v>
      </c>
      <c r="C458" s="23" t="s">
        <v>205</v>
      </c>
      <c r="D458" s="23" t="s">
        <v>778</v>
      </c>
      <c r="E458" s="22" t="n">
        <v>7</v>
      </c>
      <c r="F458" s="22" t="n">
        <v>1</v>
      </c>
      <c r="G458" s="22" t="s">
        <v>66</v>
      </c>
      <c r="H458" s="23" t="s">
        <v>532</v>
      </c>
      <c r="I458" s="18" t="s">
        <v>62</v>
      </c>
      <c r="J458" s="18" t="s">
        <v>63</v>
      </c>
    </row>
    <row r="459" customFormat="false" ht="15" hidden="false" customHeight="false" outlineLevel="0" collapsed="false">
      <c r="A459" s="22" t="n">
        <v>455</v>
      </c>
      <c r="B459" s="23" t="s">
        <v>533</v>
      </c>
      <c r="C459" s="23" t="s">
        <v>208</v>
      </c>
      <c r="D459" s="23" t="s">
        <v>778</v>
      </c>
      <c r="E459" s="22" t="n">
        <v>7</v>
      </c>
      <c r="F459" s="22" t="n">
        <v>1</v>
      </c>
      <c r="G459" s="22" t="s">
        <v>66</v>
      </c>
      <c r="H459" s="23" t="s">
        <v>141</v>
      </c>
      <c r="I459" s="18" t="s">
        <v>62</v>
      </c>
      <c r="J459" s="18" t="s">
        <v>63</v>
      </c>
    </row>
    <row r="460" customFormat="false" ht="15" hidden="false" customHeight="false" outlineLevel="0" collapsed="false">
      <c r="A460" s="22" t="n">
        <v>456</v>
      </c>
      <c r="B460" s="23" t="s">
        <v>534</v>
      </c>
      <c r="C460" s="23" t="s">
        <v>208</v>
      </c>
      <c r="D460" s="23" t="s">
        <v>778</v>
      </c>
      <c r="E460" s="22" t="n">
        <v>7</v>
      </c>
      <c r="F460" s="22" t="n">
        <v>2</v>
      </c>
      <c r="G460" s="22" t="s">
        <v>59</v>
      </c>
      <c r="H460" s="23" t="s">
        <v>535</v>
      </c>
      <c r="I460" s="18" t="s">
        <v>62</v>
      </c>
      <c r="J460" s="18" t="s">
        <v>63</v>
      </c>
    </row>
    <row r="461" customFormat="false" ht="15" hidden="false" customHeight="false" outlineLevel="0" collapsed="false">
      <c r="A461" s="22" t="n">
        <v>457</v>
      </c>
      <c r="B461" s="23" t="s">
        <v>201</v>
      </c>
      <c r="C461" s="23" t="s">
        <v>58</v>
      </c>
      <c r="D461" s="23" t="s">
        <v>778</v>
      </c>
      <c r="E461" s="22" t="n">
        <v>7</v>
      </c>
      <c r="F461" s="22" t="n">
        <v>1</v>
      </c>
      <c r="G461" s="22" t="s">
        <v>59</v>
      </c>
      <c r="H461" s="23" t="s">
        <v>141</v>
      </c>
      <c r="I461" s="18" t="s">
        <v>62</v>
      </c>
      <c r="J461" s="18" t="s">
        <v>63</v>
      </c>
    </row>
    <row r="462" customFormat="false" ht="15" hidden="false" customHeight="false" outlineLevel="0" collapsed="false">
      <c r="A462" s="22" t="n">
        <v>458</v>
      </c>
      <c r="B462" s="23" t="s">
        <v>536</v>
      </c>
      <c r="C462" s="23" t="s">
        <v>205</v>
      </c>
      <c r="D462" s="23" t="s">
        <v>779</v>
      </c>
      <c r="E462" s="22" t="n">
        <v>3</v>
      </c>
      <c r="F462" s="22" t="n">
        <v>1</v>
      </c>
      <c r="G462" s="22" t="s">
        <v>66</v>
      </c>
      <c r="H462" s="23" t="s">
        <v>537</v>
      </c>
      <c r="I462" s="18" t="s">
        <v>62</v>
      </c>
      <c r="J462" s="18" t="s">
        <v>63</v>
      </c>
    </row>
    <row r="463" customFormat="false" ht="15" hidden="false" customHeight="false" outlineLevel="0" collapsed="false">
      <c r="A463" s="22" t="n">
        <v>459</v>
      </c>
      <c r="B463" s="23" t="s">
        <v>538</v>
      </c>
      <c r="C463" s="23" t="s">
        <v>229</v>
      </c>
      <c r="D463" s="23" t="s">
        <v>780</v>
      </c>
      <c r="E463" s="22" t="n">
        <v>2</v>
      </c>
      <c r="F463" s="22" t="n">
        <v>2</v>
      </c>
      <c r="G463" s="22" t="s">
        <v>66</v>
      </c>
      <c r="H463" s="23" t="s">
        <v>206</v>
      </c>
      <c r="I463" s="18" t="s">
        <v>62</v>
      </c>
      <c r="J463" s="18" t="s">
        <v>63</v>
      </c>
    </row>
    <row r="464" customFormat="false" ht="15" hidden="false" customHeight="false" outlineLevel="0" collapsed="false">
      <c r="A464" s="22" t="n">
        <v>460</v>
      </c>
      <c r="B464" s="23" t="s">
        <v>539</v>
      </c>
      <c r="C464" s="23" t="s">
        <v>229</v>
      </c>
      <c r="D464" s="23" t="s">
        <v>780</v>
      </c>
      <c r="E464" s="22" t="n">
        <v>2</v>
      </c>
      <c r="F464" s="22" t="n">
        <v>1</v>
      </c>
      <c r="G464" s="22" t="s">
        <v>66</v>
      </c>
      <c r="H464" s="23" t="s">
        <v>211</v>
      </c>
      <c r="I464" s="18" t="s">
        <v>62</v>
      </c>
      <c r="J464" s="18" t="s">
        <v>63</v>
      </c>
    </row>
    <row r="465" customFormat="false" ht="15" hidden="false" customHeight="false" outlineLevel="0" collapsed="false">
      <c r="A465" s="22" t="n">
        <v>461</v>
      </c>
      <c r="B465" s="23" t="s">
        <v>540</v>
      </c>
      <c r="C465" s="23" t="s">
        <v>229</v>
      </c>
      <c r="D465" s="23" t="s">
        <v>211</v>
      </c>
      <c r="E465" s="22" t="n">
        <v>0</v>
      </c>
      <c r="F465" s="22" t="n">
        <v>1</v>
      </c>
      <c r="G465" s="22" t="s">
        <v>115</v>
      </c>
      <c r="H465" s="23" t="s">
        <v>206</v>
      </c>
      <c r="I465" s="18" t="s">
        <v>62</v>
      </c>
      <c r="J465" s="18" t="s">
        <v>63</v>
      </c>
    </row>
    <row r="466" customFormat="false" ht="15" hidden="false" customHeight="false" outlineLevel="0" collapsed="false">
      <c r="A466" s="22" t="n">
        <v>462</v>
      </c>
      <c r="B466" s="23" t="s">
        <v>541</v>
      </c>
      <c r="C466" s="23" t="s">
        <v>229</v>
      </c>
      <c r="D466" s="23" t="s">
        <v>781</v>
      </c>
      <c r="E466" s="22" t="n">
        <v>0</v>
      </c>
      <c r="F466" s="22" t="n">
        <v>1</v>
      </c>
      <c r="G466" s="22" t="s">
        <v>66</v>
      </c>
      <c r="H466" s="23" t="s">
        <v>141</v>
      </c>
      <c r="I466" s="18" t="s">
        <v>62</v>
      </c>
      <c r="J466" s="18" t="s">
        <v>63</v>
      </c>
    </row>
  </sheetData>
  <autoFilter ref="A4:J466"/>
  <hyperlinks>
    <hyperlink ref="I5" r:id="rId1" display="ver anuncios"/>
    <hyperlink ref="J5" r:id="rId2" display="abrir"/>
    <hyperlink ref="I6" r:id="rId3" display="ver anuncios"/>
    <hyperlink ref="J6" r:id="rId4" display="abrir"/>
    <hyperlink ref="I7" r:id="rId5" display="ver anuncios"/>
    <hyperlink ref="I8" r:id="rId6" display="ver anuncios"/>
    <hyperlink ref="I9" r:id="rId7" display="ver anuncios"/>
    <hyperlink ref="J9" r:id="rId8" display="abrir"/>
    <hyperlink ref="I10" r:id="rId9" display="ver anuncios"/>
    <hyperlink ref="J10" r:id="rId10" display="abrir"/>
    <hyperlink ref="I11" r:id="rId11" display="ver anuncios"/>
    <hyperlink ref="J11" r:id="rId12" display="abrir"/>
    <hyperlink ref="I12" r:id="rId13" display="ver anuncios"/>
    <hyperlink ref="J12" r:id="rId14" display="abrir"/>
    <hyperlink ref="I13" r:id="rId15" display="ver anuncios"/>
    <hyperlink ref="J13" r:id="rId16" display="abrir"/>
    <hyperlink ref="I14" r:id="rId17" display="ver anuncios"/>
    <hyperlink ref="J14" r:id="rId18" display="abrir"/>
    <hyperlink ref="I15" r:id="rId19" display="ver anuncios"/>
    <hyperlink ref="J15" r:id="rId20" display="abrir"/>
    <hyperlink ref="I16" r:id="rId21" display="ver anuncios"/>
    <hyperlink ref="J16" r:id="rId22" display="abrir"/>
    <hyperlink ref="I17" r:id="rId23" display="ver anuncios"/>
    <hyperlink ref="J17" r:id="rId24" display="abrir"/>
    <hyperlink ref="I18" r:id="rId25" display="ver anuncios"/>
    <hyperlink ref="J18" r:id="rId26" display="abrir"/>
    <hyperlink ref="I19" r:id="rId27" display="ver anuncios"/>
    <hyperlink ref="J19" r:id="rId28" display="abrir"/>
    <hyperlink ref="I20" r:id="rId29" display="ver anuncios"/>
    <hyperlink ref="J20" r:id="rId30" display="abrir"/>
    <hyperlink ref="I21" r:id="rId31" display="ver anuncios"/>
    <hyperlink ref="J21" r:id="rId32" display="abrir"/>
    <hyperlink ref="I22" r:id="rId33" display="ver anuncios"/>
    <hyperlink ref="J22" r:id="rId34" display="abrir"/>
    <hyperlink ref="I23" r:id="rId35" display="ver anuncios"/>
    <hyperlink ref="J23" r:id="rId36" display="abrir"/>
    <hyperlink ref="I24" r:id="rId37" display="ver anuncios"/>
    <hyperlink ref="J24" r:id="rId38" display="abrir"/>
    <hyperlink ref="I25" r:id="rId39" display="ver anuncios"/>
    <hyperlink ref="J25" r:id="rId40" display="abrir"/>
    <hyperlink ref="I26" r:id="rId41" display="ver anuncios"/>
    <hyperlink ref="J26" r:id="rId42" display="abrir"/>
    <hyperlink ref="I27" r:id="rId43" display="ver anuncios"/>
    <hyperlink ref="J27" r:id="rId44" display="abrir"/>
    <hyperlink ref="I28" r:id="rId45" display="ver anuncios"/>
    <hyperlink ref="J28" r:id="rId46" display="abrir"/>
    <hyperlink ref="I29" r:id="rId47" display="ver anuncios"/>
    <hyperlink ref="J29" r:id="rId48" display="abrir"/>
    <hyperlink ref="I30" r:id="rId49" display="ver anuncios"/>
    <hyperlink ref="J30" r:id="rId50" display="abrir"/>
    <hyperlink ref="I31" r:id="rId51" display="ver anuncios"/>
    <hyperlink ref="J31" r:id="rId52" display="abrir"/>
    <hyperlink ref="I32" r:id="rId53" display="ver anuncios"/>
    <hyperlink ref="J32" r:id="rId54" display="abrir"/>
    <hyperlink ref="I33" r:id="rId55" display="ver anuncios"/>
    <hyperlink ref="J33" r:id="rId56" display="abrir"/>
    <hyperlink ref="I34" r:id="rId57" display="ver anuncios"/>
    <hyperlink ref="J34" r:id="rId58" display="abrir"/>
    <hyperlink ref="I35" r:id="rId59" display="ver anuncios"/>
    <hyperlink ref="J35" r:id="rId60" display="abrir"/>
    <hyperlink ref="I36" r:id="rId61" display="ver anuncios"/>
    <hyperlink ref="J36" r:id="rId62" display="abrir"/>
    <hyperlink ref="I37" r:id="rId63" display="ver anuncios"/>
    <hyperlink ref="J37" r:id="rId64" display="abrir"/>
    <hyperlink ref="I38" r:id="rId65" display="ver anuncios"/>
    <hyperlink ref="J38" r:id="rId66" display="abrir"/>
    <hyperlink ref="I39" r:id="rId67" display="ver anuncios"/>
    <hyperlink ref="J39" r:id="rId68" display="abrir"/>
    <hyperlink ref="I40" r:id="rId69" display="ver anuncios"/>
    <hyperlink ref="J40" r:id="rId70" display="abrir"/>
    <hyperlink ref="I41" r:id="rId71" display="ver anuncios"/>
    <hyperlink ref="J41" r:id="rId72" display="abrir"/>
    <hyperlink ref="I42" r:id="rId73" display="ver anuncios"/>
    <hyperlink ref="J42" r:id="rId74" display="abrir"/>
    <hyperlink ref="I43" r:id="rId75" display="ver anuncios"/>
    <hyperlink ref="J43" r:id="rId76" display="abrir"/>
    <hyperlink ref="I44" r:id="rId77" display="ver anuncios"/>
    <hyperlink ref="J44" r:id="rId78" display="abrir"/>
    <hyperlink ref="I45" r:id="rId79" display="ver anuncios"/>
    <hyperlink ref="J45" r:id="rId80" display="abrir"/>
    <hyperlink ref="I46" r:id="rId81" display="ver anuncios"/>
    <hyperlink ref="J46" r:id="rId82" display="abrir"/>
    <hyperlink ref="I47" r:id="rId83" display="ver anuncios"/>
    <hyperlink ref="J47" r:id="rId84" display="abrir"/>
    <hyperlink ref="I48" r:id="rId85" display="ver anuncios"/>
    <hyperlink ref="J48" r:id="rId86" display="abrir"/>
    <hyperlink ref="I49" r:id="rId87" display="ver anuncios"/>
    <hyperlink ref="J49" r:id="rId88" display="abrir"/>
    <hyperlink ref="I50" r:id="rId89" display="ver anuncios"/>
    <hyperlink ref="J50" r:id="rId90" display="abrir"/>
    <hyperlink ref="I51" r:id="rId91" display="ver anuncios"/>
    <hyperlink ref="J51" r:id="rId92" display="abrir"/>
    <hyperlink ref="I52" r:id="rId93" display="ver anuncios"/>
    <hyperlink ref="J52" r:id="rId94" display="abrir"/>
    <hyperlink ref="I53" r:id="rId95" display="ver anuncios"/>
    <hyperlink ref="J53" r:id="rId96" display="abrir"/>
    <hyperlink ref="I54" r:id="rId97" display="ver anuncios"/>
    <hyperlink ref="J54" r:id="rId98" display="abrir"/>
    <hyperlink ref="I55" r:id="rId99" display="ver anuncios"/>
    <hyperlink ref="J55" r:id="rId100" display="abrir"/>
    <hyperlink ref="I56" r:id="rId101" display="ver anuncios"/>
    <hyperlink ref="J56" r:id="rId102" display="abrir"/>
    <hyperlink ref="I57" r:id="rId103" display="ver anuncios"/>
    <hyperlink ref="J57" r:id="rId104" display="abrir"/>
    <hyperlink ref="I58" r:id="rId105" display="ver anuncios"/>
    <hyperlink ref="J58" r:id="rId106" display="abrir"/>
    <hyperlink ref="I59" r:id="rId107" display="ver anuncios"/>
    <hyperlink ref="J59" r:id="rId108" display="abrir"/>
    <hyperlink ref="I60" r:id="rId109" display="ver anuncios"/>
    <hyperlink ref="J60" r:id="rId110" display="abrir"/>
    <hyperlink ref="I61" r:id="rId111" display="ver anuncios"/>
    <hyperlink ref="J61" r:id="rId112" display="abrir"/>
    <hyperlink ref="I62" r:id="rId113" display="ver anuncios"/>
    <hyperlink ref="J62" r:id="rId114" display="abrir"/>
    <hyperlink ref="I63" r:id="rId115" display="ver anuncios"/>
    <hyperlink ref="J63" r:id="rId116" display="abrir"/>
    <hyperlink ref="I64" r:id="rId117" display="ver anuncios"/>
    <hyperlink ref="J64" r:id="rId118" display="abrir"/>
    <hyperlink ref="I65" r:id="rId119" display="ver anuncios"/>
    <hyperlink ref="J65" r:id="rId120" display="abrir"/>
    <hyperlink ref="I66" r:id="rId121" display="ver anuncios"/>
    <hyperlink ref="J66" r:id="rId122" display="abrir"/>
    <hyperlink ref="I67" r:id="rId123" display="ver anuncios"/>
    <hyperlink ref="J67" r:id="rId124" display="abrir"/>
    <hyperlink ref="I68" r:id="rId125" display="ver anuncios"/>
    <hyperlink ref="J68" r:id="rId126" display="abrir"/>
    <hyperlink ref="I69" r:id="rId127" display="ver anuncios"/>
    <hyperlink ref="J69" r:id="rId128" display="abrir"/>
    <hyperlink ref="I70" r:id="rId129" display="ver anuncios"/>
    <hyperlink ref="J70" r:id="rId130" display="abrir"/>
    <hyperlink ref="I71" r:id="rId131" display="ver anuncios"/>
    <hyperlink ref="J71" r:id="rId132" display="abrir"/>
    <hyperlink ref="I72" r:id="rId133" display="ver anuncios"/>
    <hyperlink ref="J72" r:id="rId134" display="abrir"/>
    <hyperlink ref="I73" r:id="rId135" display="ver anuncios"/>
    <hyperlink ref="J73" r:id="rId136" display="abrir"/>
    <hyperlink ref="I74" r:id="rId137" display="ver anuncios"/>
    <hyperlink ref="J74" r:id="rId138" display="abrir"/>
    <hyperlink ref="I75" r:id="rId139" display="ver anuncios"/>
    <hyperlink ref="J75" r:id="rId140" display="abrir"/>
    <hyperlink ref="I76" r:id="rId141" display="ver anuncios"/>
    <hyperlink ref="J76" r:id="rId142" display="abrir"/>
    <hyperlink ref="I77" r:id="rId143" display="ver anuncios"/>
    <hyperlink ref="J77" r:id="rId144" display="abrir"/>
    <hyperlink ref="I78" r:id="rId145" display="ver anuncios"/>
    <hyperlink ref="J78" r:id="rId146" display="abrir"/>
    <hyperlink ref="I79" r:id="rId147" display="ver anuncios"/>
    <hyperlink ref="J79" r:id="rId148" display="abrir"/>
    <hyperlink ref="I80" r:id="rId149" display="ver anuncios"/>
    <hyperlink ref="J80" r:id="rId150" display="abrir"/>
    <hyperlink ref="I81" r:id="rId151" display="ver anuncios"/>
    <hyperlink ref="J81" r:id="rId152" display="abrir"/>
    <hyperlink ref="I82" r:id="rId153" display="ver anuncios"/>
    <hyperlink ref="J82" r:id="rId154" display="abrir"/>
    <hyperlink ref="I83" r:id="rId155" display="ver anuncios"/>
    <hyperlink ref="J83" r:id="rId156" display="abrir"/>
    <hyperlink ref="I84" r:id="rId157" display="ver anuncios"/>
    <hyperlink ref="J84" r:id="rId158" display="abrir"/>
    <hyperlink ref="I85" r:id="rId159" display="ver anuncios"/>
    <hyperlink ref="J85" r:id="rId160" display="abrir"/>
    <hyperlink ref="I86" r:id="rId161" display="ver anuncios"/>
    <hyperlink ref="J86" r:id="rId162" display="abrir"/>
    <hyperlink ref="I87" r:id="rId163" display="ver anuncios"/>
    <hyperlink ref="J87" r:id="rId164" display="abrir"/>
    <hyperlink ref="I88" r:id="rId165" display="ver anuncios"/>
    <hyperlink ref="J88" r:id="rId166" display="abrir"/>
    <hyperlink ref="I89" r:id="rId167" display="ver anuncios"/>
    <hyperlink ref="J89" r:id="rId168" display="abrir"/>
    <hyperlink ref="I90" r:id="rId169" display="ver anuncios"/>
    <hyperlink ref="J90" r:id="rId170" display="abrir"/>
    <hyperlink ref="I91" r:id="rId171" display="ver anuncios"/>
    <hyperlink ref="J91" r:id="rId172" display="abrir"/>
    <hyperlink ref="I92" r:id="rId173" display="ver anuncios"/>
    <hyperlink ref="J92" r:id="rId174" display="abrir"/>
    <hyperlink ref="I93" r:id="rId175" display="ver anuncios"/>
    <hyperlink ref="J93" r:id="rId176" display="abrir"/>
    <hyperlink ref="I94" r:id="rId177" display="ver anuncios"/>
    <hyperlink ref="J94" r:id="rId178" display="abrir"/>
    <hyperlink ref="I95" r:id="rId179" display="ver anuncios"/>
    <hyperlink ref="J95" r:id="rId180" display="abrir"/>
    <hyperlink ref="I96" r:id="rId181" display="ver anuncios"/>
    <hyperlink ref="J96" r:id="rId182" display="abrir"/>
    <hyperlink ref="I97" r:id="rId183" display="ver anuncios"/>
    <hyperlink ref="J97" r:id="rId184" display="abrir"/>
    <hyperlink ref="I98" r:id="rId185" display="ver anuncios"/>
    <hyperlink ref="J98" r:id="rId186" display="abrir"/>
    <hyperlink ref="I99" r:id="rId187" display="ver anuncios"/>
    <hyperlink ref="J99" r:id="rId188" display="abrir"/>
    <hyperlink ref="I100" r:id="rId189" display="ver anuncios"/>
    <hyperlink ref="J100" r:id="rId190" display="abrir"/>
    <hyperlink ref="I101" r:id="rId191" display="ver anuncios"/>
    <hyperlink ref="J101" r:id="rId192" display="abrir"/>
    <hyperlink ref="I102" r:id="rId193" display="ver anuncios"/>
    <hyperlink ref="J102" r:id="rId194" display="abrir"/>
    <hyperlink ref="I103" r:id="rId195" display="ver anuncios"/>
    <hyperlink ref="J103" r:id="rId196" display="abrir"/>
    <hyperlink ref="I104" r:id="rId197" display="ver anuncios"/>
    <hyperlink ref="J104" r:id="rId198" display="abrir"/>
    <hyperlink ref="I105" r:id="rId199" display="ver anuncios"/>
    <hyperlink ref="J105" r:id="rId200" display="abrir"/>
    <hyperlink ref="I106" r:id="rId201" display="ver anuncios"/>
    <hyperlink ref="J106" r:id="rId202" display="abrir"/>
    <hyperlink ref="I107" r:id="rId203" display="ver anuncios"/>
    <hyperlink ref="J107" r:id="rId204" display="abrir"/>
    <hyperlink ref="I108" r:id="rId205" display="ver anuncios"/>
    <hyperlink ref="J108" r:id="rId206" display="abrir"/>
    <hyperlink ref="I109" r:id="rId207" display="ver anuncios"/>
    <hyperlink ref="J109" r:id="rId208" display="abrir"/>
    <hyperlink ref="I110" r:id="rId209" display="ver anuncios"/>
    <hyperlink ref="J110" r:id="rId210" display="abrir"/>
    <hyperlink ref="I111" r:id="rId211" display="ver anuncios"/>
    <hyperlink ref="J111" r:id="rId212" display="abrir"/>
    <hyperlink ref="I112" r:id="rId213" display="ver anuncios"/>
    <hyperlink ref="J112" r:id="rId214" display="abrir"/>
    <hyperlink ref="I113" r:id="rId215" display="ver anuncios"/>
    <hyperlink ref="J113" r:id="rId216" display="abrir"/>
    <hyperlink ref="I114" r:id="rId217" display="ver anuncios"/>
    <hyperlink ref="J114" r:id="rId218" display="abrir"/>
    <hyperlink ref="I115" r:id="rId219" display="ver anuncios"/>
    <hyperlink ref="J115" r:id="rId220" display="abrir"/>
    <hyperlink ref="I116" r:id="rId221" display="ver anuncios"/>
    <hyperlink ref="J116" r:id="rId222" display="abrir"/>
    <hyperlink ref="I117" r:id="rId223" display="ver anuncios"/>
    <hyperlink ref="J117" r:id="rId224" display="abrir"/>
    <hyperlink ref="I118" r:id="rId225" display="ver anuncios"/>
    <hyperlink ref="J118" r:id="rId226" display="abrir"/>
    <hyperlink ref="I119" r:id="rId227" display="ver anuncios"/>
    <hyperlink ref="J119" r:id="rId228" display="abrir"/>
    <hyperlink ref="I120" r:id="rId229" display="ver anuncios"/>
    <hyperlink ref="J120" r:id="rId230" display="abrir"/>
    <hyperlink ref="I121" r:id="rId231" display="ver anuncios"/>
    <hyperlink ref="J121" r:id="rId232" display="abrir"/>
    <hyperlink ref="I122" r:id="rId233" display="ver anuncios"/>
    <hyperlink ref="J122" r:id="rId234" display="abrir"/>
    <hyperlink ref="I123" r:id="rId235" display="ver anuncios"/>
    <hyperlink ref="J123" r:id="rId236" display="abrir"/>
    <hyperlink ref="I124" r:id="rId237" display="ver anuncios"/>
    <hyperlink ref="J124" r:id="rId238" display="abrir"/>
    <hyperlink ref="I125" r:id="rId239" display="ver anuncios"/>
    <hyperlink ref="J125" r:id="rId240" display="abrir"/>
    <hyperlink ref="I126" r:id="rId241" display="ver anuncios"/>
    <hyperlink ref="J126" r:id="rId242" display="abrir"/>
    <hyperlink ref="I127" r:id="rId243" display="ver anuncios"/>
    <hyperlink ref="J127" r:id="rId244" display="abrir"/>
    <hyperlink ref="I128" r:id="rId245" display="ver anuncios"/>
    <hyperlink ref="J128" r:id="rId246" display="abrir"/>
    <hyperlink ref="I129" r:id="rId247" display="ver anuncios"/>
    <hyperlink ref="J129" r:id="rId248" display="abrir"/>
    <hyperlink ref="I130" r:id="rId249" display="ver anuncios"/>
    <hyperlink ref="J130" r:id="rId250" display="abrir"/>
    <hyperlink ref="I131" r:id="rId251" display="ver anuncios"/>
    <hyperlink ref="J131" r:id="rId252" display="abrir"/>
    <hyperlink ref="I132" r:id="rId253" display="ver anuncios"/>
    <hyperlink ref="J132" r:id="rId254" display="abrir"/>
    <hyperlink ref="I133" r:id="rId255" display="ver anuncios"/>
    <hyperlink ref="J133" r:id="rId256" display="abrir"/>
    <hyperlink ref="I134" r:id="rId257" display="ver anuncios"/>
    <hyperlink ref="J134" r:id="rId258" display="abrir"/>
    <hyperlink ref="I135" r:id="rId259" display="ver anuncios"/>
    <hyperlink ref="J135" r:id="rId260" display="abrir"/>
    <hyperlink ref="I136" r:id="rId261" display="ver anuncios"/>
    <hyperlink ref="J136" r:id="rId262" display="abrir"/>
    <hyperlink ref="I137" r:id="rId263" display="ver anuncios"/>
    <hyperlink ref="J137" r:id="rId264" display="abrir"/>
    <hyperlink ref="I138" r:id="rId265" display="ver anuncios"/>
    <hyperlink ref="J138" r:id="rId266" display="abrir"/>
    <hyperlink ref="I139" r:id="rId267" display="ver anuncios"/>
    <hyperlink ref="J139" r:id="rId268" display="abrir"/>
    <hyperlink ref="I140" r:id="rId269" display="ver anuncios"/>
    <hyperlink ref="J140" r:id="rId270" display="abrir"/>
    <hyperlink ref="I141" r:id="rId271" display="ver anuncios"/>
    <hyperlink ref="J141" r:id="rId272" display="abrir"/>
    <hyperlink ref="I142" r:id="rId273" display="ver anuncios"/>
    <hyperlink ref="J142" r:id="rId274" display="abrir"/>
    <hyperlink ref="I143" r:id="rId275" display="ver anuncios"/>
    <hyperlink ref="J143" r:id="rId276" display="abrir"/>
    <hyperlink ref="I144" r:id="rId277" display="ver anuncios"/>
    <hyperlink ref="J144" r:id="rId278" display="abrir"/>
    <hyperlink ref="I145" r:id="rId279" display="ver anuncios"/>
    <hyperlink ref="J145" r:id="rId280" display="abrir"/>
    <hyperlink ref="I146" r:id="rId281" display="ver anuncios"/>
    <hyperlink ref="J146" r:id="rId282" display="abrir"/>
    <hyperlink ref="I147" r:id="rId283" display="ver anuncios"/>
    <hyperlink ref="J147" r:id="rId284" display="abrir"/>
    <hyperlink ref="I148" r:id="rId285" display="ver anuncios"/>
    <hyperlink ref="J148" r:id="rId286" display="abrir"/>
    <hyperlink ref="I149" r:id="rId287" display="ver anuncios"/>
    <hyperlink ref="J149" r:id="rId288" display="abrir"/>
    <hyperlink ref="I150" r:id="rId289" display="ver anuncios"/>
    <hyperlink ref="J150" r:id="rId290" display="abrir"/>
    <hyperlink ref="I151" r:id="rId291" display="ver anuncios"/>
    <hyperlink ref="J151" r:id="rId292" display="abrir"/>
    <hyperlink ref="I152" r:id="rId293" display="ver anuncios"/>
    <hyperlink ref="J152" r:id="rId294" display="abrir"/>
    <hyperlink ref="I153" r:id="rId295" display="ver anuncios"/>
    <hyperlink ref="J153" r:id="rId296" display="abrir"/>
    <hyperlink ref="I154" r:id="rId297" display="ver anuncios"/>
    <hyperlink ref="J154" r:id="rId298" display="abrir"/>
    <hyperlink ref="I155" r:id="rId299" display="ver anuncios"/>
    <hyperlink ref="J155" r:id="rId300" display="abrir"/>
    <hyperlink ref="I156" r:id="rId301" display="ver anuncios"/>
    <hyperlink ref="J156" r:id="rId302" display="abrir"/>
    <hyperlink ref="I157" r:id="rId303" display="ver anuncios"/>
    <hyperlink ref="J157" r:id="rId304" display="abrir"/>
    <hyperlink ref="I158" r:id="rId305" display="ver anuncios"/>
    <hyperlink ref="J158" r:id="rId306" display="abrir"/>
    <hyperlink ref="I159" r:id="rId307" display="ver anuncios"/>
    <hyperlink ref="J159" r:id="rId308" display="abrir"/>
    <hyperlink ref="I160" r:id="rId309" display="ver anuncios"/>
    <hyperlink ref="J160" r:id="rId310" display="abrir"/>
    <hyperlink ref="I161" r:id="rId311" display="ver anuncios"/>
    <hyperlink ref="J161" r:id="rId312" display="abrir"/>
    <hyperlink ref="I162" r:id="rId313" display="ver anuncios"/>
    <hyperlink ref="J162" r:id="rId314" display="abrir"/>
    <hyperlink ref="I163" r:id="rId315" display="ver anuncios"/>
    <hyperlink ref="J163" r:id="rId316" display="abrir"/>
    <hyperlink ref="I164" r:id="rId317" display="ver anuncios"/>
    <hyperlink ref="J164" r:id="rId318" display="abrir"/>
    <hyperlink ref="I165" r:id="rId319" display="ver anuncios"/>
    <hyperlink ref="J165" r:id="rId320" display="abrir"/>
    <hyperlink ref="I166" r:id="rId321" display="ver anuncios"/>
    <hyperlink ref="J166" r:id="rId322" display="abrir"/>
    <hyperlink ref="I167" r:id="rId323" display="ver anuncios"/>
    <hyperlink ref="J167" r:id="rId324" display="abrir"/>
    <hyperlink ref="I168" r:id="rId325" display="ver anuncios"/>
    <hyperlink ref="J168" r:id="rId326" display="abrir"/>
    <hyperlink ref="I169" r:id="rId327" display="ver anuncios"/>
    <hyperlink ref="J169" r:id="rId328" display="abrir"/>
    <hyperlink ref="I170" r:id="rId329" display="ver anuncios"/>
    <hyperlink ref="J170" r:id="rId330" display="abrir"/>
    <hyperlink ref="I171" r:id="rId331" display="ver anuncios"/>
    <hyperlink ref="J171" r:id="rId332" display="abrir"/>
    <hyperlink ref="I172" r:id="rId333" display="ver anuncios"/>
    <hyperlink ref="J172" r:id="rId334" display="abrir"/>
    <hyperlink ref="I173" r:id="rId335" display="ver anuncios"/>
    <hyperlink ref="J173" r:id="rId336" display="abrir"/>
    <hyperlink ref="I174" r:id="rId337" display="ver anuncios"/>
    <hyperlink ref="J174" r:id="rId338" display="abrir"/>
    <hyperlink ref="I175" r:id="rId339" display="ver anuncios"/>
    <hyperlink ref="J175" r:id="rId340" display="abrir"/>
    <hyperlink ref="I176" r:id="rId341" display="ver anuncios"/>
    <hyperlink ref="J176" r:id="rId342" display="abrir"/>
    <hyperlink ref="I177" r:id="rId343" display="ver anuncios"/>
    <hyperlink ref="J177" r:id="rId344" display="abrir"/>
    <hyperlink ref="I178" r:id="rId345" display="ver anuncios"/>
    <hyperlink ref="J178" r:id="rId346" display="abrir"/>
    <hyperlink ref="I179" r:id="rId347" display="ver anuncios"/>
    <hyperlink ref="J179" r:id="rId348" display="abrir"/>
    <hyperlink ref="I180" r:id="rId349" display="ver anuncios"/>
    <hyperlink ref="J180" r:id="rId350" display="abrir"/>
    <hyperlink ref="I181" r:id="rId351" display="ver anuncios"/>
    <hyperlink ref="J181" r:id="rId352" display="abrir"/>
    <hyperlink ref="I182" r:id="rId353" display="ver anuncios"/>
    <hyperlink ref="J182" r:id="rId354" display="abrir"/>
    <hyperlink ref="I183" r:id="rId355" display="ver anuncios"/>
    <hyperlink ref="J183" r:id="rId356" display="abrir"/>
    <hyperlink ref="I184" r:id="rId357" display="ver anuncios"/>
    <hyperlink ref="J184" r:id="rId358" display="abrir"/>
    <hyperlink ref="I185" r:id="rId359" display="ver anuncios"/>
    <hyperlink ref="J185" r:id="rId360" display="abrir"/>
    <hyperlink ref="I186" r:id="rId361" display="ver anuncios"/>
    <hyperlink ref="J186" r:id="rId362" display="abrir"/>
    <hyperlink ref="I187" r:id="rId363" display="ver anuncios"/>
    <hyperlink ref="J187" r:id="rId364" display="abrir"/>
    <hyperlink ref="I188" r:id="rId365" display="ver anuncios"/>
    <hyperlink ref="J188" r:id="rId366" display="abrir"/>
    <hyperlink ref="I189" r:id="rId367" display="ver anuncios"/>
    <hyperlink ref="J189" r:id="rId368" display="abrir"/>
    <hyperlink ref="I190" r:id="rId369" display="ver anuncios"/>
    <hyperlink ref="J190" r:id="rId370" display="abrir"/>
    <hyperlink ref="I191" r:id="rId371" display="ver anuncios"/>
    <hyperlink ref="J191" r:id="rId372" display="abrir"/>
    <hyperlink ref="I192" r:id="rId373" display="ver anuncios"/>
    <hyperlink ref="J192" r:id="rId374" display="abrir"/>
    <hyperlink ref="I193" r:id="rId375" display="ver anuncios"/>
    <hyperlink ref="J193" r:id="rId376" display="abrir"/>
    <hyperlink ref="I194" r:id="rId377" display="ver anuncios"/>
    <hyperlink ref="J194" r:id="rId378" display="abrir"/>
    <hyperlink ref="I195" r:id="rId379" display="ver anuncios"/>
    <hyperlink ref="J195" r:id="rId380" display="abrir"/>
    <hyperlink ref="I196" r:id="rId381" display="ver anuncios"/>
    <hyperlink ref="J196" r:id="rId382" display="abrir"/>
    <hyperlink ref="I197" r:id="rId383" display="ver anuncios"/>
    <hyperlink ref="J197" r:id="rId384" display="abrir"/>
    <hyperlink ref="I198" r:id="rId385" display="ver anuncios"/>
    <hyperlink ref="J198" r:id="rId386" display="abrir"/>
    <hyperlink ref="I199" r:id="rId387" display="ver anuncios"/>
    <hyperlink ref="J199" r:id="rId388" display="abrir"/>
    <hyperlink ref="I200" r:id="rId389" display="ver anuncios"/>
    <hyperlink ref="J200" r:id="rId390" display="abrir"/>
    <hyperlink ref="I201" r:id="rId391" display="ver anuncios"/>
    <hyperlink ref="J201" r:id="rId392" display="abrir"/>
    <hyperlink ref="I202" r:id="rId393" display="ver anuncios"/>
    <hyperlink ref="J202" r:id="rId394" display="abrir"/>
    <hyperlink ref="I203" r:id="rId395" display="ver anuncios"/>
    <hyperlink ref="J203" r:id="rId396" display="abrir"/>
    <hyperlink ref="I204" r:id="rId397" display="ver anuncios"/>
    <hyperlink ref="J204" r:id="rId398" display="abrir"/>
    <hyperlink ref="I205" r:id="rId399" display="ver anuncios"/>
    <hyperlink ref="J205" r:id="rId400" display="abrir"/>
    <hyperlink ref="I206" r:id="rId401" display="ver anuncios"/>
    <hyperlink ref="J206" r:id="rId402" display="abrir"/>
    <hyperlink ref="I207" r:id="rId403" display="ver anuncios"/>
    <hyperlink ref="J207" r:id="rId404" display="abrir"/>
    <hyperlink ref="I208" r:id="rId405" display="ver anuncios"/>
    <hyperlink ref="J208" r:id="rId406" display="abrir"/>
    <hyperlink ref="I209" r:id="rId407" display="ver anuncios"/>
    <hyperlink ref="J209" r:id="rId408" display="abrir"/>
    <hyperlink ref="I210" r:id="rId409" display="ver anuncios"/>
    <hyperlink ref="J210" r:id="rId410" display="abrir"/>
    <hyperlink ref="I211" r:id="rId411" display="ver anuncios"/>
    <hyperlink ref="J211" r:id="rId412" display="abrir"/>
    <hyperlink ref="I212" r:id="rId413" display="ver anuncios"/>
    <hyperlink ref="J212" r:id="rId414" display="abrir"/>
    <hyperlink ref="I213" r:id="rId415" display="ver anuncios"/>
    <hyperlink ref="J213" r:id="rId416" display="abrir"/>
    <hyperlink ref="I214" r:id="rId417" display="ver anuncios"/>
    <hyperlink ref="J214" r:id="rId418" display="abrir"/>
    <hyperlink ref="I215" r:id="rId419" display="ver anuncios"/>
    <hyperlink ref="J215" r:id="rId420" display="abrir"/>
    <hyperlink ref="I216" r:id="rId421" display="ver anuncios"/>
    <hyperlink ref="J216" r:id="rId422" display="abrir"/>
    <hyperlink ref="I217" r:id="rId423" display="ver anuncios"/>
    <hyperlink ref="J217" r:id="rId424" display="abrir"/>
    <hyperlink ref="I218" r:id="rId425" display="ver anuncios"/>
    <hyperlink ref="J218" r:id="rId426" display="abrir"/>
    <hyperlink ref="I219" r:id="rId427" display="ver anuncios"/>
    <hyperlink ref="J219" r:id="rId428" display="abrir"/>
    <hyperlink ref="I220" r:id="rId429" display="ver anuncios"/>
    <hyperlink ref="J220" r:id="rId430" display="abrir"/>
    <hyperlink ref="I221" r:id="rId431" display="ver anuncios"/>
    <hyperlink ref="J221" r:id="rId432" display="abrir"/>
    <hyperlink ref="I222" r:id="rId433" display="ver anuncios"/>
    <hyperlink ref="J222" r:id="rId434" display="abrir"/>
    <hyperlink ref="I223" r:id="rId435" display="ver anuncios"/>
    <hyperlink ref="J223" r:id="rId436" display="abrir"/>
    <hyperlink ref="I224" r:id="rId437" display="ver anuncios"/>
    <hyperlink ref="J224" r:id="rId438" display="abrir"/>
    <hyperlink ref="I225" r:id="rId439" display="ver anuncios"/>
    <hyperlink ref="J225" r:id="rId440" display="abrir"/>
    <hyperlink ref="I226" r:id="rId441" display="ver anuncios"/>
    <hyperlink ref="J226" r:id="rId442" display="abrir"/>
    <hyperlink ref="I227" r:id="rId443" display="ver anuncios"/>
    <hyperlink ref="J227" r:id="rId444" display="abrir"/>
    <hyperlink ref="I228" r:id="rId445" display="ver anuncios"/>
    <hyperlink ref="J228" r:id="rId446" display="abrir"/>
    <hyperlink ref="I229" r:id="rId447" display="ver anuncios"/>
    <hyperlink ref="J229" r:id="rId448" display="abrir"/>
    <hyperlink ref="I230" r:id="rId449" display="ver anuncios"/>
    <hyperlink ref="J230" r:id="rId450" display="abrir"/>
    <hyperlink ref="I231" r:id="rId451" display="ver anuncios"/>
    <hyperlink ref="J231" r:id="rId452" display="abrir"/>
    <hyperlink ref="I232" r:id="rId453" display="ver anuncios"/>
    <hyperlink ref="J232" r:id="rId454" display="abrir"/>
    <hyperlink ref="I233" r:id="rId455" display="ver anuncios"/>
    <hyperlink ref="J233" r:id="rId456" display="abrir"/>
    <hyperlink ref="I234" r:id="rId457" display="ver anuncios"/>
    <hyperlink ref="J234" r:id="rId458" display="abrir"/>
    <hyperlink ref="I235" r:id="rId459" display="ver anuncios"/>
    <hyperlink ref="J235" r:id="rId460" display="abrir"/>
    <hyperlink ref="I236" r:id="rId461" display="ver anuncios"/>
    <hyperlink ref="J236" r:id="rId462" display="abrir"/>
    <hyperlink ref="I237" r:id="rId463" display="ver anuncios"/>
    <hyperlink ref="J237" r:id="rId464" display="abrir"/>
    <hyperlink ref="I238" r:id="rId465" display="ver anuncios"/>
    <hyperlink ref="J238" r:id="rId466" display="abrir"/>
    <hyperlink ref="I239" r:id="rId467" display="ver anuncios"/>
    <hyperlink ref="J239" r:id="rId468" display="abrir"/>
    <hyperlink ref="I240" r:id="rId469" display="ver anuncios"/>
    <hyperlink ref="J240" r:id="rId470" display="abrir"/>
    <hyperlink ref="I241" r:id="rId471" display="ver anuncios"/>
    <hyperlink ref="J241" r:id="rId472" display="abrir"/>
    <hyperlink ref="I242" r:id="rId473" display="ver anuncios"/>
    <hyperlink ref="J242" r:id="rId474" display="abrir"/>
    <hyperlink ref="I243" r:id="rId475" display="ver anuncios"/>
    <hyperlink ref="J243" r:id="rId476" display="abrir"/>
    <hyperlink ref="I244" r:id="rId477" display="ver anuncios"/>
    <hyperlink ref="J244" r:id="rId478" display="abrir"/>
    <hyperlink ref="I245" r:id="rId479" display="ver anuncios"/>
    <hyperlink ref="J245" r:id="rId480" display="abrir"/>
    <hyperlink ref="I246" r:id="rId481" display="ver anuncios"/>
    <hyperlink ref="J246" r:id="rId482" display="abrir"/>
    <hyperlink ref="I247" r:id="rId483" display="ver anuncios"/>
    <hyperlink ref="J247" r:id="rId484" display="abrir"/>
    <hyperlink ref="I248" r:id="rId485" display="ver anuncios"/>
    <hyperlink ref="J248" r:id="rId486" display="abrir"/>
    <hyperlink ref="I249" r:id="rId487" display="ver anuncios"/>
    <hyperlink ref="J249" r:id="rId488" display="abrir"/>
    <hyperlink ref="I250" r:id="rId489" display="ver anuncios"/>
    <hyperlink ref="J250" r:id="rId490" display="abrir"/>
    <hyperlink ref="I251" r:id="rId491" display="ver anuncios"/>
    <hyperlink ref="J251" r:id="rId492" display="abrir"/>
    <hyperlink ref="I252" r:id="rId493" display="ver anuncios"/>
    <hyperlink ref="J252" r:id="rId494" display="abrir"/>
    <hyperlink ref="I253" r:id="rId495" display="ver anuncios"/>
    <hyperlink ref="J253" r:id="rId496" display="abrir"/>
    <hyperlink ref="I254" r:id="rId497" display="ver anuncios"/>
    <hyperlink ref="J254" r:id="rId498" display="abrir"/>
    <hyperlink ref="I255" r:id="rId499" display="ver anuncios"/>
    <hyperlink ref="J255" r:id="rId500" display="abrir"/>
    <hyperlink ref="I256" r:id="rId501" display="ver anuncios"/>
    <hyperlink ref="J256" r:id="rId502" display="abrir"/>
    <hyperlink ref="I257" r:id="rId503" display="ver anuncios"/>
    <hyperlink ref="J257" r:id="rId504" display="abrir"/>
    <hyperlink ref="I258" r:id="rId505" display="ver anuncios"/>
    <hyperlink ref="J258" r:id="rId506" display="abrir"/>
    <hyperlink ref="I259" r:id="rId507" display="ver anuncios"/>
    <hyperlink ref="J259" r:id="rId508" display="abrir"/>
    <hyperlink ref="I260" r:id="rId509" display="ver anuncios"/>
    <hyperlink ref="J260" r:id="rId510" display="abrir"/>
    <hyperlink ref="I261" r:id="rId511" display="ver anuncios"/>
    <hyperlink ref="J261" r:id="rId512" display="abrir"/>
    <hyperlink ref="I262" r:id="rId513" display="ver anuncios"/>
    <hyperlink ref="J262" r:id="rId514" display="abrir"/>
    <hyperlink ref="I263" r:id="rId515" display="ver anuncios"/>
    <hyperlink ref="J263" r:id="rId516" display="abrir"/>
    <hyperlink ref="I264" r:id="rId517" display="ver anuncios"/>
    <hyperlink ref="J264" r:id="rId518" display="abrir"/>
    <hyperlink ref="I265" r:id="rId519" display="ver anuncios"/>
    <hyperlink ref="J265" r:id="rId520" display="abrir"/>
    <hyperlink ref="I266" r:id="rId521" display="ver anuncios"/>
    <hyperlink ref="J266" r:id="rId522" display="abrir"/>
    <hyperlink ref="I267" r:id="rId523" display="ver anuncios"/>
    <hyperlink ref="J267" r:id="rId524" display="abrir"/>
    <hyperlink ref="I268" r:id="rId525" display="ver anuncios"/>
    <hyperlink ref="J268" r:id="rId526" display="abrir"/>
    <hyperlink ref="I269" r:id="rId527" display="ver anuncios"/>
    <hyperlink ref="J269" r:id="rId528" display="abrir"/>
    <hyperlink ref="I270" r:id="rId529" display="ver anuncios"/>
    <hyperlink ref="J270" r:id="rId530" display="abrir"/>
    <hyperlink ref="I271" r:id="rId531" display="ver anuncios"/>
    <hyperlink ref="J271" r:id="rId532" display="abrir"/>
    <hyperlink ref="I272" r:id="rId533" display="ver anuncios"/>
    <hyperlink ref="J272" r:id="rId534" display="abrir"/>
    <hyperlink ref="I273" r:id="rId535" display="ver anuncios"/>
    <hyperlink ref="J273" r:id="rId536" display="abrir"/>
    <hyperlink ref="I274" r:id="rId537" display="ver anuncios"/>
    <hyperlink ref="J274" r:id="rId538" display="abrir"/>
    <hyperlink ref="I275" r:id="rId539" display="ver anuncios"/>
    <hyperlink ref="J275" r:id="rId540" display="abrir"/>
    <hyperlink ref="I276" r:id="rId541" display="ver anuncios"/>
    <hyperlink ref="J276" r:id="rId542" display="abrir"/>
    <hyperlink ref="I277" r:id="rId543" display="ver anuncios"/>
    <hyperlink ref="J277" r:id="rId544" display="abrir"/>
    <hyperlink ref="I278" r:id="rId545" display="ver anuncios"/>
    <hyperlink ref="J278" r:id="rId546" display="abrir"/>
    <hyperlink ref="I279" r:id="rId547" display="ver anuncios"/>
    <hyperlink ref="J279" r:id="rId548" display="abrir"/>
    <hyperlink ref="I280" r:id="rId549" display="ver anuncios"/>
    <hyperlink ref="I281" r:id="rId550" display="ver anuncios"/>
    <hyperlink ref="J281" r:id="rId551" display="abrir"/>
    <hyperlink ref="I282" r:id="rId552" display="ver anuncios"/>
    <hyperlink ref="I283" r:id="rId553" display="ver anuncios"/>
    <hyperlink ref="J283" r:id="rId554" display="abrir"/>
    <hyperlink ref="I284" r:id="rId555" display="ver anuncios"/>
    <hyperlink ref="J284" r:id="rId556" display="abrir"/>
    <hyperlink ref="I285" r:id="rId557" display="ver anuncios"/>
    <hyperlink ref="J285" r:id="rId558" display="abrir"/>
    <hyperlink ref="I286" r:id="rId559" display="ver anuncios"/>
    <hyperlink ref="J286" r:id="rId560" display="abrir"/>
    <hyperlink ref="I287" r:id="rId561" display="ver anuncios"/>
    <hyperlink ref="J287" r:id="rId562" display="abrir"/>
    <hyperlink ref="I288" r:id="rId563" display="ver anuncios"/>
    <hyperlink ref="J288" r:id="rId564" display="abrir"/>
    <hyperlink ref="I289" r:id="rId565" display="ver anuncios"/>
    <hyperlink ref="J289" r:id="rId566" display="abrir"/>
    <hyperlink ref="I290" r:id="rId567" display="ver anuncios"/>
    <hyperlink ref="J290" r:id="rId568" display="abrir"/>
    <hyperlink ref="I291" r:id="rId569" display="ver anuncios"/>
    <hyperlink ref="J291" r:id="rId570" display="abrir"/>
    <hyperlink ref="I292" r:id="rId571" display="ver anuncios"/>
    <hyperlink ref="J292" r:id="rId572" display="abrir"/>
    <hyperlink ref="I293" r:id="rId573" display="ver anuncios"/>
    <hyperlink ref="J293" r:id="rId574" display="abrir"/>
    <hyperlink ref="I294" r:id="rId575" display="ver anuncios"/>
    <hyperlink ref="J294" r:id="rId576" display="abrir"/>
    <hyperlink ref="I295" r:id="rId577" display="ver anuncios"/>
    <hyperlink ref="J295" r:id="rId578" display="abrir"/>
    <hyperlink ref="I296" r:id="rId579" display="ver anuncios"/>
    <hyperlink ref="J296" r:id="rId580" display="abrir"/>
    <hyperlink ref="I297" r:id="rId581" display="ver anuncios"/>
    <hyperlink ref="J297" r:id="rId582" display="abrir"/>
    <hyperlink ref="I298" r:id="rId583" display="ver anuncios"/>
    <hyperlink ref="J298" r:id="rId584" display="abrir"/>
    <hyperlink ref="I299" r:id="rId585" display="ver anuncios"/>
    <hyperlink ref="J299" r:id="rId586" display="abrir"/>
    <hyperlink ref="I300" r:id="rId587" display="ver anuncios"/>
    <hyperlink ref="J300" r:id="rId588" display="abrir"/>
    <hyperlink ref="I301" r:id="rId589" display="ver anuncios"/>
    <hyperlink ref="J301" r:id="rId590" display="abrir"/>
    <hyperlink ref="I302" r:id="rId591" display="ver anuncios"/>
    <hyperlink ref="J302" r:id="rId592" display="abrir"/>
    <hyperlink ref="I303" r:id="rId593" display="ver anuncios"/>
    <hyperlink ref="J303" r:id="rId594" display="abrir"/>
    <hyperlink ref="I304" r:id="rId595" display="ver anuncios"/>
    <hyperlink ref="J304" r:id="rId596" display="abrir"/>
    <hyperlink ref="I305" r:id="rId597" display="ver anuncios"/>
    <hyperlink ref="J305" r:id="rId598" display="abrir"/>
    <hyperlink ref="I306" r:id="rId599" display="ver anuncios"/>
    <hyperlink ref="J306" r:id="rId600" display="abrir"/>
    <hyperlink ref="I307" r:id="rId601" display="ver anuncios"/>
    <hyperlink ref="J307" r:id="rId602" display="abrir"/>
    <hyperlink ref="I308" r:id="rId603" display="ver anuncios"/>
    <hyperlink ref="J308" r:id="rId604" display="abrir"/>
    <hyperlink ref="I309" r:id="rId605" display="ver anuncios"/>
    <hyperlink ref="J309" r:id="rId606" display="abrir"/>
    <hyperlink ref="I310" r:id="rId607" display="ver anuncios"/>
    <hyperlink ref="J310" r:id="rId608" display="abrir"/>
    <hyperlink ref="I311" r:id="rId609" display="ver anuncios"/>
    <hyperlink ref="J311" r:id="rId610" display="abrir"/>
    <hyperlink ref="I312" r:id="rId611" display="ver anuncios"/>
    <hyperlink ref="J312" r:id="rId612" display="abrir"/>
    <hyperlink ref="I313" r:id="rId613" display="ver anuncios"/>
    <hyperlink ref="J313" r:id="rId614" display="abrir"/>
    <hyperlink ref="I314" r:id="rId615" display="ver anuncios"/>
    <hyperlink ref="J314" r:id="rId616" display="abrir"/>
    <hyperlink ref="I315" r:id="rId617" display="ver anuncios"/>
    <hyperlink ref="J315" r:id="rId618" display="abrir"/>
    <hyperlink ref="I316" r:id="rId619" display="ver anuncios"/>
    <hyperlink ref="J316" r:id="rId620" display="abrir"/>
    <hyperlink ref="I317" r:id="rId621" display="ver anuncios"/>
    <hyperlink ref="J317" r:id="rId622" display="abrir"/>
    <hyperlink ref="I318" r:id="rId623" display="ver anuncios"/>
    <hyperlink ref="J318" r:id="rId624" display="abrir"/>
    <hyperlink ref="I319" r:id="rId625" display="ver anuncios"/>
    <hyperlink ref="J319" r:id="rId626" display="abrir"/>
    <hyperlink ref="I320" r:id="rId627" display="ver anuncios"/>
    <hyperlink ref="J320" r:id="rId628" display="abrir"/>
    <hyperlink ref="I321" r:id="rId629" display="ver anuncios"/>
    <hyperlink ref="J321" r:id="rId630" display="abrir"/>
    <hyperlink ref="I322" r:id="rId631" display="ver anuncios"/>
    <hyperlink ref="J322" r:id="rId632" display="abrir"/>
    <hyperlink ref="I323" r:id="rId633" display="ver anuncios"/>
    <hyperlink ref="J323" r:id="rId634" display="abrir"/>
    <hyperlink ref="I324" r:id="rId635" display="ver anuncios"/>
    <hyperlink ref="J324" r:id="rId636" display="abrir"/>
    <hyperlink ref="I325" r:id="rId637" display="ver anuncios"/>
    <hyperlink ref="J325" r:id="rId638" display="abrir"/>
    <hyperlink ref="I326" r:id="rId639" display="ver anuncios"/>
    <hyperlink ref="J326" r:id="rId640" display="abrir"/>
    <hyperlink ref="I327" r:id="rId641" display="ver anuncios"/>
    <hyperlink ref="J327" r:id="rId642" display="abrir"/>
    <hyperlink ref="I328" r:id="rId643" display="ver anuncios"/>
    <hyperlink ref="J328" r:id="rId644" display="abrir"/>
    <hyperlink ref="I329" r:id="rId645" display="ver anuncios"/>
    <hyperlink ref="J329" r:id="rId646" display="abrir"/>
    <hyperlink ref="I330" r:id="rId647" display="ver anuncios"/>
    <hyperlink ref="J330" r:id="rId648" display="abrir"/>
    <hyperlink ref="I331" r:id="rId649" display="ver anuncios"/>
    <hyperlink ref="J331" r:id="rId650" display="abrir"/>
    <hyperlink ref="I332" r:id="rId651" display="ver anuncios"/>
    <hyperlink ref="J332" r:id="rId652" display="abrir"/>
    <hyperlink ref="I333" r:id="rId653" display="ver anuncios"/>
    <hyperlink ref="J333" r:id="rId654" display="abrir"/>
    <hyperlink ref="I334" r:id="rId655" display="ver anuncios"/>
    <hyperlink ref="J334" r:id="rId656" display="abrir"/>
    <hyperlink ref="I335" r:id="rId657" display="ver anuncios"/>
    <hyperlink ref="J335" r:id="rId658" display="abrir"/>
    <hyperlink ref="I336" r:id="rId659" display="ver anuncios"/>
    <hyperlink ref="J336" r:id="rId660" display="abrir"/>
    <hyperlink ref="I337" r:id="rId661" display="ver anuncios"/>
    <hyperlink ref="J337" r:id="rId662" display="abrir"/>
    <hyperlink ref="I338" r:id="rId663" display="ver anuncios"/>
    <hyperlink ref="J338" r:id="rId664" display="abrir"/>
    <hyperlink ref="I339" r:id="rId665" display="ver anuncios"/>
    <hyperlink ref="J339" r:id="rId666" display="abrir"/>
    <hyperlink ref="I340" r:id="rId667" display="ver anuncios"/>
    <hyperlink ref="J340" r:id="rId668" display="abrir"/>
    <hyperlink ref="I341" r:id="rId669" display="ver anuncios"/>
    <hyperlink ref="J341" r:id="rId670" display="abrir"/>
    <hyperlink ref="I342" r:id="rId671" display="ver anuncios"/>
    <hyperlink ref="J342" r:id="rId672" display="abrir"/>
    <hyperlink ref="I343" r:id="rId673" display="ver anuncios"/>
    <hyperlink ref="J343" r:id="rId674" display="abrir"/>
    <hyperlink ref="I344" r:id="rId675" display="ver anuncios"/>
    <hyperlink ref="J344" r:id="rId676" display="abrir"/>
    <hyperlink ref="I345" r:id="rId677" display="ver anuncios"/>
    <hyperlink ref="J345" r:id="rId678" display="abrir"/>
    <hyperlink ref="I346" r:id="rId679" display="ver anuncios"/>
    <hyperlink ref="J346" r:id="rId680" display="abrir"/>
    <hyperlink ref="I347" r:id="rId681" display="ver anuncios"/>
    <hyperlink ref="J347" r:id="rId682" display="abrir"/>
    <hyperlink ref="I348" r:id="rId683" display="ver anuncios"/>
    <hyperlink ref="J348" r:id="rId684" display="abrir"/>
    <hyperlink ref="I349" r:id="rId685" display="ver anuncios"/>
    <hyperlink ref="J349" r:id="rId686" display="abrir"/>
    <hyperlink ref="I350" r:id="rId687" display="ver anuncios"/>
    <hyperlink ref="J350" r:id="rId688" display="abrir"/>
    <hyperlink ref="I351" r:id="rId689" display="ver anuncios"/>
    <hyperlink ref="J351" r:id="rId690" display="abrir"/>
    <hyperlink ref="I352" r:id="rId691" display="ver anuncios"/>
    <hyperlink ref="J352" r:id="rId692" display="abrir"/>
    <hyperlink ref="I353" r:id="rId693" display="ver anuncios"/>
    <hyperlink ref="J353" r:id="rId694" display="abrir"/>
    <hyperlink ref="I354" r:id="rId695" display="ver anuncios"/>
    <hyperlink ref="I355" r:id="rId696" display="ver anuncios"/>
    <hyperlink ref="J355" r:id="rId697" display="abrir"/>
    <hyperlink ref="I356" r:id="rId698" display="ver anuncios"/>
    <hyperlink ref="J356" r:id="rId699" display="abrir"/>
    <hyperlink ref="I357" r:id="rId700" display="ver anuncios"/>
    <hyperlink ref="J357" r:id="rId701" display="abrir"/>
    <hyperlink ref="I358" r:id="rId702" display="ver anuncios"/>
    <hyperlink ref="J358" r:id="rId703" display="abrir"/>
    <hyperlink ref="I359" r:id="rId704" display="ver anuncios"/>
    <hyperlink ref="J359" r:id="rId705" display="abrir"/>
    <hyperlink ref="I360" r:id="rId706" display="ver anuncios"/>
    <hyperlink ref="J360" r:id="rId707" display="abrir"/>
    <hyperlink ref="I361" r:id="rId708" display="ver anuncios"/>
    <hyperlink ref="J361" r:id="rId709" display="abrir"/>
    <hyperlink ref="I362" r:id="rId710" display="ver anuncios"/>
    <hyperlink ref="J362" r:id="rId711" display="abrir"/>
    <hyperlink ref="I363" r:id="rId712" display="ver anuncios"/>
    <hyperlink ref="J363" r:id="rId713" display="abrir"/>
    <hyperlink ref="I364" r:id="rId714" display="ver anuncios"/>
    <hyperlink ref="J364" r:id="rId715" display="abrir"/>
    <hyperlink ref="I365" r:id="rId716" display="ver anuncios"/>
    <hyperlink ref="J365" r:id="rId717" display="abrir"/>
    <hyperlink ref="I366" r:id="rId718" display="ver anuncios"/>
    <hyperlink ref="J366" r:id="rId719" display="abrir"/>
    <hyperlink ref="I367" r:id="rId720" display="ver anuncios"/>
    <hyperlink ref="J367" r:id="rId721" display="abrir"/>
    <hyperlink ref="I368" r:id="rId722" display="ver anuncios"/>
    <hyperlink ref="J368" r:id="rId723" display="abrir"/>
    <hyperlink ref="I369" r:id="rId724" display="ver anuncios"/>
    <hyperlink ref="J369" r:id="rId725" display="abrir"/>
    <hyperlink ref="I370" r:id="rId726" display="ver anuncios"/>
    <hyperlink ref="J370" r:id="rId727" display="abrir"/>
    <hyperlink ref="I371" r:id="rId728" display="ver anuncios"/>
    <hyperlink ref="J371" r:id="rId729" display="abrir"/>
    <hyperlink ref="I372" r:id="rId730" display="ver anuncios"/>
    <hyperlink ref="J372" r:id="rId731" display="abrir"/>
    <hyperlink ref="I373" r:id="rId732" display="ver anuncios"/>
    <hyperlink ref="I374" r:id="rId733" display="ver anuncios"/>
    <hyperlink ref="J374" r:id="rId734" display="abrir"/>
    <hyperlink ref="I375" r:id="rId735" display="ver anuncios"/>
    <hyperlink ref="J375" r:id="rId736" display="abrir"/>
    <hyperlink ref="I376" r:id="rId737" display="ver anuncios"/>
    <hyperlink ref="J376" r:id="rId738" display="abrir"/>
    <hyperlink ref="I377" r:id="rId739" display="ver anuncios"/>
    <hyperlink ref="J377" r:id="rId740" display="abrir"/>
    <hyperlink ref="I378" r:id="rId741" display="ver anuncios"/>
    <hyperlink ref="J378" r:id="rId742" display="abrir"/>
    <hyperlink ref="I379" r:id="rId743" display="ver anuncios"/>
    <hyperlink ref="J379" r:id="rId744" display="abrir"/>
    <hyperlink ref="I380" r:id="rId745" display="ver anuncios"/>
    <hyperlink ref="J380" r:id="rId746" display="abrir"/>
    <hyperlink ref="I381" r:id="rId747" display="ver anuncios"/>
    <hyperlink ref="J381" r:id="rId748" display="abrir"/>
    <hyperlink ref="I382" r:id="rId749" display="ver anuncios"/>
    <hyperlink ref="J382" r:id="rId750" display="abrir"/>
    <hyperlink ref="I383" r:id="rId751" display="ver anuncios"/>
    <hyperlink ref="J383" r:id="rId752" display="abrir"/>
    <hyperlink ref="I384" r:id="rId753" display="ver anuncios"/>
    <hyperlink ref="J384" r:id="rId754" display="abrir"/>
    <hyperlink ref="I385" r:id="rId755" display="ver anuncios"/>
    <hyperlink ref="J385" r:id="rId756" display="abrir"/>
    <hyperlink ref="I386" r:id="rId757" display="ver anuncios"/>
    <hyperlink ref="J386" r:id="rId758" display="abrir"/>
    <hyperlink ref="I387" r:id="rId759" display="ver anuncios"/>
    <hyperlink ref="J387" r:id="rId760" display="abrir"/>
    <hyperlink ref="I388" r:id="rId761" display="ver anuncios"/>
    <hyperlink ref="J388" r:id="rId762" display="abrir"/>
    <hyperlink ref="I389" r:id="rId763" display="ver anuncios"/>
    <hyperlink ref="J389" r:id="rId764" display="abrir"/>
    <hyperlink ref="I390" r:id="rId765" display="ver anuncios"/>
    <hyperlink ref="J390" r:id="rId766" display="abrir"/>
    <hyperlink ref="I391" r:id="rId767" display="ver anuncios"/>
    <hyperlink ref="J391" r:id="rId768" display="abrir"/>
    <hyperlink ref="I392" r:id="rId769" display="ver anuncios"/>
    <hyperlink ref="J392" r:id="rId770" display="abrir"/>
    <hyperlink ref="I393" r:id="rId771" display="ver anuncios"/>
    <hyperlink ref="J393" r:id="rId772" display="abrir"/>
    <hyperlink ref="I394" r:id="rId773" display="ver anuncios"/>
    <hyperlink ref="J394" r:id="rId774" display="abrir"/>
    <hyperlink ref="I395" r:id="rId775" display="ver anuncios"/>
    <hyperlink ref="J395" r:id="rId776" display="abrir"/>
    <hyperlink ref="I396" r:id="rId777" display="ver anuncios"/>
    <hyperlink ref="J396" r:id="rId778" display="abrir"/>
    <hyperlink ref="I397" r:id="rId779" display="ver anuncios"/>
    <hyperlink ref="J397" r:id="rId780" display="abrir"/>
    <hyperlink ref="I398" r:id="rId781" display="ver anuncios"/>
    <hyperlink ref="J398" r:id="rId782" display="abrir"/>
    <hyperlink ref="I399" r:id="rId783" display="ver anuncios"/>
    <hyperlink ref="J399" r:id="rId784" display="abrir"/>
    <hyperlink ref="I400" r:id="rId785" display="ver anuncios"/>
    <hyperlink ref="J400" r:id="rId786" display="abrir"/>
    <hyperlink ref="I401" r:id="rId787" display="ver anuncios"/>
    <hyperlink ref="J401" r:id="rId788" display="abrir"/>
    <hyperlink ref="I402" r:id="rId789" display="ver anuncios"/>
    <hyperlink ref="J402" r:id="rId790" display="abrir"/>
    <hyperlink ref="I403" r:id="rId791" display="ver anuncios"/>
    <hyperlink ref="J403" r:id="rId792" display="abrir"/>
    <hyperlink ref="I404" r:id="rId793" display="ver anuncios"/>
    <hyperlink ref="J404" r:id="rId794" display="abrir"/>
    <hyperlink ref="I405" r:id="rId795" display="ver anuncios"/>
    <hyperlink ref="J405" r:id="rId796" display="abrir"/>
    <hyperlink ref="I406" r:id="rId797" display="ver anuncios"/>
    <hyperlink ref="J406" r:id="rId798" display="abrir"/>
    <hyperlink ref="I407" r:id="rId799" display="ver anuncios"/>
    <hyperlink ref="J407" r:id="rId800" display="abrir"/>
    <hyperlink ref="I408" r:id="rId801" display="ver anuncios"/>
    <hyperlink ref="J408" r:id="rId802" display="abrir"/>
    <hyperlink ref="I409" r:id="rId803" display="ver anuncios"/>
    <hyperlink ref="J409" r:id="rId804" display="abrir"/>
    <hyperlink ref="I410" r:id="rId805" display="ver anuncios"/>
    <hyperlink ref="J410" r:id="rId806" display="abrir"/>
    <hyperlink ref="I411" r:id="rId807" display="ver anuncios"/>
    <hyperlink ref="J411" r:id="rId808" display="abrir"/>
    <hyperlink ref="I412" r:id="rId809" display="ver anuncios"/>
    <hyperlink ref="J412" r:id="rId810" display="abrir"/>
    <hyperlink ref="I413" r:id="rId811" display="ver anuncios"/>
    <hyperlink ref="J413" r:id="rId812" display="abrir"/>
    <hyperlink ref="I414" r:id="rId813" display="ver anuncios"/>
    <hyperlink ref="J414" r:id="rId814" display="abrir"/>
    <hyperlink ref="I415" r:id="rId815" display="ver anuncios"/>
    <hyperlink ref="J415" r:id="rId816" display="abrir"/>
    <hyperlink ref="I416" r:id="rId817" display="ver anuncios"/>
    <hyperlink ref="J416" r:id="rId818" display="abrir"/>
    <hyperlink ref="I417" r:id="rId819" display="ver anuncios"/>
    <hyperlink ref="J417" r:id="rId820" display="abrir"/>
    <hyperlink ref="I418" r:id="rId821" display="ver anuncios"/>
    <hyperlink ref="J418" r:id="rId822" display="abrir"/>
    <hyperlink ref="I419" r:id="rId823" display="ver anuncios"/>
    <hyperlink ref="J419" r:id="rId824" display="abrir"/>
    <hyperlink ref="I420" r:id="rId825" display="ver anuncios"/>
    <hyperlink ref="J420" r:id="rId826" display="abrir"/>
    <hyperlink ref="I421" r:id="rId827" display="ver anuncios"/>
    <hyperlink ref="J421" r:id="rId828" display="abrir"/>
    <hyperlink ref="I422" r:id="rId829" display="ver anuncios"/>
    <hyperlink ref="J422" r:id="rId830" display="abrir"/>
    <hyperlink ref="I423" r:id="rId831" display="ver anuncios"/>
    <hyperlink ref="J423" r:id="rId832" display="abrir"/>
    <hyperlink ref="I424" r:id="rId833" display="ver anuncios"/>
    <hyperlink ref="J424" r:id="rId834" display="abrir"/>
    <hyperlink ref="I425" r:id="rId835" display="ver anuncios"/>
    <hyperlink ref="J425" r:id="rId836" display="abrir"/>
    <hyperlink ref="I426" r:id="rId837" display="ver anuncios"/>
    <hyperlink ref="J426" r:id="rId838" display="abrir"/>
    <hyperlink ref="I427" r:id="rId839" display="ver anuncios"/>
    <hyperlink ref="J427" r:id="rId840" display="abrir"/>
    <hyperlink ref="I428" r:id="rId841" display="ver anuncios"/>
    <hyperlink ref="J428" r:id="rId842" display="abrir"/>
    <hyperlink ref="I429" r:id="rId843" display="ver anuncios"/>
    <hyperlink ref="I430" r:id="rId844" display="ver anuncios"/>
    <hyperlink ref="J430" r:id="rId845" display="abrir"/>
    <hyperlink ref="I431" r:id="rId846" display="ver anuncios"/>
    <hyperlink ref="J431" r:id="rId847" display="abrir"/>
    <hyperlink ref="I432" r:id="rId848" display="ver anuncios"/>
    <hyperlink ref="J432" r:id="rId849" display="abrir"/>
    <hyperlink ref="I433" r:id="rId850" display="ver anuncios"/>
    <hyperlink ref="J433" r:id="rId851" display="abrir"/>
    <hyperlink ref="I434" r:id="rId852" display="ver anuncios"/>
    <hyperlink ref="J434" r:id="rId853" display="abrir"/>
    <hyperlink ref="I435" r:id="rId854" display="ver anuncios"/>
    <hyperlink ref="J435" r:id="rId855" display="abrir"/>
    <hyperlink ref="I436" r:id="rId856" display="ver anuncios"/>
    <hyperlink ref="J436" r:id="rId857" display="abrir"/>
    <hyperlink ref="I437" r:id="rId858" display="ver anuncios"/>
    <hyperlink ref="J437" r:id="rId859" display="abrir"/>
    <hyperlink ref="I438" r:id="rId860" display="ver anuncios"/>
    <hyperlink ref="J438" r:id="rId861" display="abrir"/>
    <hyperlink ref="I439" r:id="rId862" display="ver anuncios"/>
    <hyperlink ref="J439" r:id="rId863" display="abrir"/>
    <hyperlink ref="I440" r:id="rId864" display="ver anuncios"/>
    <hyperlink ref="J440" r:id="rId865" display="abrir"/>
    <hyperlink ref="I441" r:id="rId866" display="ver anuncios"/>
    <hyperlink ref="J441" r:id="rId867" display="abrir"/>
    <hyperlink ref="I442" r:id="rId868" display="ver anuncios"/>
    <hyperlink ref="J442" r:id="rId869" display="abrir"/>
    <hyperlink ref="I443" r:id="rId870" display="ver anuncios"/>
    <hyperlink ref="J443" r:id="rId871" display="abrir"/>
    <hyperlink ref="I444" r:id="rId872" display="ver anuncios"/>
    <hyperlink ref="J444" r:id="rId873" display="abrir"/>
    <hyperlink ref="I445" r:id="rId874" display="ver anuncios"/>
    <hyperlink ref="J445" r:id="rId875" display="abrir"/>
    <hyperlink ref="I446" r:id="rId876" display="ver anuncios"/>
    <hyperlink ref="J446" r:id="rId877" display="abrir"/>
    <hyperlink ref="I447" r:id="rId878" display="ver anuncios"/>
    <hyperlink ref="J447" r:id="rId879" display="abrir"/>
    <hyperlink ref="I448" r:id="rId880" display="ver anuncios"/>
    <hyperlink ref="J448" r:id="rId881" display="abrir"/>
    <hyperlink ref="I449" r:id="rId882" display="ver anuncios"/>
    <hyperlink ref="J449" r:id="rId883" display="abrir"/>
    <hyperlink ref="I450" r:id="rId884" display="ver anuncios"/>
    <hyperlink ref="J450" r:id="rId885" display="abrir"/>
    <hyperlink ref="I451" r:id="rId886" display="ver anuncios"/>
    <hyperlink ref="J451" r:id="rId887" display="abrir"/>
    <hyperlink ref="I452" r:id="rId888" display="ver anuncios"/>
    <hyperlink ref="J452" r:id="rId889" display="abrir"/>
    <hyperlink ref="I453" r:id="rId890" display="ver anuncios"/>
    <hyperlink ref="J453" r:id="rId891" display="abrir"/>
    <hyperlink ref="I454" r:id="rId892" display="ver anuncios"/>
    <hyperlink ref="J454" r:id="rId893" display="abrir"/>
    <hyperlink ref="I455" r:id="rId894" display="ver anuncios"/>
    <hyperlink ref="J455" r:id="rId895" display="abrir"/>
    <hyperlink ref="I456" r:id="rId896" display="ver anuncios"/>
    <hyperlink ref="J456" r:id="rId897" display="abrir"/>
    <hyperlink ref="I457" r:id="rId898" display="ver anuncios"/>
    <hyperlink ref="J457" r:id="rId899" display="abrir"/>
    <hyperlink ref="I458" r:id="rId900" display="ver anuncios"/>
    <hyperlink ref="J458" r:id="rId901" display="abrir"/>
    <hyperlink ref="I459" r:id="rId902" display="ver anuncios"/>
    <hyperlink ref="J459" r:id="rId903" display="abrir"/>
    <hyperlink ref="I460" r:id="rId904" display="ver anuncios"/>
    <hyperlink ref="J460" r:id="rId905" display="abrir"/>
    <hyperlink ref="I461" r:id="rId906" display="ver anuncios"/>
    <hyperlink ref="J461" r:id="rId907" display="abrir"/>
    <hyperlink ref="I462" r:id="rId908" display="ver anuncios"/>
    <hyperlink ref="J462" r:id="rId909" display="abrir"/>
    <hyperlink ref="I463" r:id="rId910" display="ver anuncios"/>
    <hyperlink ref="J463" r:id="rId911" display="abrir"/>
    <hyperlink ref="I464" r:id="rId912" display="ver anuncios"/>
    <hyperlink ref="J464" r:id="rId913" display="abrir"/>
    <hyperlink ref="I465" r:id="rId914" display="ver anuncios"/>
    <hyperlink ref="J465" r:id="rId915" location="" display="abrir"/>
    <hyperlink ref="I466" r:id="rId916" display="ver anuncios"/>
    <hyperlink ref="J466" r:id="rId917" display="abri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918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38"/>
  </cols>
  <sheetData>
    <row r="1" customFormat="false" ht="16.15" hidden="false" customHeight="false" outlineLevel="0" collapsed="false">
      <c r="A1" s="9" t="s">
        <v>782</v>
      </c>
    </row>
    <row r="3" customFormat="false" ht="33.75" hidden="false" customHeight="true" outlineLevel="0" collapsed="false">
      <c r="A3" s="11" t="s">
        <v>36</v>
      </c>
      <c r="B3" s="11" t="s">
        <v>783</v>
      </c>
      <c r="C3" s="11" t="s">
        <v>39</v>
      </c>
      <c r="D3" s="11" t="s">
        <v>784</v>
      </c>
      <c r="E3" s="11" t="s">
        <v>785</v>
      </c>
      <c r="F3" s="11" t="s">
        <v>786</v>
      </c>
    </row>
    <row r="4" customFormat="false" ht="15" hidden="false" customHeight="false" outlineLevel="0" collapsed="false">
      <c r="A4" s="24" t="s">
        <v>95</v>
      </c>
      <c r="B4" s="25" t="n">
        <v>1</v>
      </c>
      <c r="C4" s="25" t="n">
        <v>1</v>
      </c>
      <c r="D4" s="25" t="n">
        <v>255</v>
      </c>
      <c r="E4" s="25" t="n">
        <v>255</v>
      </c>
      <c r="F4" s="26" t="s">
        <v>94</v>
      </c>
    </row>
    <row r="5" customFormat="false" ht="15" hidden="false" customHeight="false" outlineLevel="0" collapsed="false">
      <c r="A5" s="24" t="s">
        <v>74</v>
      </c>
      <c r="B5" s="25" t="n">
        <v>4</v>
      </c>
      <c r="C5" s="25" t="n">
        <v>10</v>
      </c>
      <c r="D5" s="25" t="n">
        <v>199</v>
      </c>
      <c r="E5" s="25" t="n">
        <v>401</v>
      </c>
      <c r="F5" s="26" t="s">
        <v>73</v>
      </c>
    </row>
    <row r="6" customFormat="false" ht="15" hidden="false" customHeight="false" outlineLevel="0" collapsed="false">
      <c r="A6" s="24" t="s">
        <v>65</v>
      </c>
      <c r="B6" s="25" t="n">
        <v>11</v>
      </c>
      <c r="C6" s="25" t="n">
        <v>33</v>
      </c>
      <c r="D6" s="25" t="n">
        <v>196</v>
      </c>
      <c r="E6" s="25" t="n">
        <v>564</v>
      </c>
      <c r="F6" s="26" t="s">
        <v>139</v>
      </c>
    </row>
    <row r="7" customFormat="false" ht="15" hidden="false" customHeight="false" outlineLevel="0" collapsed="false">
      <c r="A7" s="24" t="s">
        <v>57</v>
      </c>
      <c r="B7" s="25" t="n">
        <v>5</v>
      </c>
      <c r="C7" s="25" t="n">
        <v>14</v>
      </c>
      <c r="D7" s="25" t="n">
        <v>150</v>
      </c>
      <c r="E7" s="25" t="n">
        <v>456</v>
      </c>
      <c r="F7" s="26" t="s">
        <v>56</v>
      </c>
    </row>
    <row r="8" customFormat="false" ht="15" hidden="false" customHeight="false" outlineLevel="0" collapsed="false">
      <c r="A8" s="24" t="s">
        <v>114</v>
      </c>
      <c r="B8" s="25" t="n">
        <v>1</v>
      </c>
      <c r="C8" s="25" t="n">
        <v>1</v>
      </c>
      <c r="D8" s="25" t="n">
        <v>149</v>
      </c>
      <c r="E8" s="25" t="n">
        <v>149</v>
      </c>
      <c r="F8" s="26" t="s">
        <v>113</v>
      </c>
    </row>
    <row r="9" customFormat="false" ht="15" hidden="false" customHeight="false" outlineLevel="0" collapsed="false">
      <c r="A9" s="24" t="s">
        <v>87</v>
      </c>
      <c r="B9" s="25" t="n">
        <v>4</v>
      </c>
      <c r="C9" s="25" t="n">
        <v>7</v>
      </c>
      <c r="D9" s="25" t="n">
        <v>132</v>
      </c>
      <c r="E9" s="25" t="n">
        <v>449</v>
      </c>
      <c r="F9" s="26" t="s">
        <v>86</v>
      </c>
    </row>
    <row r="10" customFormat="false" ht="15" hidden="false" customHeight="false" outlineLevel="0" collapsed="false">
      <c r="A10" s="24" t="s">
        <v>69</v>
      </c>
      <c r="B10" s="25" t="n">
        <v>28</v>
      </c>
      <c r="C10" s="25" t="n">
        <v>39</v>
      </c>
      <c r="D10" s="25" t="n">
        <v>85</v>
      </c>
      <c r="E10" s="25" t="n">
        <v>464</v>
      </c>
      <c r="F10" s="26" t="s">
        <v>71</v>
      </c>
    </row>
    <row r="11" customFormat="false" ht="15" hidden="false" customHeight="false" outlineLevel="0" collapsed="false">
      <c r="A11" s="24" t="s">
        <v>92</v>
      </c>
      <c r="B11" s="25" t="n">
        <v>12</v>
      </c>
      <c r="C11" s="25" t="n">
        <v>16</v>
      </c>
      <c r="D11" s="25" t="n">
        <v>84</v>
      </c>
      <c r="E11" s="25" t="n">
        <v>371</v>
      </c>
      <c r="F11" s="26" t="s">
        <v>142</v>
      </c>
    </row>
    <row r="12" customFormat="false" ht="15" hidden="false" customHeight="false" outlineLevel="0" collapsed="false">
      <c r="A12" s="24" t="s">
        <v>132</v>
      </c>
      <c r="B12" s="25" t="n">
        <v>1</v>
      </c>
      <c r="C12" s="25" t="n">
        <v>1</v>
      </c>
      <c r="D12" s="25" t="n">
        <v>66</v>
      </c>
      <c r="E12" s="25" t="n">
        <v>66</v>
      </c>
      <c r="F12" s="26" t="s">
        <v>131</v>
      </c>
    </row>
    <row r="13" customFormat="false" ht="15" hidden="false" customHeight="false" outlineLevel="0" collapsed="false">
      <c r="A13" s="24" t="s">
        <v>137</v>
      </c>
      <c r="B13" s="25" t="n">
        <v>1</v>
      </c>
      <c r="C13" s="25" t="n">
        <v>1</v>
      </c>
      <c r="D13" s="25" t="n">
        <v>38</v>
      </c>
      <c r="E13" s="25" t="n">
        <v>38</v>
      </c>
      <c r="F13" s="26" t="s">
        <v>136</v>
      </c>
    </row>
    <row r="14" customFormat="false" ht="15" hidden="false" customHeight="false" outlineLevel="0" collapsed="false">
      <c r="A14" s="24" t="s">
        <v>164</v>
      </c>
      <c r="B14" s="25" t="n">
        <v>1</v>
      </c>
      <c r="C14" s="25" t="n">
        <v>1</v>
      </c>
      <c r="D14" s="25" t="n">
        <v>25</v>
      </c>
      <c r="E14" s="25" t="n">
        <v>25</v>
      </c>
      <c r="F14" s="26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2026-09-11T22:43:02Z</dcterms:created>
  <dc:creator>openpyxl</dc:creator>
  <dc:description/>
  <dc:language>en-US</dc:language>
  <cp:lastModifiedBy/>
  <dcterms:modified xsi:type="dcterms:W3CDTF">2026-09-11T22:43:03Z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