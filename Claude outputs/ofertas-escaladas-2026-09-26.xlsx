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fertas escaladas" sheetId="1" state="visible" r:id="rId3"/>
    <sheet name="Criativos (vídeos)" sheetId="2" state="visible" r:id="rId4"/>
    <sheet name="Palavras-chave" sheetId="3" state="visible" r:id="rId5"/>
    <sheet name="Escala com golpe (não copiar)" sheetId="4" state="visible" r:id="rId6"/>
    <sheet name="Como ler" sheetId="5" state="visible" r:id="rId7"/>
  </sheets>
  <definedNames>
    <definedName function="false" hidden="true" localSheetId="1" name="_xlnm._FilterDatabase" vbProcedure="false">'Criativos (vídeos)'!$A$1:$G$404</definedName>
    <definedName function="false" hidden="true" localSheetId="0" name="_xlnm._FilterDatabase" vbProcedure="false">'Ofertas escaladas'!$A$1:$AA$30</definedName>
    <definedName function="false" hidden="true" localSheetId="2" name="_xlnm._FilterDatabase" vbProcedure="false">'Palavras-chave'!$A$1:$D$97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<sst xmlns="http://schemas.openxmlformats.org/spreadsheetml/2006/main" count="2967" uniqueCount="953">
  <si>
    <t xml:space="preserve">#</t>
  </si>
  <si>
    <t xml:space="preserve">Oferta</t>
  </si>
  <si>
    <t xml:space="preserve">Nicho</t>
  </si>
  <si>
    <t xml:space="preserve">Nível de escala (1-5)</t>
  </si>
  <si>
    <t xml:space="preserve">Facilidade de replicar (1-10)</t>
  </si>
  <si>
    <t xml:space="preserve">Facilidade</t>
  </si>
  <si>
    <t xml:space="preserve">Prioridade (0-10)</t>
  </si>
  <si>
    <t xml:space="preserve">Status em 26/09</t>
  </si>
  <si>
    <t xml:space="preserve">Anúncios ativos hoje</t>
  </si>
  <si>
    <t xml:space="preserve">Novos criativos (14 dias)</t>
  </si>
  <si>
    <t xml:space="preserve">Anúncio ativo mais antigo</t>
  </si>
  <si>
    <t xml:space="preserve">Dias no ar (hoje)</t>
  </si>
  <si>
    <t xml:space="preserve">Maior tempo no ar medido (vault)</t>
  </si>
  <si>
    <t xml:space="preserve">Reclamações RA</t>
  </si>
  <si>
    <t xml:space="preserve">Sinal de escala</t>
  </si>
  <si>
    <t xml:space="preserve">Página de vendas</t>
  </si>
  <si>
    <t xml:space="preserve">Ver vídeos/anúncios (Biblioteca)</t>
  </si>
  <si>
    <t xml:space="preserve">Criativo campeão (mais antigo)</t>
  </si>
  <si>
    <t xml:space="preserve">Palavras-chave p/ achar similares</t>
  </si>
  <si>
    <t xml:space="preserve">Links de busca por palavra-chave</t>
  </si>
  <si>
    <t xml:space="preserve">Ticket frente (R$)</t>
  </si>
  <si>
    <t xml:space="preserve">Ticket médio est. (R$)</t>
  </si>
  <si>
    <t xml:space="preserve">Checkout</t>
  </si>
  <si>
    <t xml:space="preserve">Entrega</t>
  </si>
  <si>
    <t xml:space="preserve">O que estudar</t>
  </si>
  <si>
    <t xml:space="preserve">Risco / atenção</t>
  </si>
  <si>
    <t xml:space="preserve">Nota no vault</t>
  </si>
  <si>
    <t xml:space="preserve">Retrato da Alma Gêmea (desenho por IA)</t>
  </si>
  <si>
    <t xml:space="preserve">Esotérico · relacionamento</t>
  </si>
  <si>
    <t xml:space="preserve">Acelerando</t>
  </si>
  <si>
    <t xml:space="preserve">1826 dias no ar (medido no vault); anúncio ativo mais antigo: 25 dias; 14 anúncios ativos hoje; 206 reclamações no RA (proxy de venda)</t>
  </si>
  <si>
    <t xml:space="preserve">https://par-sketch.app/</t>
  </si>
  <si>
    <t xml:space="preserve">Abrir anúncios ativos</t>
  </si>
  <si>
    <t xml:space="preserve">1637691644439783 (01/09/2026)</t>
  </si>
  <si>
    <t xml:space="preserve">retrato da alma gêmea, desenho da alma gêmea, rosto da sua alma gêmea, soulmate sketch</t>
  </si>
  <si>
    <t xml:space="preserve">Buscar “retrato da alma gêmea”</t>
  </si>
  <si>
    <t xml:space="preserve">kirvano</t>
  </si>
  <si>
    <t xml:space="preserve">servico-digital</t>
  </si>
  <si>
    <t xml:space="preserve">Ativa desde 2021 (1.826 dias), 206 reclamações. Front R$ 29–39,99 + upsell R$ 27 de 'especificidade'. Hoje quem anuncia é par-sketch.app (quiz) e afiliados na Kiwify.</t>
  </si>
  <si>
    <t xml:space="preserve">Promessa esotérica e volume alto de reclamação: risco de conta de anúncio e reembolso. LP alternativa: https://alldigital.fun/index.php/alma-gemea/</t>
  </si>
  <si>
    <t xml:space="preserve">Ofertas/retrato-da-alma-gemea.md</t>
  </si>
  <si>
    <t xml:space="preserve">Alfabetinho (pacotes imprimíveis)</t>
  </si>
  <si>
    <t xml:space="preserve">Material pedagógico · alfabetização / ed. especial</t>
  </si>
  <si>
    <t xml:space="preserve">Ativa, estável</t>
  </si>
  <si>
    <t xml:space="preserve">—</t>
  </si>
  <si>
    <t xml:space="preserve">anúncio ativo mais antigo: 120 dias; 9 anúncios ativos hoje; 177 reclamações no RA (proxy de venda)</t>
  </si>
  <si>
    <t xml:space="preserve">https://alfabetinho.com.br/produtos2026</t>
  </si>
  <si>
    <t xml:space="preserve">970044505662581 (29/05/2026)</t>
  </si>
  <si>
    <t xml:space="preserve">alfabetinho, atividades de alfabetização, painel interativo alfabetização, educação especial atividades</t>
  </si>
  <si>
    <t xml:space="preserve">Buscar “alfabetinho”</t>
  </si>
  <si>
    <t xml:space="preserve">ebook, curso</t>
  </si>
  <si>
    <t xml:space="preserve">Maior volume de reclamação do nicho (177 no RA, reputação boa 7,7) = volume de venda real. Anúncios em carrossel/DCO de catálogo + marca 'Clube Alfabetinho' com produto físico/jogo.</t>
  </si>
  <si>
    <t xml:space="preserve">Ticket não capturado. Marca estabelecida.</t>
  </si>
  <si>
    <t xml:space="preserve">Ofertas/alfabetinho.md</t>
  </si>
  <si>
    <t xml:space="preserve">Parábolas Kids (1.001 parábolas)</t>
  </si>
  <si>
    <t xml:space="preserve">Infantil cristão</t>
  </si>
  <si>
    <t xml:space="preserve">anúncio ativo mais antigo: 138 dias; 11 anúncios ativos hoje; 1 reclamações no RA (proxy de venda)</t>
  </si>
  <si>
    <t xml:space="preserve">https://parabolaskids.com.br/</t>
  </si>
  <si>
    <t xml:space="preserve">993503046348507 (11/05/2026)</t>
  </si>
  <si>
    <t xml:space="preserve">parábolas bíblicas para crianças, devocional infantil, valores cristãos kids, histórias bíblicas crianças</t>
  </si>
  <si>
    <t xml:space="preserve">Buscar “parábolas bíblicas para crianças”</t>
  </si>
  <si>
    <t xml:space="preserve">kiwify</t>
  </si>
  <si>
    <t xml:space="preserve">pdf</t>
  </si>
  <si>
    <t xml:space="preserve">R$ 37 com bônus editável em Canva, '10 minutos por dia', 4 bônus ancorando R$ 438. Roda em 2 domínios (parabolaskids / valorescristaoskids).</t>
  </si>
  <si>
    <t xml:space="preserve">Baixo. Nicho cristão aceita bem imprimível.</t>
  </si>
  <si>
    <t xml:space="preserve">Ofertas/parabolas-kids.md</t>
  </si>
  <si>
    <t xml:space="preserve">Disciplina Positiva em Casa (Mãe Desajustada)</t>
  </si>
  <si>
    <t xml:space="preserve">Comportamento infantil</t>
  </si>
  <si>
    <t xml:space="preserve">Ativa, renovando criativos</t>
  </si>
  <si>
    <t xml:space="preserve">anúncio ativo mais antigo: 123 dias; 23 anúncios ativos hoje</t>
  </si>
  <si>
    <t xml:space="preserve">https://comportamentopositivo.com/disciplina/</t>
  </si>
  <si>
    <t xml:space="preserve">2084315022150331 (26/05/2026)</t>
  </si>
  <si>
    <t xml:space="preserve">disciplina positiva, birra criança, rotina infantil, parar de gritar com filho</t>
  </si>
  <si>
    <t xml:space="preserve">Buscar “disciplina positiva”</t>
  </si>
  <si>
    <t xml:space="preserve">ebook, pdf</t>
  </si>
  <si>
    <t xml:space="preserve">eBook + 40 modelos de rotina (R$ 37). A página 'Mãe_desajustada' roda 3 LPs (disciplina, casa-organizada, cuidando-lar) — mesmo motor, 3 dores.</t>
  </si>
  <si>
    <t xml:space="preserve">Ângulo com vários players (saturação 4).</t>
  </si>
  <si>
    <t xml:space="preserve">Ofertas/disciplina-positiva-em-casa.md</t>
  </si>
  <si>
    <t xml:space="preserve">Bonecas de Papel (Maria Criativa / Jéssica Alencar)</t>
  </si>
  <si>
    <t xml:space="preserve">Imprimível infantil · brincadeira</t>
  </si>
  <si>
    <t xml:space="preserve">54 dias no ar (medido no vault); anúncio ativo mais antigo: 62 dias; 8 anúncios ativos hoje</t>
  </si>
  <si>
    <t xml:space="preserve">https://bonecas-de-papel.vercel.app/</t>
  </si>
  <si>
    <t xml:space="preserve">2219073155603183 (26/07/2026)</t>
  </si>
  <si>
    <t xml:space="preserve">bonecas de papel, bonecas de papel anos 90, brinquedo de papel imprimível</t>
  </si>
  <si>
    <t xml:space="preserve">Buscar “bonecas de papel”</t>
  </si>
  <si>
    <t xml:space="preserve">ebook</t>
  </si>
  <si>
    <t xml:space="preserve">Criativo de nostalgia dirigido à mãe ('lembra das bonecas de papel dos anos 90?'). Degrau básico/completo no checkout (R$ 17,90/27,90), garantia 30 dias. Hoje quem mais anuncia é a LP em Vercel (8 vídeos).</t>
  </si>
  <si>
    <t xml:space="preserve">Termo 'bonecas de papel' com 6+ operadores no leilão. A LP em lovable.app não apareceu hoje. LP alternativa: https://bonecasdepapel28.lovable.app</t>
  </si>
  <si>
    <t xml:space="preserve">Ofertas/bonecas-papel-maria-criativa.md</t>
  </si>
  <si>
    <t xml:space="preserve">Pipo — Método NeuroOctoMusical</t>
  </si>
  <si>
    <t xml:space="preserve">Alfabetização infantil</t>
  </si>
  <si>
    <t xml:space="preserve">anúncio ativo mais antigo: 157 dias; 28 anúncios ativos hoje; 1 reclamações no RA (proxy de venda)</t>
  </si>
  <si>
    <t xml:space="preserve">https://teste.pipoeduca.com/</t>
  </si>
  <si>
    <t xml:space="preserve">1226637092640294 (22/04/2026)</t>
  </si>
  <si>
    <t xml:space="preserve">NeuroOctoMusical, alfabetização por sílabas, criança aprender a ler, método de alfabetização</t>
  </si>
  <si>
    <t xml:space="preserve">Buscar “NeuroOctoMusical”</t>
  </si>
  <si>
    <t xml:space="preserve">curso</t>
  </si>
  <si>
    <t xml:space="preserve">Funil de teste/quiz (teste.pipoeduca.com) com personagem demonstrando o método no vídeo. Muitos criativos desde abril.</t>
  </si>
  <si>
    <t xml:space="preserve">Reclamações de curso 'em produção'. Exige vídeo com personagem.</t>
  </si>
  <si>
    <t xml:space="preserve">Ofertas/metodo-neuromusical.md</t>
  </si>
  <si>
    <t xml:space="preserve">Galera da EdFísica (Aeróbico Ritmado e outros)</t>
  </si>
  <si>
    <t xml:space="preserve">Professor · educação física</t>
  </si>
  <si>
    <t xml:space="preserve">10 dias no ar (medido no vault); anúncio ativo mais antigo: 202 dias; 57 anúncios ativos hoje</t>
  </si>
  <si>
    <t xml:space="preserve">https://galeraindica.com.br/ritmado/</t>
  </si>
  <si>
    <t xml:space="preserve">2735190620155666 (08/03/2026)</t>
  </si>
  <si>
    <t xml:space="preserve">educação física ead, curso com certificado 50h, aula de ritmos, hidroginástica curso</t>
  </si>
  <si>
    <t xml:space="preserve">Buscar “educação física ead”</t>
  </si>
  <si>
    <t xml:space="preserve">hotmart</t>
  </si>
  <si>
    <t xml:space="preserve">curso, ebook</t>
  </si>
  <si>
    <t xml:space="preserve">Página com ~57 anúncios em imagem rodando vários produtos Hotmart (ritmado, musculação infantil, alongamento, hidro, primeiros socorros). Certificado de horas é o produto.</t>
  </si>
  <si>
    <t xml:space="preserve">Promessa de certificado: confira regras antes de copiar.</t>
  </si>
  <si>
    <t xml:space="preserve">Ofertas/aerobico-ritmado.md</t>
  </si>
  <si>
    <t xml:space="preserve">Coleção Caligrafia Cursiva (380 atividades)</t>
  </si>
  <si>
    <t xml:space="preserve">Material pedagógico · caligrafia</t>
  </si>
  <si>
    <t xml:space="preserve">123 dias no ar (medido no vault); anúncio ativo mais antigo: 149 dias; 1 anúncios ativos hoje</t>
  </si>
  <si>
    <t xml:space="preserve">https://atividade-cursiva.netlify.app</t>
  </si>
  <si>
    <t xml:space="preserve">2155571435280165 (30/04/2026)</t>
  </si>
  <si>
    <t xml:space="preserve">caligrafia, letra cursiva, letra feia, caderno de caligrafia, atividades de caligrafia</t>
  </si>
  <si>
    <t xml:space="preserve">Buscar “caligrafia”</t>
  </si>
  <si>
    <t xml:space="preserve">cakto</t>
  </si>
  <si>
    <t xml:space="preserve">LP única em Netlify, timer 14:59, 4 bônus de custo zero ancorando R$ 57,60, checkout Cakto direto. Criativo de 44s 'letra feia × letra bonita'. Mesmo criativo roda em 2 páginas.</t>
  </si>
  <si>
    <t xml:space="preserve">Ticket de R$ 12 sem bump/upsell: entrar já com bump (caderno de números) e upsell. 3+ concorrentes no mesmo termo.</t>
  </si>
  <si>
    <t xml:space="preserve">Ofertas/colecao-caligrafia-cursiva.md</t>
  </si>
  <si>
    <t xml:space="preserve">Mundo Criativo — Caderno de Caligrafia</t>
  </si>
  <si>
    <t xml:space="preserve">47 dias no ar (medido no vault); anúncio ativo mais antigo: 73 dias; 10 anúncios ativos hoje</t>
  </si>
  <si>
    <t xml:space="preserve">https://mundocriativobr.shop</t>
  </si>
  <si>
    <t xml:space="preserve">4477216049201855 (15/07/2026)</t>
  </si>
  <si>
    <t xml:space="preserve">caligrafia, letra cursiva, copia devagar, dificuldade com letra cursiva</t>
  </si>
  <si>
    <t xml:space="preserve">Criativo abre com pergunta diagnóstica (3 sintomas observáveis, sem diagnóstico). R$ 10. Concorrente direta da Coleção Caligrafia.</t>
  </si>
  <si>
    <t xml:space="preserve">Ângulo caligrafia já com 3+ operadores.</t>
  </si>
  <si>
    <t xml:space="preserve">Ofertas/mundo-criativo-caligrafia.md</t>
  </si>
  <si>
    <t xml:space="preserve">Ballerina Lab (Cantigas da Bailarina e outros)</t>
  </si>
  <si>
    <t xml:space="preserve">Dança · professora de ballet</t>
  </si>
  <si>
    <t xml:space="preserve">9 dias no ar (medido no vault); anúncio ativo mais antigo: 31 dias; 70 anúncios ativos hoje</t>
  </si>
  <si>
    <t xml:space="preserve">https://ballerinalab.com.br/cantigas-da-bailarina</t>
  </si>
  <si>
    <t xml:space="preserve">1084074807856178 (26/08/2026)</t>
  </si>
  <si>
    <t xml:space="preserve">coreografias prontas, baby class ballet, professora de ballet, cantigas da bailarina</t>
  </si>
  <si>
    <t xml:space="preserve">Buscar “coreografias prontas”</t>
  </si>
  <si>
    <t xml:space="preserve">ggcheckout</t>
  </si>
  <si>
    <t xml:space="preserve">R$ 19,90 + 7 order bumps no checkout (piscina R$ 119,30). Hoje ~70 anúncios em 5 LPs (cantigas, biblioteca musical, ballet das princesas, enciclopédia, app). É a oferta que mais acelerou desde 06/09.</t>
  </si>
  <si>
    <t xml:space="preserve">Nicho estreito (professoras de ballet); criativo em vídeo de sala de aula.</t>
  </si>
  <si>
    <t xml:space="preserve">Ofertas/cantigas-da-bailarina.md</t>
  </si>
  <si>
    <t xml:space="preserve">Little Genius (235 atividades)</t>
  </si>
  <si>
    <t xml:space="preserve">Material pedagógico · infantil 2–6 anos</t>
  </si>
  <si>
    <t xml:space="preserve">76 dias no ar (medido no vault); anúncio ativo mais antigo: 102 dias; 24 anúncios ativos hoje</t>
  </si>
  <si>
    <t xml:space="preserve">https://www.thelittlegenius.com.br</t>
  </si>
  <si>
    <t xml:space="preserve">2025255935031779 (16/06/2026)</t>
  </si>
  <si>
    <t xml:space="preserve">little genius, atividades montessori, atividades para crianças 2 a 6 anos, atividades educativas imprimíveis</t>
  </si>
  <si>
    <t xml:space="preserve">Buscar “little genius”</t>
  </si>
  <si>
    <t xml:space="preserve">Mesmo formato PDF do cluster cobrado a R$ 162 com vídeo de 1 min e domínio próprio. Dois domínios de checkout (teste paralelo). Prova de que o piso de R$ 10 é escolha do operador.</t>
  </si>
  <si>
    <t xml:space="preserve">Preço de R$ 162 ainda não confirmado em checkout aberto. Criativo com produção maior.</t>
  </si>
  <si>
    <t xml:space="preserve">Ofertas/little-genius.md</t>
  </si>
  <si>
    <t xml:space="preserve">Clube da Pedagogia</t>
  </si>
  <si>
    <t xml:space="preserve">Material pedagógico · professora</t>
  </si>
  <si>
    <t xml:space="preserve">74 dias no ar (medido no vault); anúncio ativo mais antigo: 100 dias; 14 anúncios ativos hoje</t>
  </si>
  <si>
    <t xml:space="preserve">https://clubedapedagogia.com</t>
  </si>
  <si>
    <t xml:space="preserve">992686450320863 (18/06/2026)</t>
  </si>
  <si>
    <t xml:space="preserve">clube da pedagogia, atividades prontas professora, atividades imprimíveis professor, planos de aula educação infantil</t>
  </si>
  <si>
    <t xml:space="preserve">Buscar “clube da pedagogia”</t>
  </si>
  <si>
    <t xml:space="preserve">Escada Básico R$ 20 → Premium R$ 39,90 → upgrade pós-compra R$ 28. Garantia como degrau (7 × 30 dias). 'Clube' sem recorrência. Prova social '12.400 professoras' + timer 15 min.</t>
  </si>
  <si>
    <t xml:space="preserve">Entrega por Drive + WhatsApp exige alguma operação.</t>
  </si>
  <si>
    <t xml:space="preserve">Ofertas/clube-da-pedagogia.md</t>
  </si>
  <si>
    <t xml:space="preserve">Lição Kids (loja de atividades)</t>
  </si>
  <si>
    <t xml:space="preserve">Material pedagógico · catálogo</t>
  </si>
  <si>
    <t xml:space="preserve">50 dias no ar (medido no vault); anúncio ativo mais antigo: 32 dias; 19 anúncios ativos hoje</t>
  </si>
  <si>
    <t xml:space="preserve">https://licaokids.com.br</t>
  </si>
  <si>
    <t xml:space="preserve">1105081868831679 (25/08/2026)</t>
  </si>
  <si>
    <t xml:space="preserve">licao kids, matemática 4 operações atividades, colorindo as sílabas, caligrafia para todos</t>
  </si>
  <si>
    <t xml:space="preserve">Buscar “licao kids”</t>
  </si>
  <si>
    <t xml:space="preserve">Loja com +25 produtos de R$ 9,90, cupom 'compre 3', combo de R$ 97. Hoje roda anúncios para várias LPs (matematica.licaokids, classes.licaokids, caligrafiaparatodos.com, alfacademi) — mapa de quais produtos escalam.</t>
  </si>
  <si>
    <t xml:space="preserve">Operação de catálogo, mais produto para manter.</t>
  </si>
  <si>
    <t xml:space="preserve">Ofertas/licao-kids.md</t>
  </si>
  <si>
    <t xml:space="preserve">Pequenas Estilistas (Ateliê Digital)</t>
  </si>
  <si>
    <t xml:space="preserve">Imprimível infantil · moda</t>
  </si>
  <si>
    <t xml:space="preserve">19 dias no ar (medido no vault); anúncio ativo mais antigo: 45 dias; 14 anúncios ativos hoje</t>
  </si>
  <si>
    <t xml:space="preserve">https://pequenasestilistas.com</t>
  </si>
  <si>
    <t xml:space="preserve">1050552667832142 (12/08/2026)</t>
  </si>
  <si>
    <t xml:space="preserve">pequenas estilistas, moldes de roupa de papel, ateliê infantil, desenho de moda para crianças</t>
  </si>
  <si>
    <t xml:space="preserve">Buscar “pequenas estilistas”</t>
  </si>
  <si>
    <t xml:space="preserve">Mesmo ativo das bonecas de papel vendido como 'coleção/ateliê/estilista' a R$ 27,90 (ancorado R$ 369). Duas páginas anunciando (Escola Pequena Estilista e Mãe_desajustada).</t>
  </si>
  <si>
    <t xml:space="preserve">Ângulo de papel imprimível já saturado; diferenciar pelo reposicionamento.</t>
  </si>
  <si>
    <t xml:space="preserve">Ofertas/pequenas-estilistas.md</t>
  </si>
  <si>
    <t xml:space="preserve">Kit 300 Aulas Prontas de Educação Física</t>
  </si>
  <si>
    <t xml:space="preserve">anúncio ativo mais antigo: 6 dias; 9 anúncios ativos hoje</t>
  </si>
  <si>
    <t xml:space="preserve">https://kit-300aulas-edfisica.netlify.app/</t>
  </si>
  <si>
    <t xml:space="preserve">1060059023314947 (20/09/2026)</t>
  </si>
  <si>
    <t xml:space="preserve">aulas prontas educação física, plano de aula educação física, Kit 300 Aulas, educação física escolar</t>
  </si>
  <si>
    <t xml:space="preserve">Buscar “aulas prontas educação física”</t>
  </si>
  <si>
    <t xml:space="preserve">wiapy</t>
  </si>
  <si>
    <t xml:space="preserve">pdf, area-membros</t>
  </si>
  <si>
    <t xml:space="preserve">Headline de restrição (pouco material, espaço e tempo), 4 bônus + bump temático, Wiapy. Acelerando: 9 vídeos novos em 15 dias.</t>
  </si>
  <si>
    <t xml:space="preserve">Ainda jovem (≈15 dias no ar hoje) — escala recente, não consolidada.</t>
  </si>
  <si>
    <t xml:space="preserve">Ofertas/kit-300-aulas-edfisica.md</t>
  </si>
  <si>
    <t xml:space="preserve">Missa em Atividades (catequese)</t>
  </si>
  <si>
    <t xml:space="preserve">Infantil católico</t>
  </si>
  <si>
    <t xml:space="preserve">Não verificado hoje</t>
  </si>
  <si>
    <t xml:space="preserve">35 dias no ar (medido no vault); 3 criativos no vault</t>
  </si>
  <si>
    <t xml:space="preserve">Não capturada — abrir pelo anúncio</t>
  </si>
  <si>
    <t xml:space="preserve">missa em atividades, catequese infantil, atividades católicas para crianças</t>
  </si>
  <si>
    <t xml:space="preserve">Buscar “missa em atividades”</t>
  </si>
  <si>
    <t xml:space="preserve">+200 imprimíveis sobre a Missa. Cruza material pedagógico com religioso: campo quase vazio (saturação 9).</t>
  </si>
  <si>
    <t xml:space="preserve">Ticket e LP não capturados.</t>
  </si>
  <si>
    <t xml:space="preserve">Ofertas/missa-em-atividades.md</t>
  </si>
  <si>
    <t xml:space="preserve">Do Rabisco à Letra Bonita</t>
  </si>
  <si>
    <t xml:space="preserve">32 dias no ar (medido no vault); 1 criativos no vault</t>
  </si>
  <si>
    <t xml:space="preserve">do rabisco à letra bonita, caligrafia bastão, grafismo</t>
  </si>
  <si>
    <t xml:space="preserve">Buscar “do rabisco à letra bonita”</t>
  </si>
  <si>
    <t xml:space="preserve">3 apostilas (grafismo, bastão, cursiva). Frase a copiar: 'imprimir, plastificar e usar quantas vezes quiser'.</t>
  </si>
  <si>
    <t xml:space="preserve">Terceiro operador de caligrafia.</t>
  </si>
  <si>
    <t xml:space="preserve">Ofertas/do-rabisco-a-letra-bonita.md</t>
  </si>
  <si>
    <t xml:space="preserve">Turminha Alfa Kids (2.750 atividades)</t>
  </si>
  <si>
    <t xml:space="preserve">Material pedagógico · alfabetização</t>
  </si>
  <si>
    <t xml:space="preserve">107 dias no ar (medido no vault); 2 criativos no vault</t>
  </si>
  <si>
    <t xml:space="preserve">alfa kids, alfabetização em 3 semanas, 2750 atividades, atividades de alfabetização</t>
  </si>
  <si>
    <t xml:space="preserve">Buscar “alfa kids”</t>
  </si>
  <si>
    <t xml:space="preserve">107 dias no ar em 31/08. Promessa de prazo ('em 3 semanas') em vez de volume.</t>
  </si>
  <si>
    <t xml:space="preserve">LP ainda não capturada no vault: abrir pelo anúncio.</t>
  </si>
  <si>
    <t xml:space="preserve">Ofertas/turminha-alfa-kids.md</t>
  </si>
  <si>
    <t xml:space="preserve">Kit Grafismo Fonético (venda no WhatsApp)</t>
  </si>
  <si>
    <t xml:space="preserve">39 dias no ar (medido no vault); 10 criativos no vault</t>
  </si>
  <si>
    <t xml:space="preserve">grafismo fonético, consciência fonológica, alfabetização educação especial</t>
  </si>
  <si>
    <t xml:space="preserve">Buscar “grafismo fonético”</t>
  </si>
  <si>
    <t xml:space="preserve">whatsapp</t>
  </si>
  <si>
    <t xml:space="preserve">10 criativos, venda por conversa no WhatsApp ('menos de R$ 20 no Pix'). Copy defensiva: 'não indicado para adultos', educação especial pela porta lateral.</t>
  </si>
  <si>
    <t xml:space="preserve">Sem LP nem gateway: exige atendimento no WhatsApp.</t>
  </si>
  <si>
    <t xml:space="preserve">Ofertas/kit-grafismo-fonetico.md</t>
  </si>
  <si>
    <t xml:space="preserve">Kit Mundinho de Papel</t>
  </si>
  <si>
    <t xml:space="preserve">Não achei anúncio hoje</t>
  </si>
  <si>
    <t xml:space="preserve">54 dias no ar (medido no vault)</t>
  </si>
  <si>
    <t xml:space="preserve">https://bibliotecainterativa.com</t>
  </si>
  <si>
    <t xml:space="preserve">mundinho de papel, casinha de papel, brinquedos de papel</t>
  </si>
  <si>
    <t xml:space="preserve">Buscar “mundinho de papel”</t>
  </si>
  <si>
    <t xml:space="preserve">Nome de acervo ('Biblioteca Interativa') que aceita qualquer kit futuro. R$ 10.</t>
  </si>
  <si>
    <t xml:space="preserve">Não apareceu na busca de hoje: pode ter pausado.</t>
  </si>
  <si>
    <t xml:space="preserve">Ofertas/kit-mundinho-de-papel.md</t>
  </si>
  <si>
    <t xml:space="preserve">Casinha dos Sonhos</t>
  </si>
  <si>
    <t xml:space="preserve">42 dias no ar (medido no vault)</t>
  </si>
  <si>
    <t xml:space="preserve">https://casinhadossonhos.com.br</t>
  </si>
  <si>
    <t xml:space="preserve">casinha dos sonhos, casinha de papel, brincadeira sem tela</t>
  </si>
  <si>
    <t xml:space="preserve">Buscar “casinha dos sonhos”</t>
  </si>
  <si>
    <t xml:space="preserve">Gancho anti-tela ('sua filha passa horas no celular?'). Só cenário, sem personagem (fácil de gerar com IA).</t>
  </si>
  <si>
    <t xml:space="preserve">Ofertas/casinha-dos-sonhos.md</t>
  </si>
  <si>
    <t xml:space="preserve">Dança dos Noivos Online</t>
  </si>
  <si>
    <t xml:space="preserve">Dança · casamento</t>
  </si>
  <si>
    <t xml:space="preserve">509 dias no ar (medido no vault); anúncio ativo mais antigo: 529 dias; 3 anúncios ativos hoje</t>
  </si>
  <si>
    <t xml:space="preserve">https://dancadosnoivosonline.com/</t>
  </si>
  <si>
    <t xml:space="preserve">1709135547148649 (15/04/2025)</t>
  </si>
  <si>
    <t xml:space="preserve">dança dos noivos, valsa dos noivos online, coreografia casamento</t>
  </si>
  <si>
    <t xml:space="preserve">Buscar “dança dos noivos”</t>
  </si>
  <si>
    <t xml:space="preserve">O anúncio ativo mais antigo do vault (desde 15/04/2025). Escada R$ 97 → R$ 327,90 → R$ 747, Hotmart.</t>
  </si>
  <si>
    <t xml:space="preserve">Exige vídeo-aula filmada com casal/professor.</t>
  </si>
  <si>
    <t xml:space="preserve">Ofertas/danca-dos-noivos-online.md</t>
  </si>
  <si>
    <t xml:space="preserve">Combo 10 Cursos de Dança do Ventre</t>
  </si>
  <si>
    <t xml:space="preserve">Dança · dança do ventre</t>
  </si>
  <si>
    <t xml:space="preserve">584 dias no ar (medido no vault); anúncio ativo mais antigo: 120 dias; 5 anúncios ativos hoje</t>
  </si>
  <si>
    <t xml:space="preserve">https://patriciacavalcante.com.br/combo-10-cursos-de-danca-do-ventre2</t>
  </si>
  <si>
    <t xml:space="preserve">1023550673675761 (29/05/2026)</t>
  </si>
  <si>
    <t xml:space="preserve">dança do ventre, curso de dança do ventre online, bellydance</t>
  </si>
  <si>
    <t xml:space="preserve">Buscar “dança do ventre”</t>
  </si>
  <si>
    <t xml:space="preserve">R$ 247 vitalício, reaquece base de +1 milhão de seguidores. Nova versão da LP ('...ventre2') no ar desde 29/05.</t>
  </si>
  <si>
    <t xml:space="preserve">Depende da autoridade da professora — replicar só o modelo de preço.</t>
  </si>
  <si>
    <t xml:space="preserve">Ofertas/combo-10-cursos-danca-do-ventre.md</t>
  </si>
  <si>
    <t xml:space="preserve">Portal Shakti Club</t>
  </si>
  <si>
    <t xml:space="preserve">Dança · dança do ventre (assinatura)</t>
  </si>
  <si>
    <t xml:space="preserve">81 dias no ar (medido no vault); anúncio ativo mais antigo: 101 dias; 41 anúncios ativos hoje</t>
  </si>
  <si>
    <t xml:space="preserve">https://shaktistudioonline.com/portal-shakti-club</t>
  </si>
  <si>
    <t xml:space="preserve">1481713799929612 (17/06/2026)</t>
  </si>
  <si>
    <t xml:space="preserve">dança do ventre, bellydance online, tribal fusion</t>
  </si>
  <si>
    <t xml:space="preserve">curso, comunidade</t>
  </si>
  <si>
    <t xml:space="preserve">Assinatura R$ 97/mês ou R$ 210 trimestral. Hoje 41 anúncios ativos (era 3 em 06/09) — escalou forte.</t>
  </si>
  <si>
    <t xml:space="preserve">Depende de professora e produção contínua de aula.</t>
  </si>
  <si>
    <t xml:space="preserve">Ofertas/portal-shakti-club.md</t>
  </si>
  <si>
    <t xml:space="preserve">Forrozeiro do Zero (quiz)</t>
  </si>
  <si>
    <t xml:space="preserve">Dança · forró</t>
  </si>
  <si>
    <t xml:space="preserve">8 dias no ar (medido no vault); anúncio ativo mais antigo: 28 dias; 28 anúncios ativos hoje</t>
  </si>
  <si>
    <t xml:space="preserve">https://quiz.forrozeirodozero.com.br/</t>
  </si>
  <si>
    <t xml:space="preserve">1064507922644275 (29/08/2026)</t>
  </si>
  <si>
    <t xml:space="preserve">aprender forró, dançar forró, forró do zero, dançar sem passar vergonha</t>
  </si>
  <si>
    <t xml:space="preserve">Buscar “aprender forró”</t>
  </si>
  <si>
    <t xml:space="preserve">Funil de quiz ('Crie seu plano'), copy de objeções ('não tem ritmo, não tem par'). Hoje 28 anúncios (era 2 em 06/09).</t>
  </si>
  <si>
    <t xml:space="preserve">Preço não capturado; produto em vídeo.</t>
  </si>
  <si>
    <t xml:space="preserve">Ofertas/forrozeiro-do-zero.md</t>
  </si>
  <si>
    <t xml:space="preserve">Tutu da Ju (assinatura de ballet)</t>
  </si>
  <si>
    <t xml:space="preserve">Dança · ballet adulto</t>
  </si>
  <si>
    <t xml:space="preserve">137 dias no ar (medido no vault); anúncio ativo mais antigo: 157 dias; 4 anúncios ativos hoje</t>
  </si>
  <si>
    <t xml:space="preserve">https://conteudos.tutudaju.com/assinatura-de-aulas-tutu-da-ju</t>
  </si>
  <si>
    <t xml:space="preserve">1354322349865514 (22/04/2026)</t>
  </si>
  <si>
    <t xml:space="preserve">aulas de ballet, ballet adulto online, ballet em casa</t>
  </si>
  <si>
    <t xml:space="preserve">Buscar “aulas de ballet”</t>
  </si>
  <si>
    <t xml:space="preserve">R$ 50/mês recorrente, 1 criativo de vídeo sustentando desde abril + 3 DCO novos.</t>
  </si>
  <si>
    <t xml:space="preserve">170+ aulas gravadas e aula nova toda semana.</t>
  </si>
  <si>
    <t xml:space="preserve">Ofertas/tutu-da-ju-assinatura.md</t>
  </si>
  <si>
    <t xml:space="preserve">Forró do Zero — Pé Descalço</t>
  </si>
  <si>
    <t xml:space="preserve">anúncio ativo mais antigo: 106 dias; 5 anúncios ativos hoje</t>
  </si>
  <si>
    <t xml:space="preserve">https://pedescalcomkt.com.br/forro-zero/</t>
  </si>
  <si>
    <t xml:space="preserve">1707449480261174 (12/06/2026)</t>
  </si>
  <si>
    <t xml:space="preserve">aprender forró, curso de forró online, forró do zero</t>
  </si>
  <si>
    <t xml:space="preserve">R$ 297 em 12x, escola presencial vendendo versão online. 5 anúncios apontando para a LP digital desde junho.</t>
  </si>
  <si>
    <t xml:space="preserve">Autoridade de escola física.</t>
  </si>
  <si>
    <t xml:space="preserve">Ofertas/forro-do-zero-pe-descalco.md</t>
  </si>
  <si>
    <t xml:space="preserve">Dicionário em Movimento</t>
  </si>
  <si>
    <t xml:space="preserve">Dança · ministério gospel</t>
  </si>
  <si>
    <t xml:space="preserve">12 dias no ar (medido no vault); anúncio ativo mais antigo: 26 dias; 4 anúncios ativos hoje</t>
  </si>
  <si>
    <t xml:space="preserve">https://dicionarioemmovimento.site/</t>
  </si>
  <si>
    <t xml:space="preserve">3577644852403387 (31/08/2026)</t>
  </si>
  <si>
    <t xml:space="preserve">ministério de dança, dança gospel, coreografia gospel, movimentos para ministração</t>
  </si>
  <si>
    <t xml:space="preserve">Buscar “ministério de dança”</t>
  </si>
  <si>
    <t xml:space="preserve">onprofit</t>
  </si>
  <si>
    <t xml:space="preserve">PDF com QR Code para vídeos curtos (R$ 67, OnProfit): ponte entre PDF e vídeo sem área de membros.</t>
  </si>
  <si>
    <t xml:space="preserve">Precisa gravar ~90 vídeos curtos.</t>
  </si>
  <si>
    <t xml:space="preserve">Ofertas/dicionario-em-movimento.md</t>
  </si>
  <si>
    <t xml:space="preserve">Brumdance 3 em 1</t>
  </si>
  <si>
    <t xml:space="preserve">30 dias no ar (medido no vault); anúncio ativo mais antigo: 23 dias; 2 anúncios ativos hoje</t>
  </si>
  <si>
    <t xml:space="preserve">https://brumdance.com.br/3em1/</t>
  </si>
  <si>
    <t xml:space="preserve">28673785225560791 (03/09/2026)</t>
  </si>
  <si>
    <t xml:space="preserve">ministério de dança, dança gospel, ballet jazz contemporâneo online</t>
  </si>
  <si>
    <t xml:space="preserve">R$ 40/mês ou R$ 397 — camada de formação do mesmo comprador gospel. Criativo antigo saiu; 2 novos desde 03/09.</t>
  </si>
  <si>
    <t xml:space="preserve">Curso em vídeo com professoras.</t>
  </si>
  <si>
    <t xml:space="preserve">Ofertas/brumdance-3em1.md</t>
  </si>
  <si>
    <t xml:space="preserve">ID do anúncio (abre o vídeo)</t>
  </si>
  <si>
    <t xml:space="preserve">Início da veiculação</t>
  </si>
  <si>
    <t xml:space="preserve">Dias no ar</t>
  </si>
  <si>
    <t xml:space="preserve">Formato</t>
  </si>
  <si>
    <t xml:space="preserve">Anunciante</t>
  </si>
  <si>
    <t xml:space="preserve">Destino do anúncio</t>
  </si>
  <si>
    <t xml:space="preserve">970044505662581</t>
  </si>
  <si>
    <t xml:space="preserve">DCO</t>
  </si>
  <si>
    <t xml:space="preserve">Alfabetinho</t>
  </si>
  <si>
    <t xml:space="preserve">1508270277503719</t>
  </si>
  <si>
    <t xml:space="preserve">IMAGE</t>
  </si>
  <si>
    <t xml:space="preserve">1620023782401206</t>
  </si>
  <si>
    <t xml:space="preserve">3172469686475289</t>
  </si>
  <si>
    <t xml:space="preserve">2247855422684854</t>
  </si>
  <si>
    <t xml:space="preserve">CAROUSEL</t>
  </si>
  <si>
    <t xml:space="preserve">1878006972875926</t>
  </si>
  <si>
    <t xml:space="preserve">1008902684916114</t>
  </si>
  <si>
    <t xml:space="preserve">27007775222166222</t>
  </si>
  <si>
    <t xml:space="preserve">VIDEO</t>
  </si>
  <si>
    <t xml:space="preserve">Clube Alfabetinho</t>
  </si>
  <si>
    <t xml:space="preserve">https://clubealfabetinho.com.br/produto/jogo-da-velha-da-multiplicacao/</t>
  </si>
  <si>
    <t xml:space="preserve">1416304743675998</t>
  </si>
  <si>
    <t xml:space="preserve">https://clubealfabetinho.com.br/produto/painel-interativo-ch-lh-e-nh/</t>
  </si>
  <si>
    <t xml:space="preserve">1084074807856178</t>
  </si>
  <si>
    <t xml:space="preserve">Ballerina Lab</t>
  </si>
  <si>
    <t xml:space="preserve">https://ballerinalab.com.br/ballet-das-princesas</t>
  </si>
  <si>
    <t xml:space="preserve">4533113893677151</t>
  </si>
  <si>
    <t xml:space="preserve">1384391013839147</t>
  </si>
  <si>
    <t xml:space="preserve">https://ballerinalab.com.br/biblioteca-musical-ballet</t>
  </si>
  <si>
    <t xml:space="preserve">2172804016621647</t>
  </si>
  <si>
    <t xml:space="preserve">899034949625160</t>
  </si>
  <si>
    <t xml:space="preserve">2105098220397807</t>
  </si>
  <si>
    <t xml:space="preserve">2153301909395556</t>
  </si>
  <si>
    <t xml:space="preserve">28048326681493140</t>
  </si>
  <si>
    <t xml:space="preserve">2559028787897214</t>
  </si>
  <si>
    <t xml:space="preserve">1402604925127990</t>
  </si>
  <si>
    <t xml:space="preserve">910225078377401</t>
  </si>
  <si>
    <t xml:space="preserve">1818372329523797</t>
  </si>
  <si>
    <t xml:space="preserve">3586819454803209</t>
  </si>
  <si>
    <t xml:space="preserve">901370859407571</t>
  </si>
  <si>
    <t xml:space="preserve">2293675854732136</t>
  </si>
  <si>
    <t xml:space="preserve">1609143730696444</t>
  </si>
  <si>
    <t xml:space="preserve">1343898594170874</t>
  </si>
  <si>
    <t xml:space="preserve">1893140328314743</t>
  </si>
  <si>
    <t xml:space="preserve">1788079548857559</t>
  </si>
  <si>
    <t xml:space="preserve">2263316144514045</t>
  </si>
  <si>
    <t xml:space="preserve">1376856734652671</t>
  </si>
  <si>
    <t xml:space="preserve">1375741571331643</t>
  </si>
  <si>
    <t xml:space="preserve">2215363675975312</t>
  </si>
  <si>
    <t xml:space="preserve">2248461005696502</t>
  </si>
  <si>
    <t xml:space="preserve">1589360189243391</t>
  </si>
  <si>
    <t xml:space="preserve">2040343446596995</t>
  </si>
  <si>
    <t xml:space="preserve">2542961722886698</t>
  </si>
  <si>
    <t xml:space="preserve">2075213203383609</t>
  </si>
  <si>
    <t xml:space="preserve">1896609284648902</t>
  </si>
  <si>
    <t xml:space="preserve">2471097866730595</t>
  </si>
  <si>
    <t xml:space="preserve">1596978708736824</t>
  </si>
  <si>
    <t xml:space="preserve">1069936788731181</t>
  </si>
  <si>
    <t xml:space="preserve">1244590731133551</t>
  </si>
  <si>
    <t xml:space="preserve">1069228155500070</t>
  </si>
  <si>
    <t xml:space="preserve">941791291734829</t>
  </si>
  <si>
    <t xml:space="preserve">1616937039829779</t>
  </si>
  <si>
    <t xml:space="preserve">2162500361279588</t>
  </si>
  <si>
    <t xml:space="preserve">3469711586522153</t>
  </si>
  <si>
    <t xml:space="preserve">3969590060015031</t>
  </si>
  <si>
    <t xml:space="preserve">1071789299228156</t>
  </si>
  <si>
    <t xml:space="preserve">1808375023485352</t>
  </si>
  <si>
    <t xml:space="preserve">1110308694763870</t>
  </si>
  <si>
    <t xml:space="preserve">2501108650313455</t>
  </si>
  <si>
    <t xml:space="preserve">1989714411707913</t>
  </si>
  <si>
    <t xml:space="preserve">2123943254865379</t>
  </si>
  <si>
    <t xml:space="preserve">1415744880484095</t>
  </si>
  <si>
    <t xml:space="preserve">1330980585573784</t>
  </si>
  <si>
    <t xml:space="preserve">1060960756736105</t>
  </si>
  <si>
    <t xml:space="preserve">1067085759637933</t>
  </si>
  <si>
    <t xml:space="preserve">2096936700940920</t>
  </si>
  <si>
    <t xml:space="preserve">1585010483317429</t>
  </si>
  <si>
    <t xml:space="preserve">1679920184133168</t>
  </si>
  <si>
    <t xml:space="preserve">1380488494167012</t>
  </si>
  <si>
    <t xml:space="preserve">1834880947651826</t>
  </si>
  <si>
    <t xml:space="preserve">1756502645540449</t>
  </si>
  <si>
    <t xml:space="preserve">1405032100992928</t>
  </si>
  <si>
    <t xml:space="preserve">2326453474814117</t>
  </si>
  <si>
    <t xml:space="preserve">4181817605441911</t>
  </si>
  <si>
    <t xml:space="preserve">2090322998287351</t>
  </si>
  <si>
    <t xml:space="preserve">1386313229749168</t>
  </si>
  <si>
    <t xml:space="preserve">1044088031761413</t>
  </si>
  <si>
    <t xml:space="preserve">1108047615136200</t>
  </si>
  <si>
    <t xml:space="preserve">https://ballerinalab.com.br/enciclopedia-ballet-infantil/</t>
  </si>
  <si>
    <t xml:space="preserve">1046405885110988</t>
  </si>
  <si>
    <t xml:space="preserve">https://ballerinalab.com.br/ballerina-app/</t>
  </si>
  <si>
    <t xml:space="preserve">1996986517681584</t>
  </si>
  <si>
    <t xml:space="preserve">1998407924066551</t>
  </si>
  <si>
    <t xml:space="preserve">1106748048413331</t>
  </si>
  <si>
    <t xml:space="preserve">1614953096746854</t>
  </si>
  <si>
    <t xml:space="preserve">1588174286680229</t>
  </si>
  <si>
    <t xml:space="preserve">1254899126778211</t>
  </si>
  <si>
    <t xml:space="preserve">1094513012933910</t>
  </si>
  <si>
    <t xml:space="preserve">2219073155603183</t>
  </si>
  <si>
    <t xml:space="preserve">Jéssica Alencar</t>
  </si>
  <si>
    <t xml:space="preserve">1819222026117120</t>
  </si>
  <si>
    <t xml:space="preserve">1019791050809419</t>
  </si>
  <si>
    <t xml:space="preserve">1653520489468352</t>
  </si>
  <si>
    <t xml:space="preserve">1349476204060151</t>
  </si>
  <si>
    <t xml:space="preserve">2566024487239279</t>
  </si>
  <si>
    <t xml:space="preserve">3164228483966301</t>
  </si>
  <si>
    <t xml:space="preserve">2094701004810702</t>
  </si>
  <si>
    <t xml:space="preserve">28673785225560791</t>
  </si>
  <si>
    <t xml:space="preserve">Brumdance</t>
  </si>
  <si>
    <t xml:space="preserve">1051545630835557</t>
  </si>
  <si>
    <t xml:space="preserve">992686450320863</t>
  </si>
  <si>
    <t xml:space="preserve">https://clubedapedagogia.com/</t>
  </si>
  <si>
    <t xml:space="preserve">2438959209915196</t>
  </si>
  <si>
    <t xml:space="preserve">1650099553786594</t>
  </si>
  <si>
    <t xml:space="preserve">1469496018547144</t>
  </si>
  <si>
    <t xml:space="preserve">1084116953997957</t>
  </si>
  <si>
    <t xml:space="preserve">1761973048164627</t>
  </si>
  <si>
    <t xml:space="preserve">1075984931690137</t>
  </si>
  <si>
    <t xml:space="preserve">1128537856510742</t>
  </si>
  <si>
    <t xml:space="preserve">1402047055369641</t>
  </si>
  <si>
    <t xml:space="preserve">1622120696255635</t>
  </si>
  <si>
    <t xml:space="preserve">1025610090508210</t>
  </si>
  <si>
    <t xml:space="preserve">1701055864294606</t>
  </si>
  <si>
    <t xml:space="preserve">953853111114050</t>
  </si>
  <si>
    <t xml:space="preserve">1803029857779771</t>
  </si>
  <si>
    <t xml:space="preserve">2155571435280165</t>
  </si>
  <si>
    <t xml:space="preserve">Universo das Dinâmicas</t>
  </si>
  <si>
    <t xml:space="preserve">https://atividade-cursiva.netlify.app/</t>
  </si>
  <si>
    <t xml:space="preserve">1023550673675761</t>
  </si>
  <si>
    <t xml:space="preserve">Patrícia Cavalcante</t>
  </si>
  <si>
    <t xml:space="preserve">2050651032506961</t>
  </si>
  <si>
    <t xml:space="preserve">1014726484321846</t>
  </si>
  <si>
    <t xml:space="preserve">3513877608789929</t>
  </si>
  <si>
    <t xml:space="preserve">1529360855477327</t>
  </si>
  <si>
    <t xml:space="preserve">1709135547148649</t>
  </si>
  <si>
    <t xml:space="preserve">Dança dos Noivos</t>
  </si>
  <si>
    <t xml:space="preserve">663145749976219</t>
  </si>
  <si>
    <t xml:space="preserve">1428634915161518</t>
  </si>
  <si>
    <t xml:space="preserve">3577644852403387</t>
  </si>
  <si>
    <t xml:space="preserve">Escola de Dança Louvor na Terra</t>
  </si>
  <si>
    <t xml:space="preserve">3101792046818377</t>
  </si>
  <si>
    <t xml:space="preserve">1752471909324679</t>
  </si>
  <si>
    <t xml:space="preserve">1959068471436926</t>
  </si>
  <si>
    <t xml:space="preserve">2084315022150331</t>
  </si>
  <si>
    <t xml:space="preserve">Mãe_desajustada</t>
  </si>
  <si>
    <t xml:space="preserve">https://comportamentopositivo.com/cuidando-lar/</t>
  </si>
  <si>
    <t xml:space="preserve">4313356702141441</t>
  </si>
  <si>
    <t xml:space="preserve">2043537339847569</t>
  </si>
  <si>
    <t xml:space="preserve">983084258044479</t>
  </si>
  <si>
    <t xml:space="preserve">1340237451316387</t>
  </si>
  <si>
    <t xml:space="preserve">1234675865273221</t>
  </si>
  <si>
    <t xml:space="preserve">1078549494605904</t>
  </si>
  <si>
    <t xml:space="preserve">1674542433785008</t>
  </si>
  <si>
    <t xml:space="preserve">4500777043572247</t>
  </si>
  <si>
    <t xml:space="preserve">https://comportamentopositivo.com/casa-organizada/</t>
  </si>
  <si>
    <t xml:space="preserve">965646246246956</t>
  </si>
  <si>
    <t xml:space="preserve">2037134810573262</t>
  </si>
  <si>
    <t xml:space="preserve">1351973586908494</t>
  </si>
  <si>
    <t xml:space="preserve">1518460689763394</t>
  </si>
  <si>
    <t xml:space="preserve">2504782846706348</t>
  </si>
  <si>
    <t xml:space="preserve">1006892872066462</t>
  </si>
  <si>
    <t xml:space="preserve">4326773734319632</t>
  </si>
  <si>
    <t xml:space="preserve">1335845408102698</t>
  </si>
  <si>
    <t xml:space="preserve">1436793781609188</t>
  </si>
  <si>
    <t xml:space="preserve">3212393068956172</t>
  </si>
  <si>
    <t xml:space="preserve">1099849372584821</t>
  </si>
  <si>
    <t xml:space="preserve">2044859479501868</t>
  </si>
  <si>
    <t xml:space="preserve">28184033554621397</t>
  </si>
  <si>
    <t xml:space="preserve">2914580605587325</t>
  </si>
  <si>
    <t xml:space="preserve">1064507922644275</t>
  </si>
  <si>
    <t xml:space="preserve">matheuscasbri</t>
  </si>
  <si>
    <t xml:space="preserve">1871711103791552</t>
  </si>
  <si>
    <t xml:space="preserve">2276166409851151</t>
  </si>
  <si>
    <t xml:space="preserve">1089530426830348</t>
  </si>
  <si>
    <t xml:space="preserve">1085387350639507</t>
  </si>
  <si>
    <t xml:space="preserve">1201395642203302</t>
  </si>
  <si>
    <t xml:space="preserve">27761667813515346</t>
  </si>
  <si>
    <t xml:space="preserve">4075141209445501</t>
  </si>
  <si>
    <t xml:space="preserve">1557926705828769</t>
  </si>
  <si>
    <t xml:space="preserve">1625150095668192</t>
  </si>
  <si>
    <t xml:space="preserve">2713282239113071</t>
  </si>
  <si>
    <t xml:space="preserve">2589249601594866</t>
  </si>
  <si>
    <t xml:space="preserve">29052447627691215</t>
  </si>
  <si>
    <t xml:space="preserve">1098691432830404</t>
  </si>
  <si>
    <t xml:space="preserve">2082595555667614</t>
  </si>
  <si>
    <t xml:space="preserve">2292096908283892</t>
  </si>
  <si>
    <t xml:space="preserve">1043706595037851</t>
  </si>
  <si>
    <t xml:space="preserve">1445256800762230</t>
  </si>
  <si>
    <t xml:space="preserve">1739012743884370</t>
  </si>
  <si>
    <t xml:space="preserve">2034020313900169</t>
  </si>
  <si>
    <t xml:space="preserve">1474776764461499</t>
  </si>
  <si>
    <t xml:space="preserve">2071407030405720</t>
  </si>
  <si>
    <t xml:space="preserve">1326189757252578</t>
  </si>
  <si>
    <t xml:space="preserve">1454688826717156</t>
  </si>
  <si>
    <t xml:space="preserve">2207872679942664</t>
  </si>
  <si>
    <t xml:space="preserve">2153243541931479</t>
  </si>
  <si>
    <t xml:space="preserve">3008211019532562</t>
  </si>
  <si>
    <t xml:space="preserve">2346539459452099</t>
  </si>
  <si>
    <t xml:space="preserve">1707449480261174</t>
  </si>
  <si>
    <t xml:space="preserve">Pé Descalço Savassi</t>
  </si>
  <si>
    <t xml:space="preserve">1009562804937378</t>
  </si>
  <si>
    <t xml:space="preserve">994212219674791</t>
  </si>
  <si>
    <t xml:space="preserve">1052688427310030</t>
  </si>
  <si>
    <t xml:space="preserve">1479418289940655</t>
  </si>
  <si>
    <t xml:space="preserve">2735190620155666</t>
  </si>
  <si>
    <t xml:space="preserve">Galera da EdFísica</t>
  </si>
  <si>
    <t xml:space="preserve">https://pay.hotmart.com/N104191293B?checkoutMode=10</t>
  </si>
  <si>
    <t xml:space="preserve">951847410995767</t>
  </si>
  <si>
    <t xml:space="preserve">https://educacaofisicaead.com.br/</t>
  </si>
  <si>
    <t xml:space="preserve">1637960077482446</t>
  </si>
  <si>
    <t xml:space="preserve">2107614389816102</t>
  </si>
  <si>
    <t xml:space="preserve">https://hotm.io/anatomiaeb</t>
  </si>
  <si>
    <t xml:space="preserve">1000916325623484</t>
  </si>
  <si>
    <t xml:space="preserve">1324735002591915</t>
  </si>
  <si>
    <t xml:space="preserve">https://pay.hotmart.com/B104642923S?checkoutMode=10</t>
  </si>
  <si>
    <t xml:space="preserve">2841496792879820</t>
  </si>
  <si>
    <t xml:space="preserve">https://pay.hotmart.com/R104787280P?checkoutMode=10</t>
  </si>
  <si>
    <t xml:space="preserve">1301578521720512</t>
  </si>
  <si>
    <t xml:space="preserve">27361101403554082</t>
  </si>
  <si>
    <t xml:space="preserve">https://pay.hotmart.com/S104286412R?checkoutMode=10</t>
  </si>
  <si>
    <t xml:space="preserve">1528233572176962</t>
  </si>
  <si>
    <t xml:space="preserve">1332129301911879</t>
  </si>
  <si>
    <t xml:space="preserve">1579963770462439</t>
  </si>
  <si>
    <t xml:space="preserve">https://educacaofisicaead.com.br/alongamento/</t>
  </si>
  <si>
    <t xml:space="preserve">1650208813393401</t>
  </si>
  <si>
    <t xml:space="preserve">857343873900614</t>
  </si>
  <si>
    <t xml:space="preserve">1519574006850784</t>
  </si>
  <si>
    <t xml:space="preserve">1273760388037312</t>
  </si>
  <si>
    <t xml:space="preserve">4490631544550771</t>
  </si>
  <si>
    <t xml:space="preserve">1308216088057990</t>
  </si>
  <si>
    <t xml:space="preserve">https://educacaofisicaead.com.br/muscinfantil/</t>
  </si>
  <si>
    <t xml:space="preserve">1147040971096004</t>
  </si>
  <si>
    <t xml:space="preserve">1066625329242611</t>
  </si>
  <si>
    <t xml:space="preserve">2094962884443835</t>
  </si>
  <si>
    <t xml:space="preserve">1474357868045321</t>
  </si>
  <si>
    <t xml:space="preserve">2501011900393428</t>
  </si>
  <si>
    <t xml:space="preserve">2006926279958962</t>
  </si>
  <si>
    <t xml:space="preserve">https://galeraindica.com.br/funcional/</t>
  </si>
  <si>
    <t xml:space="preserve">1045130181722813</t>
  </si>
  <si>
    <t xml:space="preserve">https://galeraindica.com.br/hidroginastica/</t>
  </si>
  <si>
    <t xml:space="preserve">1387519300162125</t>
  </si>
  <si>
    <t xml:space="preserve">2040103877379170</t>
  </si>
  <si>
    <t xml:space="preserve">1410491164376152</t>
  </si>
  <si>
    <t xml:space="preserve">https://educacaofisicaead.com.br/pro</t>
  </si>
  <si>
    <t xml:space="preserve">1595049792031338</t>
  </si>
  <si>
    <t xml:space="preserve">1431162878924047</t>
  </si>
  <si>
    <t xml:space="preserve">2319243438820750</t>
  </si>
  <si>
    <t xml:space="preserve">2134669890811524</t>
  </si>
  <si>
    <t xml:space="preserve">946078141114729</t>
  </si>
  <si>
    <t xml:space="preserve">1813036713377048</t>
  </si>
  <si>
    <t xml:space="preserve">2135283720721013</t>
  </si>
  <si>
    <t xml:space="preserve">1031136126408293</t>
  </si>
  <si>
    <t xml:space="preserve">2035563353753516</t>
  </si>
  <si>
    <t xml:space="preserve">2400250904130321</t>
  </si>
  <si>
    <t xml:space="preserve">https://galeraindica.com.br/socorros/</t>
  </si>
  <si>
    <t xml:space="preserve">814695511726349</t>
  </si>
  <si>
    <t xml:space="preserve">https://pay.kiwify.com.br/rmf2D2e</t>
  </si>
  <si>
    <t xml:space="preserve">1587048799886975</t>
  </si>
  <si>
    <t xml:space="preserve">2592272044568356</t>
  </si>
  <si>
    <t xml:space="preserve">1385405769841427</t>
  </si>
  <si>
    <t xml:space="preserve">https://educacaofisicaead.com.br/pilatess/</t>
  </si>
  <si>
    <t xml:space="preserve">1068101109260669</t>
  </si>
  <si>
    <t xml:space="preserve">29365891546333495</t>
  </si>
  <si>
    <t xml:space="preserve">4679288429005814</t>
  </si>
  <si>
    <t xml:space="preserve">1097287692774625</t>
  </si>
  <si>
    <t xml:space="preserve">1434466295280267</t>
  </si>
  <si>
    <t xml:space="preserve">1159793080331489</t>
  </si>
  <si>
    <t xml:space="preserve">1016679854719049</t>
  </si>
  <si>
    <t xml:space="preserve">1811529193182550</t>
  </si>
  <si>
    <t xml:space="preserve">https://galeraindica.com.br/enciclopedia/</t>
  </si>
  <si>
    <t xml:space="preserve">1403380018432566</t>
  </si>
  <si>
    <t xml:space="preserve">1073193408755047</t>
  </si>
  <si>
    <t xml:space="preserve">1088815793866272</t>
  </si>
  <si>
    <t xml:space="preserve">2835068496870812</t>
  </si>
  <si>
    <t xml:space="preserve">3007321269615624</t>
  </si>
  <si>
    <t xml:space="preserve">1963787380978497</t>
  </si>
  <si>
    <t xml:space="preserve">1124890456878634</t>
  </si>
  <si>
    <t xml:space="preserve">1060059023314947</t>
  </si>
  <si>
    <t xml:space="preserve">Aquiles Ribeiro</t>
  </si>
  <si>
    <t xml:space="preserve">915872621281914</t>
  </si>
  <si>
    <t xml:space="preserve">2247722406071693</t>
  </si>
  <si>
    <t xml:space="preserve">4557352947875093</t>
  </si>
  <si>
    <t xml:space="preserve">1467199972175736</t>
  </si>
  <si>
    <t xml:space="preserve">1066331689345026</t>
  </si>
  <si>
    <t xml:space="preserve">1298304015656765</t>
  </si>
  <si>
    <t xml:space="preserve">1345827377630718</t>
  </si>
  <si>
    <t xml:space="preserve">1419406053474544</t>
  </si>
  <si>
    <t xml:space="preserve">2025255935031779</t>
  </si>
  <si>
    <t xml:space="preserve">Little Genius</t>
  </si>
  <si>
    <t xml:space="preserve">https://thelittlegenius.com.br/</t>
  </si>
  <si>
    <t xml:space="preserve">1735829844222585</t>
  </si>
  <si>
    <t xml:space="preserve">1348109433933147</t>
  </si>
  <si>
    <t xml:space="preserve">2644336842630514</t>
  </si>
  <si>
    <t xml:space="preserve">1043201058368295</t>
  </si>
  <si>
    <t xml:space="preserve">852492027680339</t>
  </si>
  <si>
    <t xml:space="preserve">4304324319855564</t>
  </si>
  <si>
    <t xml:space="preserve">1658859082520691</t>
  </si>
  <si>
    <t xml:space="preserve">1701597780930335</t>
  </si>
  <si>
    <t xml:space="preserve">1380586690458589</t>
  </si>
  <si>
    <t xml:space="preserve">1047999034867392</t>
  </si>
  <si>
    <t xml:space="preserve">2333793727391584</t>
  </si>
  <si>
    <t xml:space="preserve">1089195006891875</t>
  </si>
  <si>
    <t xml:space="preserve">1111660924670336</t>
  </si>
  <si>
    <t xml:space="preserve">1395396312120161</t>
  </si>
  <si>
    <t xml:space="preserve">1399601572385113</t>
  </si>
  <si>
    <t xml:space="preserve">2551089338636408</t>
  </si>
  <si>
    <t xml:space="preserve">1376594104221262</t>
  </si>
  <si>
    <t xml:space="preserve">1624268722548766</t>
  </si>
  <si>
    <t xml:space="preserve">2156195225321621</t>
  </si>
  <si>
    <t xml:space="preserve">1448595860465829</t>
  </si>
  <si>
    <t xml:space="preserve">1541446788013143</t>
  </si>
  <si>
    <t xml:space="preserve">1608897474276201</t>
  </si>
  <si>
    <t xml:space="preserve">1642697424247305</t>
  </si>
  <si>
    <t xml:space="preserve">1105081868831679</t>
  </si>
  <si>
    <t xml:space="preserve">Lição Kids</t>
  </si>
  <si>
    <t xml:space="preserve">https://matematica.licaokids.com.br/</t>
  </si>
  <si>
    <t xml:space="preserve">2233972550725110</t>
  </si>
  <si>
    <t xml:space="preserve">1533893294727281</t>
  </si>
  <si>
    <t xml:space="preserve">2022391121749595</t>
  </si>
  <si>
    <t xml:space="preserve">990066954104796</t>
  </si>
  <si>
    <t xml:space="preserve">1075398588326594</t>
  </si>
  <si>
    <t xml:space="preserve">1628595825581609</t>
  </si>
  <si>
    <t xml:space="preserve">https://caligrafiaparatodos.com/</t>
  </si>
  <si>
    <t xml:space="preserve">1103058122256182</t>
  </si>
  <si>
    <t xml:space="preserve">https://centralcademi.com.br/kids-maternal-v3/</t>
  </si>
  <si>
    <t xml:space="preserve">1056721563932659</t>
  </si>
  <si>
    <t xml:space="preserve">https://classes.licaokids.com.br/</t>
  </si>
  <si>
    <t xml:space="preserve">1979831222706765</t>
  </si>
  <si>
    <t xml:space="preserve">1394934682042444</t>
  </si>
  <si>
    <t xml:space="preserve">3205419226323729</t>
  </si>
  <si>
    <t xml:space="preserve">1668099944881478</t>
  </si>
  <si>
    <t xml:space="preserve">1725125431880390</t>
  </si>
  <si>
    <t xml:space="preserve">1759084228743014</t>
  </si>
  <si>
    <t xml:space="preserve">https://alfacademi.com.br/colorindo-as-silabas-pv1</t>
  </si>
  <si>
    <t xml:space="preserve">1100418502496651</t>
  </si>
  <si>
    <t xml:space="preserve">2160262595367583</t>
  </si>
  <si>
    <t xml:space="preserve">29027952710145031</t>
  </si>
  <si>
    <t xml:space="preserve">https://matematica4operacoes.pages.dev/</t>
  </si>
  <si>
    <t xml:space="preserve">2358809898190871</t>
  </si>
  <si>
    <t xml:space="preserve">4477216049201855</t>
  </si>
  <si>
    <t xml:space="preserve">Mundo Criativo</t>
  </si>
  <si>
    <t xml:space="preserve">https://mundocriativobr.shop/</t>
  </si>
  <si>
    <t xml:space="preserve">1060604829675451</t>
  </si>
  <si>
    <t xml:space="preserve">3122620734603934</t>
  </si>
  <si>
    <t xml:space="preserve">1792209175299894</t>
  </si>
  <si>
    <t xml:space="preserve">1808317510482942</t>
  </si>
  <si>
    <t xml:space="preserve">2178175036460866</t>
  </si>
  <si>
    <t xml:space="preserve">2287840888719810</t>
  </si>
  <si>
    <t xml:space="preserve">1084853487728784</t>
  </si>
  <si>
    <t xml:space="preserve">1071170982290858</t>
  </si>
  <si>
    <t xml:space="preserve">2083189712306011</t>
  </si>
  <si>
    <t xml:space="preserve">993503046348507</t>
  </si>
  <si>
    <t xml:space="preserve">Parábolas Kids</t>
  </si>
  <si>
    <t xml:space="preserve">926744897088194</t>
  </si>
  <si>
    <t xml:space="preserve">1029751816677309</t>
  </si>
  <si>
    <t xml:space="preserve">1391551836230702</t>
  </si>
  <si>
    <t xml:space="preserve">1323965969718854</t>
  </si>
  <si>
    <t xml:space="preserve">1566602144905791</t>
  </si>
  <si>
    <t xml:space="preserve">945138988615057</t>
  </si>
  <si>
    <t xml:space="preserve">1415877153753211</t>
  </si>
  <si>
    <t xml:space="preserve">4435409740014644</t>
  </si>
  <si>
    <t xml:space="preserve">1568591188391731</t>
  </si>
  <si>
    <t xml:space="preserve">1450460973589958</t>
  </si>
  <si>
    <t xml:space="preserve">1050552667832142</t>
  </si>
  <si>
    <t xml:space="preserve">Escola Pequena Estilista</t>
  </si>
  <si>
    <t xml:space="preserve">https://pequenasestilistas.com/</t>
  </si>
  <si>
    <t xml:space="preserve">1736411300735328</t>
  </si>
  <si>
    <t xml:space="preserve">1362235129448195</t>
  </si>
  <si>
    <t xml:space="preserve">https://pequenasestilistas.com/index-maos-br</t>
  </si>
  <si>
    <t xml:space="preserve">1581965126736414</t>
  </si>
  <si>
    <t xml:space="preserve">921168463886633</t>
  </si>
  <si>
    <t xml:space="preserve">4640904776235497</t>
  </si>
  <si>
    <t xml:space="preserve">1342766964511975</t>
  </si>
  <si>
    <t xml:space="preserve">37963240946652839</t>
  </si>
  <si>
    <t xml:space="preserve">1604031241434630</t>
  </si>
  <si>
    <t xml:space="preserve">892908466986466</t>
  </si>
  <si>
    <t xml:space="preserve">1397198309052135</t>
  </si>
  <si>
    <t xml:space="preserve">1724161925336247</t>
  </si>
  <si>
    <t xml:space="preserve">1632979848198015</t>
  </si>
  <si>
    <t xml:space="preserve">1047667598097146</t>
  </si>
  <si>
    <t xml:space="preserve">1226637092640294</t>
  </si>
  <si>
    <t xml:space="preserve">Pipo</t>
  </si>
  <si>
    <t xml:space="preserve">3880037928972498</t>
  </si>
  <si>
    <t xml:space="preserve">980144194801012</t>
  </si>
  <si>
    <t xml:space="preserve">1800382221367867</t>
  </si>
  <si>
    <t xml:space="preserve">1303965508540220</t>
  </si>
  <si>
    <t xml:space="preserve">2790097774724127</t>
  </si>
  <si>
    <t xml:space="preserve">27271349705831050</t>
  </si>
  <si>
    <t xml:space="preserve">1508686114384930</t>
  </si>
  <si>
    <t xml:space="preserve">1593171002145241</t>
  </si>
  <si>
    <t xml:space="preserve">4689180371309385</t>
  </si>
  <si>
    <t xml:space="preserve">1178225121155634</t>
  </si>
  <si>
    <t xml:space="preserve">2062371994696934</t>
  </si>
  <si>
    <t xml:space="preserve">1617168942714141</t>
  </si>
  <si>
    <t xml:space="preserve">866400586529950</t>
  </si>
  <si>
    <t xml:space="preserve">1660902695020810</t>
  </si>
  <si>
    <t xml:space="preserve">2177894089811865</t>
  </si>
  <si>
    <t xml:space="preserve">1868769217416493</t>
  </si>
  <si>
    <t xml:space="preserve">1519782733276303</t>
  </si>
  <si>
    <t xml:space="preserve">1525649625927207</t>
  </si>
  <si>
    <t xml:space="preserve">1000010775978044</t>
  </si>
  <si>
    <t xml:space="preserve">1020198170911432</t>
  </si>
  <si>
    <t xml:space="preserve">1358023566300153</t>
  </si>
  <si>
    <t xml:space="preserve">2469888890144360</t>
  </si>
  <si>
    <t xml:space="preserve">1376612750561866</t>
  </si>
  <si>
    <t xml:space="preserve">1777730106556269</t>
  </si>
  <si>
    <t xml:space="preserve">1353949243387246</t>
  </si>
  <si>
    <t xml:space="preserve">1046916104877757</t>
  </si>
  <si>
    <t xml:space="preserve">1064142989859356</t>
  </si>
  <si>
    <t xml:space="preserve">1481713799929612</t>
  </si>
  <si>
    <t xml:space="preserve">Luma Shakti Studio Online - Bellydance &amp; Fusion</t>
  </si>
  <si>
    <t xml:space="preserve">1683306603421879</t>
  </si>
  <si>
    <t xml:space="preserve">1536439494546858</t>
  </si>
  <si>
    <t xml:space="preserve">1435958288287540</t>
  </si>
  <si>
    <t xml:space="preserve">1622766862154166</t>
  </si>
  <si>
    <t xml:space="preserve">1479134344012305</t>
  </si>
  <si>
    <t xml:space="preserve">1692053465465253</t>
  </si>
  <si>
    <t xml:space="preserve">1727844864897416</t>
  </si>
  <si>
    <t xml:space="preserve">1554442072954386</t>
  </si>
  <si>
    <t xml:space="preserve">857906160301799</t>
  </si>
  <si>
    <t xml:space="preserve">1650803159328528</t>
  </si>
  <si>
    <t xml:space="preserve">1569924874653405</t>
  </si>
  <si>
    <t xml:space="preserve">2782428398789865</t>
  </si>
  <si>
    <t xml:space="preserve">1002829399340085</t>
  </si>
  <si>
    <t xml:space="preserve">2018552258748140</t>
  </si>
  <si>
    <t xml:space="preserve">789756534132790</t>
  </si>
  <si>
    <t xml:space="preserve">1394668485914803</t>
  </si>
  <si>
    <t xml:space="preserve">1222766177577918</t>
  </si>
  <si>
    <t xml:space="preserve">996202716531011</t>
  </si>
  <si>
    <t xml:space="preserve">1336781808561710</t>
  </si>
  <si>
    <t xml:space="preserve">805591125853212</t>
  </si>
  <si>
    <t xml:space="preserve">1024284836609316</t>
  </si>
  <si>
    <t xml:space="preserve">1790467665452686</t>
  </si>
  <si>
    <t xml:space="preserve">1486847975976336</t>
  </si>
  <si>
    <t xml:space="preserve">997762563138986</t>
  </si>
  <si>
    <t xml:space="preserve">1051425323900306</t>
  </si>
  <si>
    <t xml:space="preserve">1487941319222330</t>
  </si>
  <si>
    <t xml:space="preserve">1732263427905502</t>
  </si>
  <si>
    <t xml:space="preserve">1038554308673975</t>
  </si>
  <si>
    <t xml:space="preserve">1602126081485243</t>
  </si>
  <si>
    <t xml:space="preserve">2206770830166498</t>
  </si>
  <si>
    <t xml:space="preserve">2896999200631708</t>
  </si>
  <si>
    <t xml:space="preserve">2117469719206004</t>
  </si>
  <si>
    <t xml:space="preserve">3429797460536047</t>
  </si>
  <si>
    <t xml:space="preserve">4546877695554427</t>
  </si>
  <si>
    <t xml:space="preserve">888230803899063</t>
  </si>
  <si>
    <t xml:space="preserve">2230171001067824</t>
  </si>
  <si>
    <t xml:space="preserve">26860659423610633</t>
  </si>
  <si>
    <t xml:space="preserve">2370807996787518</t>
  </si>
  <si>
    <t xml:space="preserve">1611776313953664</t>
  </si>
  <si>
    <t xml:space="preserve">1363537922515267</t>
  </si>
  <si>
    <t xml:space="preserve">1637691644439783</t>
  </si>
  <si>
    <t xml:space="preserve">Kátia Amaral</t>
  </si>
  <si>
    <t xml:space="preserve">1685970130204459</t>
  </si>
  <si>
    <t xml:space="preserve">1045006121749535</t>
  </si>
  <si>
    <t xml:space="preserve">1386639303006684</t>
  </si>
  <si>
    <t xml:space="preserve">2481476635687326</t>
  </si>
  <si>
    <t xml:space="preserve">1060078446817299</t>
  </si>
  <si>
    <t xml:space="preserve">1972323894167246</t>
  </si>
  <si>
    <t xml:space="preserve">4602441996652106</t>
  </si>
  <si>
    <t xml:space="preserve">Mel Alma &amp; Destino</t>
  </si>
  <si>
    <t xml:space="preserve">https://kiwify.app/za6R5Gp?afid=y2T6bZA1</t>
  </si>
  <si>
    <t xml:space="preserve">1721847725785243</t>
  </si>
  <si>
    <t xml:space="preserve">2361999287875742</t>
  </si>
  <si>
    <t xml:space="preserve">1105784575297331</t>
  </si>
  <si>
    <t xml:space="preserve">4364907333763967</t>
  </si>
  <si>
    <t xml:space="preserve">1022543277471299</t>
  </si>
  <si>
    <t xml:space="preserve">1070688622245051</t>
  </si>
  <si>
    <t xml:space="preserve">1354322349865514</t>
  </si>
  <si>
    <t xml:space="preserve">Tutu da Ju</t>
  </si>
  <si>
    <t xml:space="preserve">3457957101017944</t>
  </si>
  <si>
    <t xml:space="preserve">1297147522362110</t>
  </si>
  <si>
    <t xml:space="preserve">3936515533308825</t>
  </si>
  <si>
    <t xml:space="preserve">Palavra-chave</t>
  </si>
  <si>
    <t xml:space="preserve">Oferta(s) de referência</t>
  </si>
  <si>
    <t xml:space="preserve">Buscar todos os anúncios</t>
  </si>
  <si>
    <t xml:space="preserve">Só vídeos</t>
  </si>
  <si>
    <t xml:space="preserve">2750 atividades</t>
  </si>
  <si>
    <t xml:space="preserve">Abrir na Biblioteca</t>
  </si>
  <si>
    <t xml:space="preserve">alfa kids</t>
  </si>
  <si>
    <t xml:space="preserve">alfabetinho</t>
  </si>
  <si>
    <t xml:space="preserve">alfabetização educação especial</t>
  </si>
  <si>
    <t xml:space="preserve">alfabetização em 3 semanas</t>
  </si>
  <si>
    <t xml:space="preserve">alfabetização por sílabas</t>
  </si>
  <si>
    <t xml:space="preserve">aprender forró</t>
  </si>
  <si>
    <t xml:space="preserve">Forrozeiro do Zero (quiz); Forró do Zero — Pé Descalço</t>
  </si>
  <si>
    <t xml:space="preserve">ateliê infantil</t>
  </si>
  <si>
    <t xml:space="preserve">atividades católicas para crianças</t>
  </si>
  <si>
    <t xml:space="preserve">atividades de alfabetização</t>
  </si>
  <si>
    <t xml:space="preserve">Alfabetinho (pacotes imprimíveis); Turminha Alfa Kids (2.750 atividades)</t>
  </si>
  <si>
    <t xml:space="preserve">atividades de caligrafia</t>
  </si>
  <si>
    <t xml:space="preserve">atividades educativas imprimíveis</t>
  </si>
  <si>
    <t xml:space="preserve">atividades imprimíveis professor</t>
  </si>
  <si>
    <t xml:space="preserve">atividades montessori</t>
  </si>
  <si>
    <t xml:space="preserve">atividades para crianças 2 a 6 anos</t>
  </si>
  <si>
    <t xml:space="preserve">atividades prontas professora</t>
  </si>
  <si>
    <t xml:space="preserve">aula de ritmos</t>
  </si>
  <si>
    <t xml:space="preserve">aulas de ballet</t>
  </si>
  <si>
    <t xml:space="preserve">aulas prontas educação física</t>
  </si>
  <si>
    <t xml:space="preserve">baby class ballet</t>
  </si>
  <si>
    <t xml:space="preserve">ballet adulto online</t>
  </si>
  <si>
    <t xml:space="preserve">ballet em casa</t>
  </si>
  <si>
    <t xml:space="preserve">ballet jazz contemporâneo online</t>
  </si>
  <si>
    <t xml:space="preserve">bellydance</t>
  </si>
  <si>
    <t xml:space="preserve">bellydance online</t>
  </si>
  <si>
    <t xml:space="preserve">birra criança</t>
  </si>
  <si>
    <t xml:space="preserve">bonecas de papel</t>
  </si>
  <si>
    <t xml:space="preserve">bonecas de papel anos 90</t>
  </si>
  <si>
    <t xml:space="preserve">brincadeira sem tela</t>
  </si>
  <si>
    <t xml:space="preserve">brinquedo de papel imprimível</t>
  </si>
  <si>
    <t xml:space="preserve">brinquedos de papel</t>
  </si>
  <si>
    <t xml:space="preserve">caderno de caligrafia</t>
  </si>
  <si>
    <t xml:space="preserve">caligrafia</t>
  </si>
  <si>
    <t xml:space="preserve">Coleção Caligrafia Cursiva (380 atividades); Mundo Criativo — Caderno de Caligrafia</t>
  </si>
  <si>
    <t xml:space="preserve">caligrafia bastão</t>
  </si>
  <si>
    <t xml:space="preserve">caligrafia para todos</t>
  </si>
  <si>
    <t xml:space="preserve">cantigas da bailarina</t>
  </si>
  <si>
    <t xml:space="preserve">casinha de papel</t>
  </si>
  <si>
    <t xml:space="preserve">Kit Mundinho de Papel; Casinha dos Sonhos</t>
  </si>
  <si>
    <t xml:space="preserve">casinha dos sonhos</t>
  </si>
  <si>
    <t xml:space="preserve">catequese infantil</t>
  </si>
  <si>
    <t xml:space="preserve">clube da pedagogia</t>
  </si>
  <si>
    <t xml:space="preserve">colorindo as sílabas</t>
  </si>
  <si>
    <t xml:space="preserve">consciência fonológica</t>
  </si>
  <si>
    <t xml:space="preserve">copia devagar</t>
  </si>
  <si>
    <t xml:space="preserve">coreografia casamento</t>
  </si>
  <si>
    <t xml:space="preserve">coreografia gospel</t>
  </si>
  <si>
    <t xml:space="preserve">coreografias prontas</t>
  </si>
  <si>
    <t xml:space="preserve">criança aprender a ler</t>
  </si>
  <si>
    <t xml:space="preserve">curso com certificado 50h</t>
  </si>
  <si>
    <t xml:space="preserve">curso de dança do ventre online</t>
  </si>
  <si>
    <t xml:space="preserve">curso de forró online</t>
  </si>
  <si>
    <t xml:space="preserve">dança do ventre</t>
  </si>
  <si>
    <t xml:space="preserve">Combo 10 Cursos de Dança do Ventre; Portal Shakti Club</t>
  </si>
  <si>
    <t xml:space="preserve">dança dos noivos</t>
  </si>
  <si>
    <t xml:space="preserve">dança gospel</t>
  </si>
  <si>
    <t xml:space="preserve">Dicionário em Movimento; Brumdance 3 em 1</t>
  </si>
  <si>
    <t xml:space="preserve">dançar forró</t>
  </si>
  <si>
    <t xml:space="preserve">dançar sem passar vergonha</t>
  </si>
  <si>
    <t xml:space="preserve">desenho da alma gêmea</t>
  </si>
  <si>
    <t xml:space="preserve">desenho de moda para crianças</t>
  </si>
  <si>
    <t xml:space="preserve">devocional infantil</t>
  </si>
  <si>
    <t xml:space="preserve">dificuldade com letra cursiva</t>
  </si>
  <si>
    <t xml:space="preserve">disciplina positiva</t>
  </si>
  <si>
    <t xml:space="preserve">do rabisco à letra bonita</t>
  </si>
  <si>
    <t xml:space="preserve">educação especial atividades</t>
  </si>
  <si>
    <t xml:space="preserve">educação física ead</t>
  </si>
  <si>
    <t xml:space="preserve">educação física escolar</t>
  </si>
  <si>
    <t xml:space="preserve">forró do zero</t>
  </si>
  <si>
    <t xml:space="preserve">grafismo</t>
  </si>
  <si>
    <t xml:space="preserve">grafismo fonético</t>
  </si>
  <si>
    <t xml:space="preserve">hidroginástica curso</t>
  </si>
  <si>
    <t xml:space="preserve">histórias bíblicas crianças</t>
  </si>
  <si>
    <t xml:space="preserve">Kit 300 Aulas</t>
  </si>
  <si>
    <t xml:space="preserve">letra cursiva</t>
  </si>
  <si>
    <t xml:space="preserve">letra feia</t>
  </si>
  <si>
    <t xml:space="preserve">licao kids</t>
  </si>
  <si>
    <t xml:space="preserve">little genius</t>
  </si>
  <si>
    <t xml:space="preserve">matemática 4 operações atividades</t>
  </si>
  <si>
    <t xml:space="preserve">ministério de dança</t>
  </si>
  <si>
    <t xml:space="preserve">missa em atividades</t>
  </si>
  <si>
    <t xml:space="preserve">moldes de roupa de papel</t>
  </si>
  <si>
    <t xml:space="preserve">movimentos para ministração</t>
  </si>
  <si>
    <t xml:space="preserve">mundinho de papel</t>
  </si>
  <si>
    <t xml:space="preserve">método de alfabetização</t>
  </si>
  <si>
    <t xml:space="preserve">NeuroOctoMusical</t>
  </si>
  <si>
    <t xml:space="preserve">painel interativo alfabetização</t>
  </si>
  <si>
    <t xml:space="preserve">parar de gritar com filho</t>
  </si>
  <si>
    <t xml:space="preserve">parábolas bíblicas para crianças</t>
  </si>
  <si>
    <t xml:space="preserve">pequenas estilistas</t>
  </si>
  <si>
    <t xml:space="preserve">plano de aula educação física</t>
  </si>
  <si>
    <t xml:space="preserve">planos de aula educação infantil</t>
  </si>
  <si>
    <t xml:space="preserve">professora de ballet</t>
  </si>
  <si>
    <t xml:space="preserve">retrato da alma gêmea</t>
  </si>
  <si>
    <t xml:space="preserve">rosto da sua alma gêmea</t>
  </si>
  <si>
    <t xml:space="preserve">rotina infantil</t>
  </si>
  <si>
    <t xml:space="preserve">soulmate sketch</t>
  </si>
  <si>
    <t xml:space="preserve">tribal fusion</t>
  </si>
  <si>
    <t xml:space="preserve">valores cristãos kids</t>
  </si>
  <si>
    <t xml:space="preserve">valsa dos noivos online</t>
  </si>
  <si>
    <t xml:space="preserve">Por que não replicar</t>
  </si>
  <si>
    <t xml:space="preserve">Maior tempo no ar (vault)</t>
  </si>
  <si>
    <t xml:space="preserve">Ver anúncios</t>
  </si>
  <si>
    <t xml:space="preserve">Portal do MEI Brasil</t>
  </si>
  <si>
    <t xml:space="preserve">Cobra por serviço gratuito do governo (abrir MEI). 889 reclamações, risco regulatório.</t>
  </si>
  <si>
    <t xml:space="preserve">abrir mei online</t>
  </si>
  <si>
    <t xml:space="preserve">Abrir</t>
  </si>
  <si>
    <t xml:space="preserve">Ofertas/portal-do-mei-brasil.md</t>
  </si>
  <si>
    <t xml:space="preserve">Cursos Grátis Online</t>
  </si>
  <si>
    <t xml:space="preserve">'Grátis' com taxa de certificado. 114 reclamações.</t>
  </si>
  <si>
    <t xml:space="preserve">cursos gratis online certificado</t>
  </si>
  <si>
    <t xml:space="preserve">Ofertas/cursos-gratis-online.md</t>
  </si>
  <si>
    <t xml:space="preserve">Certificado Curso Online</t>
  </si>
  <si>
    <t xml:space="preserve">Taxa de certificado R$ 139,90. 58 reclamações.</t>
  </si>
  <si>
    <t xml:space="preserve">certificado curso online</t>
  </si>
  <si>
    <t xml:space="preserve">Ofertas/certificado-curso-online.md</t>
  </si>
  <si>
    <t xml:space="preserve">Play Vídeos Premiados</t>
  </si>
  <si>
    <t xml:space="preserve">'Assista vídeos e ganhe dinheiro'. 106 reclamações.</t>
  </si>
  <si>
    <t xml:space="preserve">assistir videos e ganhar dinheiro</t>
  </si>
  <si>
    <t xml:space="preserve">Ofertas/play-videos-premiados.md</t>
  </si>
  <si>
    <t xml:space="preserve">Google Captcha TW</t>
  </si>
  <si>
    <t xml:space="preserve">Ganho falso resolvendo captcha + cobrança para sacar. 39 reclamações.</t>
  </si>
  <si>
    <t xml:space="preserve">Google Captcha ganhar dinheiro</t>
  </si>
  <si>
    <t xml:space="preserve">Ofertas/google-captcha-tw.md</t>
  </si>
  <si>
    <t xml:space="preserve">Cash no Pix</t>
  </si>
  <si>
    <t xml:space="preserve">Cobrança para liberar saldo inexistente.</t>
  </si>
  <si>
    <t xml:space="preserve">Ofertas/cashnopix.md</t>
  </si>
  <si>
    <t xml:space="preserve">Stalkeia.ai</t>
  </si>
  <si>
    <t xml:space="preserve">App de 'espionagem' que não entrega. Vista em 7+ rodadas. Hoje anuncia pelo domínio stalkea-ai.com.</t>
  </si>
  <si>
    <t xml:space="preserve">Stalkea</t>
  </si>
  <si>
    <t xml:space="preserve">Ofertas/stalkeia-ai.md</t>
  </si>
  <si>
    <t xml:space="preserve">Treino Trinca</t>
  </si>
  <si>
    <t xml:space="preserve">Front R$ 37 e cobrança adicional para liberar o resto. 10 reclamações em 50.</t>
  </si>
  <si>
    <t xml:space="preserve">Ofertas/treino-trinca.md</t>
  </si>
  <si>
    <t xml:space="preserve">Unlovable</t>
  </si>
  <si>
    <t xml:space="preserve">Assinatura R$ 57 que segue cobrando após reembolso (5 meses de cobrança).</t>
  </si>
  <si>
    <t xml:space="preserve">unlovable</t>
  </si>
  <si>
    <t xml:space="preserve">Ofertas/unlovable.md</t>
  </si>
  <si>
    <t xml:space="preserve">Gestor IA</t>
  </si>
  <si>
    <t xml:space="preserve">21 anúncios desde 20/08, mas reclamação de cobrança. Funil não capturado.</t>
  </si>
  <si>
    <t xml:space="preserve">Ofertas/gestor-ia.md</t>
  </si>
  <si>
    <t xml:space="preserve">Fonte</t>
  </si>
  <si>
    <t xml:space="preserve">As 131 notas de Ofertas/ do vault lowticket. Entraram só as que têm sinal medido de escala: tempo no ar ≥ 30 dias, muitos criativos ou volume no Reclame Aqui.</t>
  </si>
  <si>
    <t xml:space="preserve">Checagem de hoje</t>
  </si>
  <si>
    <t xml:space="preserve">Em 26/09/2026 conferi na Biblioteca de Anúncios (Brasil, ativos) quantos anúncios ainda apontam para a página de vendas de cada oferta. '—' = não verificado hoje (oferta sem LP no vault).</t>
  </si>
  <si>
    <t xml:space="preserve">Combina o maior tempo no ar (≥365 d = 5 · ≥120 = 4 · ≥60 = 3 · ≥30 = 2) com anúncios ativos hoje (≥30 = 5 · ≥15 = 4 · ≥8 = 3 · ≥3 = 2). Peso 55/45. +1 se tiver 100+ reclamações no RA; −1 se não achei anúncio hoje.</t>
  </si>
  <si>
    <t xml:space="preserve">É o s_replica do vault: 9-10 PDF e funil de 2 páginas; 7-8 ebook/mini-curso com criativo simples; 5-6 produção média; 3-4 curso longo ou comunidade; 1-2 depende de rosto/autoridade.</t>
  </si>
  <si>
    <t xml:space="preserve">Fórmula: nível de escala × 2 × 0,5 + facilidade × 0,5. Mude o nível ou a facilidade e a prioridade recalcula.</t>
  </si>
  <si>
    <t xml:space="preserve">Vídeos</t>
  </si>
  <si>
    <t xml:space="preserve">Coluna 'Ver vídeos/anúncios' abre a Biblioteca já filtrada pela LP. A aba 'Criativos (vídeos)' traz cada anúncio ativo com link direto (?id=), que abre o vídeo.</t>
  </si>
  <si>
    <t xml:space="preserve">Limites</t>
  </si>
  <si>
    <t xml:space="preserve">Contagem de anúncios é piso (a Biblioteca agrupa criativos iguais). Tempo no ar é proxy de lucro, não faturamento. Tickets vêm do vault e podem ter mudado.</t>
  </si>
  <si>
    <t xml:space="preserve">Aba de golpe</t>
  </si>
  <si>
    <t xml:space="preserve">Ofertas com escala real, mas com padrão de cobrança indevida, promessa falsa ou serviço público pago. Servem para saber onde há verba de anúncio, não como modelo.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</si>
</sst>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dd/mm/yyyy"/>
    <numFmt numFmtId="167" formatCode="0"/>
    <numFmt numFmtId="168" formatCode="#,##0.00;\-;\—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D5B"/>
          <bgColor rgb="FF000000"/>
        </patternFill>
      </fill>
    </dxf>
    <dxf>
      <fill>
        <patternFill patternType="solid">
          <fgColor rgb="FF609C83"/>
          <bgColor rgb="FF000000"/>
        </patternFill>
      </fill>
    </dxf>
    <dxf>
      <fill>
        <patternFill patternType="solid">
          <fgColor rgb="FF91BAAA"/>
          <bgColor rgb="FF000000"/>
        </patternFill>
      </fill>
    </dxf>
    <dxf>
      <fill>
        <patternFill patternType="solid">
          <fgColor rgb="FFC3D8D2"/>
          <bgColor rgb="FF000000"/>
        </patternFill>
      </fill>
    </dxf>
    <dxf>
      <fill>
        <patternFill patternType="solid">
          <fgColor rgb="FFF4F6F9"/>
          <bgColor rgb="FF000000"/>
        </patternFill>
      </fill>
    </dxf>
    <dxf>
      <fill>
        <patternFill patternType="solid">
          <fgColor rgb="FF2E6FB7"/>
          <bgColor rgb="FF000000"/>
        </patternFill>
      </fill>
    </dxf>
    <dxf>
      <fill>
        <patternFill patternType="solid">
          <fgColor rgb="FF447EBF"/>
          <bgColor rgb="FF000000"/>
        </patternFill>
      </fill>
    </dxf>
    <dxf>
      <fill>
        <patternFill patternType="solid">
          <fgColor rgb="FF5A8DC6"/>
          <bgColor rgb="FF000000"/>
        </patternFill>
      </fill>
    </dxf>
    <dxf>
      <fill>
        <patternFill patternType="solid">
          <fgColor rgb="FF709CCD"/>
          <bgColor rgb="FF000000"/>
        </patternFill>
      </fill>
    </dxf>
    <dxf>
      <fill>
        <patternFill patternType="solid">
          <fgColor rgb="FF86ABD5"/>
          <bgColor rgb="FF000000"/>
        </patternFill>
      </fill>
    </dxf>
    <dxf>
      <fill>
        <patternFill patternType="solid">
          <fgColor rgb="FFC8D8EB"/>
          <bgColor rgb="FF000000"/>
        </patternFill>
      </fill>
    </dxf>
    <dxf>
      <fill>
        <patternFill patternType="solid">
          <fgColor rgb="FFDEE7F2"/>
          <bgColor rgb="FF000000"/>
        </patternFill>
      </fill>
    </dxf>
    <dxf>
      <fill>
        <patternFill patternType="solid">
          <fgColor rgb="FFCDEBD8"/>
          <bgColor rgb="FF000000"/>
        </patternFill>
      </fill>
    </dxf>
    <dxf>
      <fill>
        <patternFill patternType="solid">
          <fgColor rgb="FFD6EDD7"/>
          <bgColor rgb="FF000000"/>
        </patternFill>
      </fill>
    </dxf>
    <dxf>
      <fill>
        <patternFill patternType="solid">
          <fgColor rgb="FFDEEFD7"/>
          <bgColor rgb="FF000000"/>
        </patternFill>
      </fill>
    </dxf>
    <dxf>
      <fill>
        <patternFill patternType="solid">
          <fgColor rgb="FFE6F1D7"/>
          <bgColor rgb="FF000000"/>
        </patternFill>
      </fill>
    </dxf>
    <dxf>
      <fill>
        <patternFill patternType="solid">
          <fgColor rgb="FFEFF3D6"/>
          <bgColor rgb="FF000000"/>
        </patternFill>
      </fill>
    </dxf>
    <dxf>
      <fill>
        <patternFill patternType="solid">
          <fgColor rgb="FFF7F5D6"/>
          <bgColor rgb="FF000000"/>
        </patternFill>
      </fill>
    </dxf>
    <dxf>
      <fill>
        <patternFill patternType="solid">
          <fgColor rgb="FFFDEDE7"/>
          <bgColor rgb="FF000000"/>
        </patternFill>
      </fill>
    </dxf>
    <dxf>
      <fill>
        <patternFill patternType="solid">
          <fgColor rgb="FFFEF1E0"/>
          <bgColor rgb="FF000000"/>
        </patternFill>
      </fill>
    </dxf>
    <dxf>
      <fill>
        <patternFill patternType="solid">
          <fgColor rgb="FFFEF2DD"/>
          <bgColor rgb="FF000000"/>
        </patternFill>
      </fill>
    </dxf>
    <dxf>
      <fill>
        <patternFill patternType="solid">
          <fgColor rgb="FFFEF4DA"/>
          <bgColor rgb="FF000000"/>
        </patternFill>
      </fill>
    </dxf>
    <dxf>
      <fill>
        <patternFill patternType="solid">
          <fgColor rgb="FFFFF6D6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ar-sketch.app/" TargetMode="External"/><Relationship Id="rId2" Type="http://schemas.openxmlformats.org/officeDocument/2006/relationships/hyperlink" Target="https://www.facebook.com/ads/library/?active_status=active&amp;ad_type=all&amp;country=BR&amp;q=par-sketch.app&amp;search_type=keyword_unordered&amp;media_type=all" TargetMode="External"/><Relationship Id="rId3" Type="http://schemas.openxmlformats.org/officeDocument/2006/relationships/hyperlink" Target="https://www.facebook.com/ads/library/?id=1637691644439783" TargetMode="External"/><Relationship Id="rId4" Type="http://schemas.openxmlformats.org/officeDocument/2006/relationships/hyperlink" Target="https://www.facebook.com/ads/library/?active_status=active&amp;ad_type=all&amp;country=BR&amp;q=retrato%20da%20alma%20g&#234;mea&amp;search_type=keyword_unordered&amp;media_type=all" TargetMode="External"/><Relationship Id="rId5" Type="http://schemas.openxmlformats.org/officeDocument/2006/relationships/hyperlink" Target="https://alfabetinho.com.br/produtos2026" TargetMode="External"/><Relationship Id="rId6" Type="http://schemas.openxmlformats.org/officeDocument/2006/relationships/hyperlink" Target="https://www.facebook.com/ads/library/?active_status=active&amp;ad_type=all&amp;country=BR&amp;q=alfabetinho.com.br&amp;search_type=keyword_unordered&amp;media_type=all" TargetMode="External"/><Relationship Id="rId7" Type="http://schemas.openxmlformats.org/officeDocument/2006/relationships/hyperlink" Target="https://www.facebook.com/ads/library/?id=970044505662581" TargetMode="External"/><Relationship Id="rId8" Type="http://schemas.openxmlformats.org/officeDocument/2006/relationships/hyperlink" Target="https://www.facebook.com/ads/library/?active_status=active&amp;ad_type=all&amp;country=BR&amp;q=alfabetinho&amp;search_type=keyword_unordered&amp;media_type=all" TargetMode="External"/><Relationship Id="rId9" Type="http://schemas.openxmlformats.org/officeDocument/2006/relationships/hyperlink" Target="https://parabolaskids.com.br/" TargetMode="External"/><Relationship Id="rId10" Type="http://schemas.openxmlformats.org/officeDocument/2006/relationships/hyperlink" Target="https://www.facebook.com/ads/library/?active_status=active&amp;ad_type=all&amp;country=BR&amp;q=parabolaskids.com.br&amp;search_type=keyword_unordered&amp;media_type=all" TargetMode="External"/><Relationship Id="rId11" Type="http://schemas.openxmlformats.org/officeDocument/2006/relationships/hyperlink" Target="https://www.facebook.com/ads/library/?id=993503046348507" TargetMode="External"/><Relationship Id="rId12" Type="http://schemas.openxmlformats.org/officeDocument/2006/relationships/hyperlink" Target="https://www.facebook.com/ads/library/?active_status=active&amp;ad_type=all&amp;country=BR&amp;q=par&#225;bolas%20b&#237;blicas%20para%20crian&#231;as&amp;search_type=keyword_unordered&amp;media_type=all" TargetMode="External"/><Relationship Id="rId13" Type="http://schemas.openxmlformats.org/officeDocument/2006/relationships/hyperlink" Target="https://comportamentopositivo.com/disciplina/" TargetMode="External"/><Relationship Id="rId14" Type="http://schemas.openxmlformats.org/officeDocument/2006/relationships/hyperlink" Target="https://www.facebook.com/ads/library/?active_status=active&amp;ad_type=all&amp;country=BR&amp;q=comportamentopositivo.com&amp;search_type=keyword_unordered&amp;media_type=all" TargetMode="External"/><Relationship Id="rId15" Type="http://schemas.openxmlformats.org/officeDocument/2006/relationships/hyperlink" Target="https://www.facebook.com/ads/library/?id=2084315022150331" TargetMode="External"/><Relationship Id="rId16" Type="http://schemas.openxmlformats.org/officeDocument/2006/relationships/hyperlink" Target="https://www.facebook.com/ads/library/?active_status=active&amp;ad_type=all&amp;country=BR&amp;q=disciplina%20positiva&amp;search_type=keyword_unordered&amp;media_type=all" TargetMode="External"/><Relationship Id="rId17" Type="http://schemas.openxmlformats.org/officeDocument/2006/relationships/hyperlink" Target="https://bonecas-de-papel.vercel.app/" TargetMode="External"/><Relationship Id="rId18" Type="http://schemas.openxmlformats.org/officeDocument/2006/relationships/hyperlink" Target="https://www.facebook.com/ads/library/?active_status=active&amp;ad_type=all&amp;country=BR&amp;q=bonecas-de-papel.vercel.app&amp;search_type=keyword_unordered&amp;media_type=all" TargetMode="External"/><Relationship Id="rId19" Type="http://schemas.openxmlformats.org/officeDocument/2006/relationships/hyperlink" Target="https://www.facebook.com/ads/library/?id=2219073155603183" TargetMode="External"/><Relationship Id="rId20" Type="http://schemas.openxmlformats.org/officeDocument/2006/relationships/hyperlink" Target="https://www.facebook.com/ads/library/?active_status=active&amp;ad_type=all&amp;country=BR&amp;q=bonecas%20de%20papel&amp;search_type=keyword_unordered&amp;media_type=all" TargetMode="External"/><Relationship Id="rId21" Type="http://schemas.openxmlformats.org/officeDocument/2006/relationships/hyperlink" Target="https://teste.pipoeduca.com/" TargetMode="External"/><Relationship Id="rId22" Type="http://schemas.openxmlformats.org/officeDocument/2006/relationships/hyperlink" Target="https://www.facebook.com/ads/library/?active_status=active&amp;ad_type=all&amp;country=BR&amp;q=pipoeduca.com&amp;search_type=keyword_unordered&amp;media_type=all" TargetMode="External"/><Relationship Id="rId23" Type="http://schemas.openxmlformats.org/officeDocument/2006/relationships/hyperlink" Target="https://www.facebook.com/ads/library/?id=1226637092640294" TargetMode="External"/><Relationship Id="rId24" Type="http://schemas.openxmlformats.org/officeDocument/2006/relationships/hyperlink" Target="https://www.facebook.com/ads/library/?active_status=active&amp;ad_type=all&amp;country=BR&amp;q=NeuroOctoMusical&amp;search_type=keyword_unordered&amp;media_type=all" TargetMode="External"/><Relationship Id="rId25" Type="http://schemas.openxmlformats.org/officeDocument/2006/relationships/hyperlink" Target="https://galeraindica.com.br/ritmado/" TargetMode="External"/><Relationship Id="rId26" Type="http://schemas.openxmlformats.org/officeDocument/2006/relationships/hyperlink" Target="https://www.facebook.com/ads/library/?active_status=active&amp;ad_type=all&amp;country=BR&amp;q=educacaofisicaead.com.br&amp;search_type=keyword_unordered&amp;media_type=all" TargetMode="External"/><Relationship Id="rId27" Type="http://schemas.openxmlformats.org/officeDocument/2006/relationships/hyperlink" Target="https://www.facebook.com/ads/library/?id=2735190620155666" TargetMode="External"/><Relationship Id="rId28" Type="http://schemas.openxmlformats.org/officeDocument/2006/relationships/hyperlink" Target="https://www.facebook.com/ads/library/?active_status=active&amp;ad_type=all&amp;country=BR&amp;q=educa&#231;&#227;o%20f&#237;sica%20ead&amp;search_type=keyword_unordered&amp;media_type=all" TargetMode="External"/><Relationship Id="rId29" Type="http://schemas.openxmlformats.org/officeDocument/2006/relationships/hyperlink" Target="https://atividade-cursiva.netlify.app/" TargetMode="External"/><Relationship Id="rId30" Type="http://schemas.openxmlformats.org/officeDocument/2006/relationships/hyperlink" Target="https://www.facebook.com/ads/library/?active_status=active&amp;ad_type=all&amp;country=BR&amp;q=atividade-cursiva.netlify.app&amp;search_type=keyword_unordered&amp;media_type=all" TargetMode="External"/><Relationship Id="rId31" Type="http://schemas.openxmlformats.org/officeDocument/2006/relationships/hyperlink" Target="https://www.facebook.com/ads/library/?id=2155571435280165" TargetMode="External"/><Relationship Id="rId32" Type="http://schemas.openxmlformats.org/officeDocument/2006/relationships/hyperlink" Target="https://www.facebook.com/ads/library/?active_status=active&amp;ad_type=all&amp;country=BR&amp;q=caligrafia&amp;search_type=keyword_unordered&amp;media_type=all" TargetMode="External"/><Relationship Id="rId33" Type="http://schemas.openxmlformats.org/officeDocument/2006/relationships/hyperlink" Target="https://mundocriativobr.shop/" TargetMode="External"/><Relationship Id="rId34" Type="http://schemas.openxmlformats.org/officeDocument/2006/relationships/hyperlink" Target="https://www.facebook.com/ads/library/?active_status=active&amp;ad_type=all&amp;country=BR&amp;q=mundocriativobr.shop&amp;search_type=keyword_unordered&amp;media_type=all" TargetMode="External"/><Relationship Id="rId35" Type="http://schemas.openxmlformats.org/officeDocument/2006/relationships/hyperlink" Target="https://www.facebook.com/ads/library/?id=4477216049201855" TargetMode="External"/><Relationship Id="rId36" Type="http://schemas.openxmlformats.org/officeDocument/2006/relationships/hyperlink" Target="https://www.facebook.com/ads/library/?active_status=active&amp;ad_type=all&amp;country=BR&amp;q=caligrafia&amp;search_type=keyword_unordered&amp;media_type=all" TargetMode="External"/><Relationship Id="rId37" Type="http://schemas.openxmlformats.org/officeDocument/2006/relationships/hyperlink" Target="https://ballerinalab.com.br/cantigas-da-bailarina" TargetMode="External"/><Relationship Id="rId38" Type="http://schemas.openxmlformats.org/officeDocument/2006/relationships/hyperlink" Target="https://www.facebook.com/ads/library/?active_status=active&amp;ad_type=all&amp;country=BR&amp;q=ballerinalab.com.br&amp;search_type=keyword_unordered&amp;media_type=all" TargetMode="External"/><Relationship Id="rId39" Type="http://schemas.openxmlformats.org/officeDocument/2006/relationships/hyperlink" Target="https://www.facebook.com/ads/library/?id=1084074807856178" TargetMode="External"/><Relationship Id="rId40" Type="http://schemas.openxmlformats.org/officeDocument/2006/relationships/hyperlink" Target="https://www.facebook.com/ads/library/?active_status=active&amp;ad_type=all&amp;country=BR&amp;q=coreografias%20prontas&amp;search_type=keyword_unordered&amp;media_type=all" TargetMode="External"/><Relationship Id="rId41" Type="http://schemas.openxmlformats.org/officeDocument/2006/relationships/hyperlink" Target="https://www.thelittlegenius.com.br/" TargetMode="External"/><Relationship Id="rId42" Type="http://schemas.openxmlformats.org/officeDocument/2006/relationships/hyperlink" Target="https://www.facebook.com/ads/library/?active_status=active&amp;ad_type=all&amp;country=BR&amp;q=thelittlegenius.com.br&amp;search_type=keyword_unordered&amp;media_type=all" TargetMode="External"/><Relationship Id="rId43" Type="http://schemas.openxmlformats.org/officeDocument/2006/relationships/hyperlink" Target="https://www.facebook.com/ads/library/?id=2025255935031779" TargetMode="External"/><Relationship Id="rId44" Type="http://schemas.openxmlformats.org/officeDocument/2006/relationships/hyperlink" Target="https://www.facebook.com/ads/library/?active_status=active&amp;ad_type=all&amp;country=BR&amp;q=little%20genius&amp;search_type=keyword_unordered&amp;media_type=all" TargetMode="External"/><Relationship Id="rId45" Type="http://schemas.openxmlformats.org/officeDocument/2006/relationships/hyperlink" Target="https://clubedapedagogia.com/" TargetMode="External"/><Relationship Id="rId46" Type="http://schemas.openxmlformats.org/officeDocument/2006/relationships/hyperlink" Target="https://www.facebook.com/ads/library/?active_status=active&amp;ad_type=all&amp;country=BR&amp;q=clubedapedagogia.com&amp;search_type=keyword_unordered&amp;media_type=all" TargetMode="External"/><Relationship Id="rId47" Type="http://schemas.openxmlformats.org/officeDocument/2006/relationships/hyperlink" Target="https://www.facebook.com/ads/library/?id=992686450320863" TargetMode="External"/><Relationship Id="rId48" Type="http://schemas.openxmlformats.org/officeDocument/2006/relationships/hyperlink" Target="https://www.facebook.com/ads/library/?active_status=active&amp;ad_type=all&amp;country=BR&amp;q=clube%20da%20pedagogia&amp;search_type=keyword_unordered&amp;media_type=all" TargetMode="External"/><Relationship Id="rId49" Type="http://schemas.openxmlformats.org/officeDocument/2006/relationships/hyperlink" Target="https://licaokids.com.br/" TargetMode="External"/><Relationship Id="rId50" Type="http://schemas.openxmlformats.org/officeDocument/2006/relationships/hyperlink" Target="https://www.facebook.com/ads/library/?active_status=active&amp;ad_type=all&amp;country=BR&amp;q=licaokids.com.br&amp;search_type=keyword_unordered&amp;media_type=all" TargetMode="External"/><Relationship Id="rId51" Type="http://schemas.openxmlformats.org/officeDocument/2006/relationships/hyperlink" Target="https://www.facebook.com/ads/library/?id=1105081868831679" TargetMode="External"/><Relationship Id="rId52" Type="http://schemas.openxmlformats.org/officeDocument/2006/relationships/hyperlink" Target="https://www.facebook.com/ads/library/?active_status=active&amp;ad_type=all&amp;country=BR&amp;q=licao%20kids&amp;search_type=keyword_unordered&amp;media_type=all" TargetMode="External"/><Relationship Id="rId53" Type="http://schemas.openxmlformats.org/officeDocument/2006/relationships/hyperlink" Target="https://pequenasestilistas.com/" TargetMode="External"/><Relationship Id="rId54" Type="http://schemas.openxmlformats.org/officeDocument/2006/relationships/hyperlink" Target="https://www.facebook.com/ads/library/?active_status=active&amp;ad_type=all&amp;country=BR&amp;q=pequenasestilistas.com&amp;search_type=keyword_unordered&amp;media_type=all" TargetMode="External"/><Relationship Id="rId55" Type="http://schemas.openxmlformats.org/officeDocument/2006/relationships/hyperlink" Target="https://www.facebook.com/ads/library/?id=1050552667832142" TargetMode="External"/><Relationship Id="rId56" Type="http://schemas.openxmlformats.org/officeDocument/2006/relationships/hyperlink" Target="https://www.facebook.com/ads/library/?active_status=active&amp;ad_type=all&amp;country=BR&amp;q=pequenas%20estilistas&amp;search_type=keyword_unordered&amp;media_type=all" TargetMode="External"/><Relationship Id="rId57" Type="http://schemas.openxmlformats.org/officeDocument/2006/relationships/hyperlink" Target="https://kit-300aulas-edfisica.netlify.app/" TargetMode="External"/><Relationship Id="rId58" Type="http://schemas.openxmlformats.org/officeDocument/2006/relationships/hyperlink" Target="https://www.facebook.com/ads/library/?active_status=active&amp;ad_type=all&amp;country=BR&amp;q=kit-300aulas-edfisica.netlify.app&amp;search_type=keyword_unordered&amp;media_type=all" TargetMode="External"/><Relationship Id="rId59" Type="http://schemas.openxmlformats.org/officeDocument/2006/relationships/hyperlink" Target="https://www.facebook.com/ads/library/?id=1060059023314947" TargetMode="External"/><Relationship Id="rId60" Type="http://schemas.openxmlformats.org/officeDocument/2006/relationships/hyperlink" Target="https://www.facebook.com/ads/library/?active_status=active&amp;ad_type=all&amp;country=BR&amp;q=aulas%20prontas%20educa&#231;&#227;o%20f&#237;sica&amp;search_type=keyword_unordered&amp;media_type=all" TargetMode="External"/><Relationship Id="rId61" Type="http://schemas.openxmlformats.org/officeDocument/2006/relationships/hyperlink" Target="https://www.facebook.com/ads/library/?active_status=active&amp;ad_type=all&amp;country=BR&amp;q=missa%20em%20atividades&amp;search_type=keyword_unordered&amp;media_type=all" TargetMode="External"/><Relationship Id="rId62" Type="http://schemas.openxmlformats.org/officeDocument/2006/relationships/hyperlink" Target="https://www.facebook.com/ads/library/?active_status=active&amp;ad_type=all&amp;country=BR&amp;q=missa%20em%20atividades&amp;search_type=keyword_unordered&amp;media_type=all" TargetMode="External"/><Relationship Id="rId63" Type="http://schemas.openxmlformats.org/officeDocument/2006/relationships/hyperlink" Target="https://www.facebook.com/ads/library/?active_status=active&amp;ad_type=all&amp;country=BR&amp;q=do%20rabisco%20&#224;%20letra%20bonita&amp;search_type=keyword_unordered&amp;media_type=all" TargetMode="External"/><Relationship Id="rId64" Type="http://schemas.openxmlformats.org/officeDocument/2006/relationships/hyperlink" Target="https://www.facebook.com/ads/library/?active_status=active&amp;ad_type=all&amp;country=BR&amp;q=do%20rabisco%20&#224;%20letra%20bonita&amp;search_type=keyword_unordered&amp;media_type=all" TargetMode="External"/><Relationship Id="rId65" Type="http://schemas.openxmlformats.org/officeDocument/2006/relationships/hyperlink" Target="https://www.facebook.com/ads/library/?active_status=active&amp;ad_type=all&amp;country=BR&amp;q=alfa%20kids&amp;search_type=keyword_unordered&amp;media_type=all" TargetMode="External"/><Relationship Id="rId66" Type="http://schemas.openxmlformats.org/officeDocument/2006/relationships/hyperlink" Target="https://www.facebook.com/ads/library/?active_status=active&amp;ad_type=all&amp;country=BR&amp;q=alfa%20kids&amp;search_type=keyword_unordered&amp;media_type=all" TargetMode="External"/><Relationship Id="rId67" Type="http://schemas.openxmlformats.org/officeDocument/2006/relationships/hyperlink" Target="https://www.facebook.com/ads/library/?active_status=active&amp;ad_type=all&amp;country=BR&amp;q=grafismo%20fon&#233;tico&amp;search_type=keyword_unordered&amp;media_type=all" TargetMode="External"/><Relationship Id="rId68" Type="http://schemas.openxmlformats.org/officeDocument/2006/relationships/hyperlink" Target="https://www.facebook.com/ads/library/?active_status=active&amp;ad_type=all&amp;country=BR&amp;q=grafismo%20fon&#233;tico&amp;search_type=keyword_unordered&amp;media_type=all" TargetMode="External"/><Relationship Id="rId69" Type="http://schemas.openxmlformats.org/officeDocument/2006/relationships/hyperlink" Target="https://bibliotecainterativa.com/" TargetMode="External"/><Relationship Id="rId70" Type="http://schemas.openxmlformats.org/officeDocument/2006/relationships/hyperlink" Target="https://www.facebook.com/ads/library/?active_status=active&amp;ad_type=all&amp;country=BR&amp;q=mundinho%20de%20papel&amp;search_type=keyword_unordered&amp;media_type=all" TargetMode="External"/><Relationship Id="rId71" Type="http://schemas.openxmlformats.org/officeDocument/2006/relationships/hyperlink" Target="https://www.facebook.com/ads/library/?active_status=active&amp;ad_type=all&amp;country=BR&amp;q=mundinho%20de%20papel&amp;search_type=keyword_unordered&amp;media_type=all" TargetMode="External"/><Relationship Id="rId72" Type="http://schemas.openxmlformats.org/officeDocument/2006/relationships/hyperlink" Target="https://casinhadossonhos.com.br/" TargetMode="External"/><Relationship Id="rId73" Type="http://schemas.openxmlformats.org/officeDocument/2006/relationships/hyperlink" Target="https://www.facebook.com/ads/library/?active_status=active&amp;ad_type=all&amp;country=BR&amp;q=casinha%20dos%20sonhos&amp;search_type=keyword_unordered&amp;media_type=all" TargetMode="External"/><Relationship Id="rId74" Type="http://schemas.openxmlformats.org/officeDocument/2006/relationships/hyperlink" Target="https://www.facebook.com/ads/library/?active_status=active&amp;ad_type=all&amp;country=BR&amp;q=casinha%20dos%20sonhos&amp;search_type=keyword_unordered&amp;media_type=all" TargetMode="External"/><Relationship Id="rId75" Type="http://schemas.openxmlformats.org/officeDocument/2006/relationships/hyperlink" Target="https://dancadosnoivosonline.com/" TargetMode="External"/><Relationship Id="rId76" Type="http://schemas.openxmlformats.org/officeDocument/2006/relationships/hyperlink" Target="https://www.facebook.com/ads/library/?active_status=active&amp;ad_type=all&amp;country=BR&amp;q=dancadosnoivosonline.com&amp;search_type=keyword_unordered&amp;media_type=all" TargetMode="External"/><Relationship Id="rId77" Type="http://schemas.openxmlformats.org/officeDocument/2006/relationships/hyperlink" Target="https://www.facebook.com/ads/library/?id=1709135547148649" TargetMode="External"/><Relationship Id="rId78" Type="http://schemas.openxmlformats.org/officeDocument/2006/relationships/hyperlink" Target="https://www.facebook.com/ads/library/?active_status=active&amp;ad_type=all&amp;country=BR&amp;q=dan&#231;a%20dos%20noivos&amp;search_type=keyword_unordered&amp;media_type=all" TargetMode="External"/><Relationship Id="rId79" Type="http://schemas.openxmlformats.org/officeDocument/2006/relationships/hyperlink" Target="https://patriciacavalcante.com.br/combo-10-cursos-de-danca-do-ventre2" TargetMode="External"/><Relationship Id="rId80" Type="http://schemas.openxmlformats.org/officeDocument/2006/relationships/hyperlink" Target="https://www.facebook.com/ads/library/?active_status=active&amp;ad_type=all&amp;country=BR&amp;q=patriciacavalcante.com.br&amp;search_type=keyword_unordered&amp;media_type=all" TargetMode="External"/><Relationship Id="rId81" Type="http://schemas.openxmlformats.org/officeDocument/2006/relationships/hyperlink" Target="https://www.facebook.com/ads/library/?id=1023550673675761" TargetMode="External"/><Relationship Id="rId82" Type="http://schemas.openxmlformats.org/officeDocument/2006/relationships/hyperlink" Target="https://www.facebook.com/ads/library/?active_status=active&amp;ad_type=all&amp;country=BR&amp;q=dan&#231;a%20do%20ventre&amp;search_type=keyword_unordered&amp;media_type=all" TargetMode="External"/><Relationship Id="rId83" Type="http://schemas.openxmlformats.org/officeDocument/2006/relationships/hyperlink" Target="https://shaktistudioonline.com/portal-shakti-club" TargetMode="External"/><Relationship Id="rId84" Type="http://schemas.openxmlformats.org/officeDocument/2006/relationships/hyperlink" Target="https://www.facebook.com/ads/library/?active_status=active&amp;ad_type=all&amp;country=BR&amp;q=shaktistudioonline.com&amp;search_type=keyword_unordered&amp;media_type=all" TargetMode="External"/><Relationship Id="rId85" Type="http://schemas.openxmlformats.org/officeDocument/2006/relationships/hyperlink" Target="https://www.facebook.com/ads/library/?id=1481713799929612" TargetMode="External"/><Relationship Id="rId86" Type="http://schemas.openxmlformats.org/officeDocument/2006/relationships/hyperlink" Target="https://www.facebook.com/ads/library/?active_status=active&amp;ad_type=all&amp;country=BR&amp;q=dan&#231;a%20do%20ventre&amp;search_type=keyword_unordered&amp;media_type=all" TargetMode="External"/><Relationship Id="rId87" Type="http://schemas.openxmlformats.org/officeDocument/2006/relationships/hyperlink" Target="https://quiz.forrozeirodozero.com.br/" TargetMode="External"/><Relationship Id="rId88" Type="http://schemas.openxmlformats.org/officeDocument/2006/relationships/hyperlink" Target="https://www.facebook.com/ads/library/?active_status=active&amp;ad_type=all&amp;country=BR&amp;q=quiz.forrozeirodozero.com.br&amp;search_type=keyword_unordered&amp;media_type=all" TargetMode="External"/><Relationship Id="rId89" Type="http://schemas.openxmlformats.org/officeDocument/2006/relationships/hyperlink" Target="https://www.facebook.com/ads/library/?id=1064507922644275" TargetMode="External"/><Relationship Id="rId90" Type="http://schemas.openxmlformats.org/officeDocument/2006/relationships/hyperlink" Target="https://www.facebook.com/ads/library/?active_status=active&amp;ad_type=all&amp;country=BR&amp;q=aprender%20forr&#243;&amp;search_type=keyword_unordered&amp;media_type=all" TargetMode="External"/><Relationship Id="rId91" Type="http://schemas.openxmlformats.org/officeDocument/2006/relationships/hyperlink" Target="https://conteudos.tutudaju.com/assinatura-de-aulas-tutu-da-ju" TargetMode="External"/><Relationship Id="rId92" Type="http://schemas.openxmlformats.org/officeDocument/2006/relationships/hyperlink" Target="https://www.facebook.com/ads/library/?active_status=active&amp;ad_type=all&amp;country=BR&amp;q=conteudos.tutudaju.com&amp;search_type=keyword_unordered&amp;media_type=all" TargetMode="External"/><Relationship Id="rId93" Type="http://schemas.openxmlformats.org/officeDocument/2006/relationships/hyperlink" Target="https://www.facebook.com/ads/library/?id=1354322349865514" TargetMode="External"/><Relationship Id="rId94" Type="http://schemas.openxmlformats.org/officeDocument/2006/relationships/hyperlink" Target="https://www.facebook.com/ads/library/?active_status=active&amp;ad_type=all&amp;country=BR&amp;q=aulas%20de%20ballet&amp;search_type=keyword_unordered&amp;media_type=all" TargetMode="External"/><Relationship Id="rId95" Type="http://schemas.openxmlformats.org/officeDocument/2006/relationships/hyperlink" Target="https://pedescalcomkt.com.br/forro-zero/" TargetMode="External"/><Relationship Id="rId96" Type="http://schemas.openxmlformats.org/officeDocument/2006/relationships/hyperlink" Target="https://www.facebook.com/ads/library/?active_status=active&amp;ad_type=all&amp;country=BR&amp;q=pedescalcomkt.com.br&amp;search_type=keyword_unordered&amp;media_type=all" TargetMode="External"/><Relationship Id="rId97" Type="http://schemas.openxmlformats.org/officeDocument/2006/relationships/hyperlink" Target="https://www.facebook.com/ads/library/?id=1707449480261174" TargetMode="External"/><Relationship Id="rId98" Type="http://schemas.openxmlformats.org/officeDocument/2006/relationships/hyperlink" Target="https://www.facebook.com/ads/library/?active_status=active&amp;ad_type=all&amp;country=BR&amp;q=aprender%20forr&#243;&amp;search_type=keyword_unordered&amp;media_type=all" TargetMode="External"/><Relationship Id="rId99" Type="http://schemas.openxmlformats.org/officeDocument/2006/relationships/hyperlink" Target="https://dicionarioemmovimento.site/" TargetMode="External"/><Relationship Id="rId100" Type="http://schemas.openxmlformats.org/officeDocument/2006/relationships/hyperlink" Target="https://www.facebook.com/ads/library/?active_status=active&amp;ad_type=all&amp;country=BR&amp;q=dicionarioemmovimento.site&amp;search_type=keyword_unordered&amp;media_type=all" TargetMode="External"/><Relationship Id="rId101" Type="http://schemas.openxmlformats.org/officeDocument/2006/relationships/hyperlink" Target="https://www.facebook.com/ads/library/?id=3577644852403387" TargetMode="External"/><Relationship Id="rId102" Type="http://schemas.openxmlformats.org/officeDocument/2006/relationships/hyperlink" Target="https://www.facebook.com/ads/library/?active_status=active&amp;ad_type=all&amp;country=BR&amp;q=minist&#233;rio%20de%20dan&#231;a&amp;search_type=keyword_unordered&amp;media_type=all" TargetMode="External"/><Relationship Id="rId103" Type="http://schemas.openxmlformats.org/officeDocument/2006/relationships/hyperlink" Target="https://brumdance.com.br/3em1/" TargetMode="External"/><Relationship Id="rId104" Type="http://schemas.openxmlformats.org/officeDocument/2006/relationships/hyperlink" Target="https://www.facebook.com/ads/library/?active_status=active&amp;ad_type=all&amp;country=BR&amp;q=brumdance.com.br&amp;search_type=keyword_unordered&amp;media_type=all" TargetMode="External"/><Relationship Id="rId105" Type="http://schemas.openxmlformats.org/officeDocument/2006/relationships/hyperlink" Target="https://www.facebook.com/ads/library/?id=28673785225560791" TargetMode="External"/><Relationship Id="rId106" Type="http://schemas.openxmlformats.org/officeDocument/2006/relationships/hyperlink" Target="https://www.facebook.com/ads/library/?active_status=active&amp;ad_type=all&amp;country=BR&amp;q=minist&#233;rio%20de%20dan&#231;a&amp;search_type=keyword_unordered&amp;media_type=all" TargetMode="External"/><Relationship Id="rId107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facebook.com/ads/library/?id=970044505662581" TargetMode="External"/><Relationship Id="rId2" Type="http://schemas.openxmlformats.org/officeDocument/2006/relationships/hyperlink" Target="https://alfabetinho.com.br/produtos2026" TargetMode="External"/><Relationship Id="rId3" Type="http://schemas.openxmlformats.org/officeDocument/2006/relationships/hyperlink" Target="https://www.facebook.com/ads/library/?id=1508270277503719" TargetMode="External"/><Relationship Id="rId4" Type="http://schemas.openxmlformats.org/officeDocument/2006/relationships/hyperlink" Target="https://alfabetinho.com.br/produtos2026" TargetMode="External"/><Relationship Id="rId5" Type="http://schemas.openxmlformats.org/officeDocument/2006/relationships/hyperlink" Target="https://www.facebook.com/ads/library/?id=1620023782401206" TargetMode="External"/><Relationship Id="rId6" Type="http://schemas.openxmlformats.org/officeDocument/2006/relationships/hyperlink" Target="https://alfabetinho.com.br/produtos2026" TargetMode="External"/><Relationship Id="rId7" Type="http://schemas.openxmlformats.org/officeDocument/2006/relationships/hyperlink" Target="https://www.facebook.com/ads/library/?id=3172469686475289" TargetMode="External"/><Relationship Id="rId8" Type="http://schemas.openxmlformats.org/officeDocument/2006/relationships/hyperlink" Target="https://alfabetinho.com.br/produtos2026" TargetMode="External"/><Relationship Id="rId9" Type="http://schemas.openxmlformats.org/officeDocument/2006/relationships/hyperlink" Target="https://www.facebook.com/ads/library/?id=2247855422684854" TargetMode="External"/><Relationship Id="rId10" Type="http://schemas.openxmlformats.org/officeDocument/2006/relationships/hyperlink" Target="https://alfabetinho.com.br/produtos2026" TargetMode="External"/><Relationship Id="rId11" Type="http://schemas.openxmlformats.org/officeDocument/2006/relationships/hyperlink" Target="https://www.facebook.com/ads/library/?id=1878006972875926" TargetMode="External"/><Relationship Id="rId12" Type="http://schemas.openxmlformats.org/officeDocument/2006/relationships/hyperlink" Target="https://alfabetinho.com.br/produtos2026" TargetMode="External"/><Relationship Id="rId13" Type="http://schemas.openxmlformats.org/officeDocument/2006/relationships/hyperlink" Target="https://www.facebook.com/ads/library/?id=1008902684916114" TargetMode="External"/><Relationship Id="rId14" Type="http://schemas.openxmlformats.org/officeDocument/2006/relationships/hyperlink" Target="https://alfabetinho.com.br/produtos2026" TargetMode="External"/><Relationship Id="rId15" Type="http://schemas.openxmlformats.org/officeDocument/2006/relationships/hyperlink" Target="https://www.facebook.com/ads/library/?id=27007775222166222" TargetMode="External"/><Relationship Id="rId16" Type="http://schemas.openxmlformats.org/officeDocument/2006/relationships/hyperlink" Target="https://clubealfabetinho.com.br/produto/jogo-da-velha-da-multiplicacao/" TargetMode="External"/><Relationship Id="rId17" Type="http://schemas.openxmlformats.org/officeDocument/2006/relationships/hyperlink" Target="https://www.facebook.com/ads/library/?id=1416304743675998" TargetMode="External"/><Relationship Id="rId18" Type="http://schemas.openxmlformats.org/officeDocument/2006/relationships/hyperlink" Target="https://clubealfabetinho.com.br/produto/painel-interativo-ch-lh-e-nh/" TargetMode="External"/><Relationship Id="rId19" Type="http://schemas.openxmlformats.org/officeDocument/2006/relationships/hyperlink" Target="https://www.facebook.com/ads/library/?id=1084074807856178" TargetMode="External"/><Relationship Id="rId20" Type="http://schemas.openxmlformats.org/officeDocument/2006/relationships/hyperlink" Target="https://ballerinalab.com.br/ballet-das-princesas" TargetMode="External"/><Relationship Id="rId21" Type="http://schemas.openxmlformats.org/officeDocument/2006/relationships/hyperlink" Target="https://www.facebook.com/ads/library/?id=4533113893677151" TargetMode="External"/><Relationship Id="rId22" Type="http://schemas.openxmlformats.org/officeDocument/2006/relationships/hyperlink" Target="https://ballerinalab.com.br/ballet-das-princesas" TargetMode="External"/><Relationship Id="rId23" Type="http://schemas.openxmlformats.org/officeDocument/2006/relationships/hyperlink" Target="https://www.facebook.com/ads/library/?id=1384391013839147" TargetMode="External"/><Relationship Id="rId24" Type="http://schemas.openxmlformats.org/officeDocument/2006/relationships/hyperlink" Target="https://ballerinalab.com.br/biblioteca-musical-ballet" TargetMode="External"/><Relationship Id="rId25" Type="http://schemas.openxmlformats.org/officeDocument/2006/relationships/hyperlink" Target="https://www.facebook.com/ads/library/?id=2172804016621647" TargetMode="External"/><Relationship Id="rId26" Type="http://schemas.openxmlformats.org/officeDocument/2006/relationships/hyperlink" Target="https://ballerinalab.com.br/biblioteca-musical-ballet" TargetMode="External"/><Relationship Id="rId27" Type="http://schemas.openxmlformats.org/officeDocument/2006/relationships/hyperlink" Target="https://www.facebook.com/ads/library/?id=899034949625160" TargetMode="External"/><Relationship Id="rId28" Type="http://schemas.openxmlformats.org/officeDocument/2006/relationships/hyperlink" Target="https://ballerinalab.com.br/ballet-das-princesas" TargetMode="External"/><Relationship Id="rId29" Type="http://schemas.openxmlformats.org/officeDocument/2006/relationships/hyperlink" Target="https://www.facebook.com/ads/library/?id=2105098220397807" TargetMode="External"/><Relationship Id="rId30" Type="http://schemas.openxmlformats.org/officeDocument/2006/relationships/hyperlink" Target="https://ballerinalab.com.br/ballet-das-princesas" TargetMode="External"/><Relationship Id="rId31" Type="http://schemas.openxmlformats.org/officeDocument/2006/relationships/hyperlink" Target="https://www.facebook.com/ads/library/?id=2153301909395556" TargetMode="External"/><Relationship Id="rId32" Type="http://schemas.openxmlformats.org/officeDocument/2006/relationships/hyperlink" Target="https://ballerinalab.com.br/biblioteca-musical-ballet" TargetMode="External"/><Relationship Id="rId33" Type="http://schemas.openxmlformats.org/officeDocument/2006/relationships/hyperlink" Target="https://www.facebook.com/ads/library/?id=28048326681493140" TargetMode="External"/><Relationship Id="rId34" Type="http://schemas.openxmlformats.org/officeDocument/2006/relationships/hyperlink" Target="https://ballerinalab.com.br/ballet-das-princesas" TargetMode="External"/><Relationship Id="rId35" Type="http://schemas.openxmlformats.org/officeDocument/2006/relationships/hyperlink" Target="https://www.facebook.com/ads/library/?id=2559028787897214" TargetMode="External"/><Relationship Id="rId36" Type="http://schemas.openxmlformats.org/officeDocument/2006/relationships/hyperlink" Target="https://ballerinalab.com.br/ballet-das-princesas" TargetMode="External"/><Relationship Id="rId37" Type="http://schemas.openxmlformats.org/officeDocument/2006/relationships/hyperlink" Target="https://www.facebook.com/ads/library/?id=1402604925127990" TargetMode="External"/><Relationship Id="rId38" Type="http://schemas.openxmlformats.org/officeDocument/2006/relationships/hyperlink" Target="https://ballerinalab.com.br/biblioteca-musical-ballet" TargetMode="External"/><Relationship Id="rId39" Type="http://schemas.openxmlformats.org/officeDocument/2006/relationships/hyperlink" Target="https://www.facebook.com/ads/library/?id=910225078377401" TargetMode="External"/><Relationship Id="rId40" Type="http://schemas.openxmlformats.org/officeDocument/2006/relationships/hyperlink" Target="https://ballerinalab.com.br/ballet-das-princesas" TargetMode="External"/><Relationship Id="rId41" Type="http://schemas.openxmlformats.org/officeDocument/2006/relationships/hyperlink" Target="https://www.facebook.com/ads/library/?id=1818372329523797" TargetMode="External"/><Relationship Id="rId42" Type="http://schemas.openxmlformats.org/officeDocument/2006/relationships/hyperlink" Target="https://ballerinalab.com.br/ballet-das-princesas" TargetMode="External"/><Relationship Id="rId43" Type="http://schemas.openxmlformats.org/officeDocument/2006/relationships/hyperlink" Target="https://www.facebook.com/ads/library/?id=3586819454803209" TargetMode="External"/><Relationship Id="rId44" Type="http://schemas.openxmlformats.org/officeDocument/2006/relationships/hyperlink" Target="https://ballerinalab.com.br/biblioteca-musical-ballet" TargetMode="External"/><Relationship Id="rId45" Type="http://schemas.openxmlformats.org/officeDocument/2006/relationships/hyperlink" Target="https://www.facebook.com/ads/library/?id=901370859407571" TargetMode="External"/><Relationship Id="rId46" Type="http://schemas.openxmlformats.org/officeDocument/2006/relationships/hyperlink" Target="https://ballerinalab.com.br/biblioteca-musical-ballet" TargetMode="External"/><Relationship Id="rId47" Type="http://schemas.openxmlformats.org/officeDocument/2006/relationships/hyperlink" Target="https://www.facebook.com/ads/library/?id=2293675854732136" TargetMode="External"/><Relationship Id="rId48" Type="http://schemas.openxmlformats.org/officeDocument/2006/relationships/hyperlink" Target="https://ballerinalab.com.br/biblioteca-musical-ballet" TargetMode="External"/><Relationship Id="rId49" Type="http://schemas.openxmlformats.org/officeDocument/2006/relationships/hyperlink" Target="https://www.facebook.com/ads/library/?id=1609143730696444" TargetMode="External"/><Relationship Id="rId50" Type="http://schemas.openxmlformats.org/officeDocument/2006/relationships/hyperlink" Target="https://ballerinalab.com.br/cantigas-da-bailarina" TargetMode="External"/><Relationship Id="rId51" Type="http://schemas.openxmlformats.org/officeDocument/2006/relationships/hyperlink" Target="https://www.facebook.com/ads/library/?id=1343898594170874" TargetMode="External"/><Relationship Id="rId52" Type="http://schemas.openxmlformats.org/officeDocument/2006/relationships/hyperlink" Target="https://ballerinalab.com.br/ballet-das-princesas" TargetMode="External"/><Relationship Id="rId53" Type="http://schemas.openxmlformats.org/officeDocument/2006/relationships/hyperlink" Target="https://www.facebook.com/ads/library/?id=1893140328314743" TargetMode="External"/><Relationship Id="rId54" Type="http://schemas.openxmlformats.org/officeDocument/2006/relationships/hyperlink" Target="https://ballerinalab.com.br/cantigas-da-bailarina" TargetMode="External"/><Relationship Id="rId55" Type="http://schemas.openxmlformats.org/officeDocument/2006/relationships/hyperlink" Target="https://www.facebook.com/ads/library/?id=1788079548857559" TargetMode="External"/><Relationship Id="rId56" Type="http://schemas.openxmlformats.org/officeDocument/2006/relationships/hyperlink" Target="https://ballerinalab.com.br/cantigas-da-bailarina" TargetMode="External"/><Relationship Id="rId57" Type="http://schemas.openxmlformats.org/officeDocument/2006/relationships/hyperlink" Target="https://www.facebook.com/ads/library/?id=2263316144514045" TargetMode="External"/><Relationship Id="rId58" Type="http://schemas.openxmlformats.org/officeDocument/2006/relationships/hyperlink" Target="https://ballerinalab.com.br/cantigas-da-bailarina" TargetMode="External"/><Relationship Id="rId59" Type="http://schemas.openxmlformats.org/officeDocument/2006/relationships/hyperlink" Target="https://www.facebook.com/ads/library/?id=1376856734652671" TargetMode="External"/><Relationship Id="rId60" Type="http://schemas.openxmlformats.org/officeDocument/2006/relationships/hyperlink" Target="https://ballerinalab.com.br/ballet-das-princesas" TargetMode="External"/><Relationship Id="rId61" Type="http://schemas.openxmlformats.org/officeDocument/2006/relationships/hyperlink" Target="https://www.facebook.com/ads/library/?id=1375741571331643" TargetMode="External"/><Relationship Id="rId62" Type="http://schemas.openxmlformats.org/officeDocument/2006/relationships/hyperlink" Target="https://ballerinalab.com.br/ballet-das-princesas" TargetMode="External"/><Relationship Id="rId63" Type="http://schemas.openxmlformats.org/officeDocument/2006/relationships/hyperlink" Target="https://www.facebook.com/ads/library/?id=2215363675975312" TargetMode="External"/><Relationship Id="rId64" Type="http://schemas.openxmlformats.org/officeDocument/2006/relationships/hyperlink" Target="https://ballerinalab.com.br/cantigas-da-bailarina" TargetMode="External"/><Relationship Id="rId65" Type="http://schemas.openxmlformats.org/officeDocument/2006/relationships/hyperlink" Target="https://www.facebook.com/ads/library/?id=2248461005696502" TargetMode="External"/><Relationship Id="rId66" Type="http://schemas.openxmlformats.org/officeDocument/2006/relationships/hyperlink" Target="https://ballerinalab.com.br/ballet-das-princesas" TargetMode="External"/><Relationship Id="rId67" Type="http://schemas.openxmlformats.org/officeDocument/2006/relationships/hyperlink" Target="https://www.facebook.com/ads/library/?id=1589360189243391" TargetMode="External"/><Relationship Id="rId68" Type="http://schemas.openxmlformats.org/officeDocument/2006/relationships/hyperlink" Target="https://ballerinalab.com.br/ballet-das-princesas" TargetMode="External"/><Relationship Id="rId69" Type="http://schemas.openxmlformats.org/officeDocument/2006/relationships/hyperlink" Target="https://www.facebook.com/ads/library/?id=2040343446596995" TargetMode="External"/><Relationship Id="rId70" Type="http://schemas.openxmlformats.org/officeDocument/2006/relationships/hyperlink" Target="https://ballerinalab.com.br/ballet-das-princesas" TargetMode="External"/><Relationship Id="rId71" Type="http://schemas.openxmlformats.org/officeDocument/2006/relationships/hyperlink" Target="https://www.facebook.com/ads/library/?id=2542961722886698" TargetMode="External"/><Relationship Id="rId72" Type="http://schemas.openxmlformats.org/officeDocument/2006/relationships/hyperlink" Target="https://ballerinalab.com.br/biblioteca-musical-ballet" TargetMode="External"/><Relationship Id="rId73" Type="http://schemas.openxmlformats.org/officeDocument/2006/relationships/hyperlink" Target="https://www.facebook.com/ads/library/?id=2075213203383609" TargetMode="External"/><Relationship Id="rId74" Type="http://schemas.openxmlformats.org/officeDocument/2006/relationships/hyperlink" Target="https://ballerinalab.com.br/ballet-das-princesas" TargetMode="External"/><Relationship Id="rId75" Type="http://schemas.openxmlformats.org/officeDocument/2006/relationships/hyperlink" Target="https://www.facebook.com/ads/library/?id=1896609284648902" TargetMode="External"/><Relationship Id="rId76" Type="http://schemas.openxmlformats.org/officeDocument/2006/relationships/hyperlink" Target="https://ballerinalab.com.br/cantigas-da-bailarina" TargetMode="External"/><Relationship Id="rId77" Type="http://schemas.openxmlformats.org/officeDocument/2006/relationships/hyperlink" Target="https://www.facebook.com/ads/library/?id=2471097866730595" TargetMode="External"/><Relationship Id="rId78" Type="http://schemas.openxmlformats.org/officeDocument/2006/relationships/hyperlink" Target="https://ballerinalab.com.br/cantigas-da-bailarina" TargetMode="External"/><Relationship Id="rId79" Type="http://schemas.openxmlformats.org/officeDocument/2006/relationships/hyperlink" Target="https://www.facebook.com/ads/library/?id=1596978708736824" TargetMode="External"/><Relationship Id="rId80" Type="http://schemas.openxmlformats.org/officeDocument/2006/relationships/hyperlink" Target="https://ballerinalab.com.br/cantigas-da-bailarina" TargetMode="External"/><Relationship Id="rId81" Type="http://schemas.openxmlformats.org/officeDocument/2006/relationships/hyperlink" Target="https://www.facebook.com/ads/library/?id=1069936788731181" TargetMode="External"/><Relationship Id="rId82" Type="http://schemas.openxmlformats.org/officeDocument/2006/relationships/hyperlink" Target="https://ballerinalab.com.br/ballet-das-princesas" TargetMode="External"/><Relationship Id="rId83" Type="http://schemas.openxmlformats.org/officeDocument/2006/relationships/hyperlink" Target="https://www.facebook.com/ads/library/?id=1244590731133551" TargetMode="External"/><Relationship Id="rId84" Type="http://schemas.openxmlformats.org/officeDocument/2006/relationships/hyperlink" Target="https://ballerinalab.com.br/cantigas-da-bailarina" TargetMode="External"/><Relationship Id="rId85" Type="http://schemas.openxmlformats.org/officeDocument/2006/relationships/hyperlink" Target="https://www.facebook.com/ads/library/?id=1069228155500070" TargetMode="External"/><Relationship Id="rId86" Type="http://schemas.openxmlformats.org/officeDocument/2006/relationships/hyperlink" Target="https://ballerinalab.com.br/cantigas-da-bailarina" TargetMode="External"/><Relationship Id="rId87" Type="http://schemas.openxmlformats.org/officeDocument/2006/relationships/hyperlink" Target="https://www.facebook.com/ads/library/?id=941791291734829" TargetMode="External"/><Relationship Id="rId88" Type="http://schemas.openxmlformats.org/officeDocument/2006/relationships/hyperlink" Target="https://ballerinalab.com.br/cantigas-da-bailarina" TargetMode="External"/><Relationship Id="rId89" Type="http://schemas.openxmlformats.org/officeDocument/2006/relationships/hyperlink" Target="https://www.facebook.com/ads/library/?id=1616937039829779" TargetMode="External"/><Relationship Id="rId90" Type="http://schemas.openxmlformats.org/officeDocument/2006/relationships/hyperlink" Target="https://ballerinalab.com.br/cantigas-da-bailarina" TargetMode="External"/><Relationship Id="rId91" Type="http://schemas.openxmlformats.org/officeDocument/2006/relationships/hyperlink" Target="https://www.facebook.com/ads/library/?id=2162500361279588" TargetMode="External"/><Relationship Id="rId92" Type="http://schemas.openxmlformats.org/officeDocument/2006/relationships/hyperlink" Target="https://ballerinalab.com.br/cantigas-da-bailarina" TargetMode="External"/><Relationship Id="rId93" Type="http://schemas.openxmlformats.org/officeDocument/2006/relationships/hyperlink" Target="https://www.facebook.com/ads/library/?id=3469711586522153" TargetMode="External"/><Relationship Id="rId94" Type="http://schemas.openxmlformats.org/officeDocument/2006/relationships/hyperlink" Target="https://ballerinalab.com.br/cantigas-da-bailarina" TargetMode="External"/><Relationship Id="rId95" Type="http://schemas.openxmlformats.org/officeDocument/2006/relationships/hyperlink" Target="https://www.facebook.com/ads/library/?id=3969590060015031" TargetMode="External"/><Relationship Id="rId96" Type="http://schemas.openxmlformats.org/officeDocument/2006/relationships/hyperlink" Target="https://ballerinalab.com.br/cantigas-da-bailarina" TargetMode="External"/><Relationship Id="rId97" Type="http://schemas.openxmlformats.org/officeDocument/2006/relationships/hyperlink" Target="https://www.facebook.com/ads/library/?id=1071789299228156" TargetMode="External"/><Relationship Id="rId98" Type="http://schemas.openxmlformats.org/officeDocument/2006/relationships/hyperlink" Target="https://ballerinalab.com.br/cantigas-da-bailarina" TargetMode="External"/><Relationship Id="rId99" Type="http://schemas.openxmlformats.org/officeDocument/2006/relationships/hyperlink" Target="https://www.facebook.com/ads/library/?id=1808375023485352" TargetMode="External"/><Relationship Id="rId100" Type="http://schemas.openxmlformats.org/officeDocument/2006/relationships/hyperlink" Target="https://ballerinalab.com.br/cantigas-da-bailarina" TargetMode="External"/><Relationship Id="rId101" Type="http://schemas.openxmlformats.org/officeDocument/2006/relationships/hyperlink" Target="https://www.facebook.com/ads/library/?id=1110308694763870" TargetMode="External"/><Relationship Id="rId102" Type="http://schemas.openxmlformats.org/officeDocument/2006/relationships/hyperlink" Target="https://ballerinalab.com.br/cantigas-da-bailarina" TargetMode="External"/><Relationship Id="rId103" Type="http://schemas.openxmlformats.org/officeDocument/2006/relationships/hyperlink" Target="https://www.facebook.com/ads/library/?id=2501108650313455" TargetMode="External"/><Relationship Id="rId104" Type="http://schemas.openxmlformats.org/officeDocument/2006/relationships/hyperlink" Target="https://ballerinalab.com.br/cantigas-da-bailarina" TargetMode="External"/><Relationship Id="rId105" Type="http://schemas.openxmlformats.org/officeDocument/2006/relationships/hyperlink" Target="https://www.facebook.com/ads/library/?id=1989714411707913" TargetMode="External"/><Relationship Id="rId106" Type="http://schemas.openxmlformats.org/officeDocument/2006/relationships/hyperlink" Target="https://ballerinalab.com.br/ballet-das-princesas" TargetMode="External"/><Relationship Id="rId107" Type="http://schemas.openxmlformats.org/officeDocument/2006/relationships/hyperlink" Target="https://www.facebook.com/ads/library/?id=2123943254865379" TargetMode="External"/><Relationship Id="rId108" Type="http://schemas.openxmlformats.org/officeDocument/2006/relationships/hyperlink" Target="https://ballerinalab.com.br/cantigas-da-bailarina" TargetMode="External"/><Relationship Id="rId109" Type="http://schemas.openxmlformats.org/officeDocument/2006/relationships/hyperlink" Target="https://www.facebook.com/ads/library/?id=1415744880484095" TargetMode="External"/><Relationship Id="rId110" Type="http://schemas.openxmlformats.org/officeDocument/2006/relationships/hyperlink" Target="https://ballerinalab.com.br/biblioteca-musical-ballet" TargetMode="External"/><Relationship Id="rId111" Type="http://schemas.openxmlformats.org/officeDocument/2006/relationships/hyperlink" Target="https://www.facebook.com/ads/library/?id=1330980585573784" TargetMode="External"/><Relationship Id="rId112" Type="http://schemas.openxmlformats.org/officeDocument/2006/relationships/hyperlink" Target="https://ballerinalab.com.br/ballet-das-princesas" TargetMode="External"/><Relationship Id="rId113" Type="http://schemas.openxmlformats.org/officeDocument/2006/relationships/hyperlink" Target="https://www.facebook.com/ads/library/?id=1060960756736105" TargetMode="External"/><Relationship Id="rId114" Type="http://schemas.openxmlformats.org/officeDocument/2006/relationships/hyperlink" Target="https://ballerinalab.com.br/cantigas-da-bailarina" TargetMode="External"/><Relationship Id="rId115" Type="http://schemas.openxmlformats.org/officeDocument/2006/relationships/hyperlink" Target="https://www.facebook.com/ads/library/?id=1067085759637933" TargetMode="External"/><Relationship Id="rId116" Type="http://schemas.openxmlformats.org/officeDocument/2006/relationships/hyperlink" Target="https://ballerinalab.com.br/ballet-das-princesas" TargetMode="External"/><Relationship Id="rId117" Type="http://schemas.openxmlformats.org/officeDocument/2006/relationships/hyperlink" Target="https://www.facebook.com/ads/library/?id=2096936700940920" TargetMode="External"/><Relationship Id="rId118" Type="http://schemas.openxmlformats.org/officeDocument/2006/relationships/hyperlink" Target="https://ballerinalab.com.br/ballet-das-princesas" TargetMode="External"/><Relationship Id="rId119" Type="http://schemas.openxmlformats.org/officeDocument/2006/relationships/hyperlink" Target="https://www.facebook.com/ads/library/?id=1585010483317429" TargetMode="External"/><Relationship Id="rId120" Type="http://schemas.openxmlformats.org/officeDocument/2006/relationships/hyperlink" Target="https://ballerinalab.com.br/biblioteca-musical-ballet" TargetMode="External"/><Relationship Id="rId121" Type="http://schemas.openxmlformats.org/officeDocument/2006/relationships/hyperlink" Target="https://www.facebook.com/ads/library/?id=1679920184133168" TargetMode="External"/><Relationship Id="rId122" Type="http://schemas.openxmlformats.org/officeDocument/2006/relationships/hyperlink" Target="https://ballerinalab.com.br/ballet-das-princesas" TargetMode="External"/><Relationship Id="rId123" Type="http://schemas.openxmlformats.org/officeDocument/2006/relationships/hyperlink" Target="https://www.facebook.com/ads/library/?id=1380488494167012" TargetMode="External"/><Relationship Id="rId124" Type="http://schemas.openxmlformats.org/officeDocument/2006/relationships/hyperlink" Target="https://ballerinalab.com.br/ballet-das-princesas" TargetMode="External"/><Relationship Id="rId125" Type="http://schemas.openxmlformats.org/officeDocument/2006/relationships/hyperlink" Target="https://www.facebook.com/ads/library/?id=1834880947651826" TargetMode="External"/><Relationship Id="rId126" Type="http://schemas.openxmlformats.org/officeDocument/2006/relationships/hyperlink" Target="https://ballerinalab.com.br/cantigas-da-bailarina" TargetMode="External"/><Relationship Id="rId127" Type="http://schemas.openxmlformats.org/officeDocument/2006/relationships/hyperlink" Target="https://www.facebook.com/ads/library/?id=1756502645540449" TargetMode="External"/><Relationship Id="rId128" Type="http://schemas.openxmlformats.org/officeDocument/2006/relationships/hyperlink" Target="https://ballerinalab.com.br/biblioteca-musical-ballet" TargetMode="External"/><Relationship Id="rId129" Type="http://schemas.openxmlformats.org/officeDocument/2006/relationships/hyperlink" Target="https://www.facebook.com/ads/library/?id=1405032100992928" TargetMode="External"/><Relationship Id="rId130" Type="http://schemas.openxmlformats.org/officeDocument/2006/relationships/hyperlink" Target="https://ballerinalab.com.br/cantigas-da-bailarina" TargetMode="External"/><Relationship Id="rId131" Type="http://schemas.openxmlformats.org/officeDocument/2006/relationships/hyperlink" Target="https://www.facebook.com/ads/library/?id=2326453474814117" TargetMode="External"/><Relationship Id="rId132" Type="http://schemas.openxmlformats.org/officeDocument/2006/relationships/hyperlink" Target="https://ballerinalab.com.br/cantigas-da-bailarina" TargetMode="External"/><Relationship Id="rId133" Type="http://schemas.openxmlformats.org/officeDocument/2006/relationships/hyperlink" Target="https://www.facebook.com/ads/library/?id=4181817605441911" TargetMode="External"/><Relationship Id="rId134" Type="http://schemas.openxmlformats.org/officeDocument/2006/relationships/hyperlink" Target="https://ballerinalab.com.br/biblioteca-musical-ballet" TargetMode="External"/><Relationship Id="rId135" Type="http://schemas.openxmlformats.org/officeDocument/2006/relationships/hyperlink" Target="https://www.facebook.com/ads/library/?id=2090322998287351" TargetMode="External"/><Relationship Id="rId136" Type="http://schemas.openxmlformats.org/officeDocument/2006/relationships/hyperlink" Target="https://ballerinalab.com.br/cantigas-da-bailarina" TargetMode="External"/><Relationship Id="rId137" Type="http://schemas.openxmlformats.org/officeDocument/2006/relationships/hyperlink" Target="https://www.facebook.com/ads/library/?id=1386313229749168" TargetMode="External"/><Relationship Id="rId138" Type="http://schemas.openxmlformats.org/officeDocument/2006/relationships/hyperlink" Target="https://ballerinalab.com.br/biblioteca-musical-ballet" TargetMode="External"/><Relationship Id="rId139" Type="http://schemas.openxmlformats.org/officeDocument/2006/relationships/hyperlink" Target="https://www.facebook.com/ads/library/?id=1044088031761413" TargetMode="External"/><Relationship Id="rId140" Type="http://schemas.openxmlformats.org/officeDocument/2006/relationships/hyperlink" Target="https://ballerinalab.com.br/biblioteca-musical-ballet" TargetMode="External"/><Relationship Id="rId141" Type="http://schemas.openxmlformats.org/officeDocument/2006/relationships/hyperlink" Target="https://www.facebook.com/ads/library/?id=1108047615136200" TargetMode="External"/><Relationship Id="rId142" Type="http://schemas.openxmlformats.org/officeDocument/2006/relationships/hyperlink" Target="https://ballerinalab.com.br/enciclopedia-ballet-infantil/" TargetMode="External"/><Relationship Id="rId143" Type="http://schemas.openxmlformats.org/officeDocument/2006/relationships/hyperlink" Target="https://www.facebook.com/ads/library/?id=1046405885110988" TargetMode="External"/><Relationship Id="rId144" Type="http://schemas.openxmlformats.org/officeDocument/2006/relationships/hyperlink" Target="https://ballerinalab.com.br/ballerina-app/" TargetMode="External"/><Relationship Id="rId145" Type="http://schemas.openxmlformats.org/officeDocument/2006/relationships/hyperlink" Target="https://www.facebook.com/ads/library/?id=1996986517681584" TargetMode="External"/><Relationship Id="rId146" Type="http://schemas.openxmlformats.org/officeDocument/2006/relationships/hyperlink" Target="https://ballerinalab.com.br/ballerina-app/" TargetMode="External"/><Relationship Id="rId147" Type="http://schemas.openxmlformats.org/officeDocument/2006/relationships/hyperlink" Target="https://www.facebook.com/ads/library/?id=1998407924066551" TargetMode="External"/><Relationship Id="rId148" Type="http://schemas.openxmlformats.org/officeDocument/2006/relationships/hyperlink" Target="https://ballerinalab.com.br/enciclopedia-ballet-infantil/" TargetMode="External"/><Relationship Id="rId149" Type="http://schemas.openxmlformats.org/officeDocument/2006/relationships/hyperlink" Target="https://www.facebook.com/ads/library/?id=1106748048413331" TargetMode="External"/><Relationship Id="rId150" Type="http://schemas.openxmlformats.org/officeDocument/2006/relationships/hyperlink" Target="https://ballerinalab.com.br/enciclopedia-ballet-infantil/" TargetMode="External"/><Relationship Id="rId151" Type="http://schemas.openxmlformats.org/officeDocument/2006/relationships/hyperlink" Target="https://www.facebook.com/ads/library/?id=1614953096746854" TargetMode="External"/><Relationship Id="rId152" Type="http://schemas.openxmlformats.org/officeDocument/2006/relationships/hyperlink" Target="https://ballerinalab.com.br/enciclopedia-ballet-infantil/" TargetMode="External"/><Relationship Id="rId153" Type="http://schemas.openxmlformats.org/officeDocument/2006/relationships/hyperlink" Target="https://www.facebook.com/ads/library/?id=1588174286680229" TargetMode="External"/><Relationship Id="rId154" Type="http://schemas.openxmlformats.org/officeDocument/2006/relationships/hyperlink" Target="https://ballerinalab.com.br/enciclopedia-ballet-infantil/" TargetMode="External"/><Relationship Id="rId155" Type="http://schemas.openxmlformats.org/officeDocument/2006/relationships/hyperlink" Target="https://www.facebook.com/ads/library/?id=1254899126778211" TargetMode="External"/><Relationship Id="rId156" Type="http://schemas.openxmlformats.org/officeDocument/2006/relationships/hyperlink" Target="https://ballerinalab.com.br/enciclopedia-ballet-infantil/" TargetMode="External"/><Relationship Id="rId157" Type="http://schemas.openxmlformats.org/officeDocument/2006/relationships/hyperlink" Target="https://www.facebook.com/ads/library/?id=1094513012933910" TargetMode="External"/><Relationship Id="rId158" Type="http://schemas.openxmlformats.org/officeDocument/2006/relationships/hyperlink" Target="https://ballerinalab.com.br/enciclopedia-ballet-infantil/" TargetMode="External"/><Relationship Id="rId159" Type="http://schemas.openxmlformats.org/officeDocument/2006/relationships/hyperlink" Target="https://www.facebook.com/ads/library/?id=2219073155603183" TargetMode="External"/><Relationship Id="rId160" Type="http://schemas.openxmlformats.org/officeDocument/2006/relationships/hyperlink" Target="https://bonecas-de-papel.vercel.app/" TargetMode="External"/><Relationship Id="rId161" Type="http://schemas.openxmlformats.org/officeDocument/2006/relationships/hyperlink" Target="https://www.facebook.com/ads/library/?id=1819222026117120" TargetMode="External"/><Relationship Id="rId162" Type="http://schemas.openxmlformats.org/officeDocument/2006/relationships/hyperlink" Target="https://bonecas-de-papel.vercel.app/" TargetMode="External"/><Relationship Id="rId163" Type="http://schemas.openxmlformats.org/officeDocument/2006/relationships/hyperlink" Target="https://www.facebook.com/ads/library/?id=1019791050809419" TargetMode="External"/><Relationship Id="rId164" Type="http://schemas.openxmlformats.org/officeDocument/2006/relationships/hyperlink" Target="https://bonecas-de-papel.vercel.app/" TargetMode="External"/><Relationship Id="rId165" Type="http://schemas.openxmlformats.org/officeDocument/2006/relationships/hyperlink" Target="https://www.facebook.com/ads/library/?id=1653520489468352" TargetMode="External"/><Relationship Id="rId166" Type="http://schemas.openxmlformats.org/officeDocument/2006/relationships/hyperlink" Target="https://bonecas-de-papel.vercel.app/" TargetMode="External"/><Relationship Id="rId167" Type="http://schemas.openxmlformats.org/officeDocument/2006/relationships/hyperlink" Target="https://www.facebook.com/ads/library/?id=1349476204060151" TargetMode="External"/><Relationship Id="rId168" Type="http://schemas.openxmlformats.org/officeDocument/2006/relationships/hyperlink" Target="https://bonecas-de-papel.vercel.app/" TargetMode="External"/><Relationship Id="rId169" Type="http://schemas.openxmlformats.org/officeDocument/2006/relationships/hyperlink" Target="https://www.facebook.com/ads/library/?id=2566024487239279" TargetMode="External"/><Relationship Id="rId170" Type="http://schemas.openxmlformats.org/officeDocument/2006/relationships/hyperlink" Target="https://bonecas-de-papel.vercel.app/" TargetMode="External"/><Relationship Id="rId171" Type="http://schemas.openxmlformats.org/officeDocument/2006/relationships/hyperlink" Target="https://www.facebook.com/ads/library/?id=3164228483966301" TargetMode="External"/><Relationship Id="rId172" Type="http://schemas.openxmlformats.org/officeDocument/2006/relationships/hyperlink" Target="https://bonecas-de-papel.vercel.app/" TargetMode="External"/><Relationship Id="rId173" Type="http://schemas.openxmlformats.org/officeDocument/2006/relationships/hyperlink" Target="https://www.facebook.com/ads/library/?id=2094701004810702" TargetMode="External"/><Relationship Id="rId174" Type="http://schemas.openxmlformats.org/officeDocument/2006/relationships/hyperlink" Target="https://bonecas-de-papel.vercel.app/" TargetMode="External"/><Relationship Id="rId175" Type="http://schemas.openxmlformats.org/officeDocument/2006/relationships/hyperlink" Target="https://www.facebook.com/ads/library/?id=28673785225560791" TargetMode="External"/><Relationship Id="rId176" Type="http://schemas.openxmlformats.org/officeDocument/2006/relationships/hyperlink" Target="https://brumdance.com.br/3em1/" TargetMode="External"/><Relationship Id="rId177" Type="http://schemas.openxmlformats.org/officeDocument/2006/relationships/hyperlink" Target="https://www.facebook.com/ads/library/?id=1051545630835557" TargetMode="External"/><Relationship Id="rId178" Type="http://schemas.openxmlformats.org/officeDocument/2006/relationships/hyperlink" Target="https://brumdance.com.br/3em1/" TargetMode="External"/><Relationship Id="rId179" Type="http://schemas.openxmlformats.org/officeDocument/2006/relationships/hyperlink" Target="https://www.facebook.com/ads/library/?id=992686450320863" TargetMode="External"/><Relationship Id="rId180" Type="http://schemas.openxmlformats.org/officeDocument/2006/relationships/hyperlink" Target="https://clubedapedagogia.com/" TargetMode="External"/><Relationship Id="rId181" Type="http://schemas.openxmlformats.org/officeDocument/2006/relationships/hyperlink" Target="https://www.facebook.com/ads/library/?id=2438959209915196" TargetMode="External"/><Relationship Id="rId182" Type="http://schemas.openxmlformats.org/officeDocument/2006/relationships/hyperlink" Target="https://clubedapedagogia.com/" TargetMode="External"/><Relationship Id="rId183" Type="http://schemas.openxmlformats.org/officeDocument/2006/relationships/hyperlink" Target="https://www.facebook.com/ads/library/?id=1650099553786594" TargetMode="External"/><Relationship Id="rId184" Type="http://schemas.openxmlformats.org/officeDocument/2006/relationships/hyperlink" Target="https://clubedapedagogia.com/" TargetMode="External"/><Relationship Id="rId185" Type="http://schemas.openxmlformats.org/officeDocument/2006/relationships/hyperlink" Target="https://www.facebook.com/ads/library/?id=1469496018547144" TargetMode="External"/><Relationship Id="rId186" Type="http://schemas.openxmlformats.org/officeDocument/2006/relationships/hyperlink" Target="https://clubedapedagogia.com/" TargetMode="External"/><Relationship Id="rId187" Type="http://schemas.openxmlformats.org/officeDocument/2006/relationships/hyperlink" Target="https://www.facebook.com/ads/library/?id=1084116953997957" TargetMode="External"/><Relationship Id="rId188" Type="http://schemas.openxmlformats.org/officeDocument/2006/relationships/hyperlink" Target="https://clubedapedagogia.com/" TargetMode="External"/><Relationship Id="rId189" Type="http://schemas.openxmlformats.org/officeDocument/2006/relationships/hyperlink" Target="https://www.facebook.com/ads/library/?id=1761973048164627" TargetMode="External"/><Relationship Id="rId190" Type="http://schemas.openxmlformats.org/officeDocument/2006/relationships/hyperlink" Target="https://clubedapedagogia.com/" TargetMode="External"/><Relationship Id="rId191" Type="http://schemas.openxmlformats.org/officeDocument/2006/relationships/hyperlink" Target="https://www.facebook.com/ads/library/?id=1075984931690137" TargetMode="External"/><Relationship Id="rId192" Type="http://schemas.openxmlformats.org/officeDocument/2006/relationships/hyperlink" Target="https://clubedapedagogia.com/" TargetMode="External"/><Relationship Id="rId193" Type="http://schemas.openxmlformats.org/officeDocument/2006/relationships/hyperlink" Target="https://www.facebook.com/ads/library/?id=1128537856510742" TargetMode="External"/><Relationship Id="rId194" Type="http://schemas.openxmlformats.org/officeDocument/2006/relationships/hyperlink" Target="https://clubedapedagogia.com/" TargetMode="External"/><Relationship Id="rId195" Type="http://schemas.openxmlformats.org/officeDocument/2006/relationships/hyperlink" Target="https://www.facebook.com/ads/library/?id=1402047055369641" TargetMode="External"/><Relationship Id="rId196" Type="http://schemas.openxmlformats.org/officeDocument/2006/relationships/hyperlink" Target="https://clubedapedagogia.com/" TargetMode="External"/><Relationship Id="rId197" Type="http://schemas.openxmlformats.org/officeDocument/2006/relationships/hyperlink" Target="https://www.facebook.com/ads/library/?id=1622120696255635" TargetMode="External"/><Relationship Id="rId198" Type="http://schemas.openxmlformats.org/officeDocument/2006/relationships/hyperlink" Target="https://clubedapedagogia.com/" TargetMode="External"/><Relationship Id="rId199" Type="http://schemas.openxmlformats.org/officeDocument/2006/relationships/hyperlink" Target="https://www.facebook.com/ads/library/?id=1025610090508210" TargetMode="External"/><Relationship Id="rId200" Type="http://schemas.openxmlformats.org/officeDocument/2006/relationships/hyperlink" Target="https://clubedapedagogia.com/" TargetMode="External"/><Relationship Id="rId201" Type="http://schemas.openxmlformats.org/officeDocument/2006/relationships/hyperlink" Target="https://www.facebook.com/ads/library/?id=1701055864294606" TargetMode="External"/><Relationship Id="rId202" Type="http://schemas.openxmlformats.org/officeDocument/2006/relationships/hyperlink" Target="https://clubedapedagogia.com/" TargetMode="External"/><Relationship Id="rId203" Type="http://schemas.openxmlformats.org/officeDocument/2006/relationships/hyperlink" Target="https://www.facebook.com/ads/library/?id=953853111114050" TargetMode="External"/><Relationship Id="rId204" Type="http://schemas.openxmlformats.org/officeDocument/2006/relationships/hyperlink" Target="https://clubedapedagogia.com/" TargetMode="External"/><Relationship Id="rId205" Type="http://schemas.openxmlformats.org/officeDocument/2006/relationships/hyperlink" Target="https://www.facebook.com/ads/library/?id=1803029857779771" TargetMode="External"/><Relationship Id="rId206" Type="http://schemas.openxmlformats.org/officeDocument/2006/relationships/hyperlink" Target="https://clubedapedagogia.com/" TargetMode="External"/><Relationship Id="rId207" Type="http://schemas.openxmlformats.org/officeDocument/2006/relationships/hyperlink" Target="https://www.facebook.com/ads/library/?id=2155571435280165" TargetMode="External"/><Relationship Id="rId208" Type="http://schemas.openxmlformats.org/officeDocument/2006/relationships/hyperlink" Target="https://atividade-cursiva.netlify.app/" TargetMode="External"/><Relationship Id="rId209" Type="http://schemas.openxmlformats.org/officeDocument/2006/relationships/hyperlink" Target="https://www.facebook.com/ads/library/?id=1023550673675761" TargetMode="External"/><Relationship Id="rId210" Type="http://schemas.openxmlformats.org/officeDocument/2006/relationships/hyperlink" Target="https://patriciacavalcante.com.br/combo-10-cursos-de-danca-do-ventre2" TargetMode="External"/><Relationship Id="rId211" Type="http://schemas.openxmlformats.org/officeDocument/2006/relationships/hyperlink" Target="https://www.facebook.com/ads/library/?id=2050651032506961" TargetMode="External"/><Relationship Id="rId212" Type="http://schemas.openxmlformats.org/officeDocument/2006/relationships/hyperlink" Target="https://patriciacavalcante.com.br/combo-10-cursos-de-danca-do-ventre2" TargetMode="External"/><Relationship Id="rId213" Type="http://schemas.openxmlformats.org/officeDocument/2006/relationships/hyperlink" Target="https://www.facebook.com/ads/library/?id=1014726484321846" TargetMode="External"/><Relationship Id="rId214" Type="http://schemas.openxmlformats.org/officeDocument/2006/relationships/hyperlink" Target="https://patriciacavalcante.com.br/combo-10-cursos-de-danca-do-ventre2" TargetMode="External"/><Relationship Id="rId215" Type="http://schemas.openxmlformats.org/officeDocument/2006/relationships/hyperlink" Target="https://www.facebook.com/ads/library/?id=3513877608789929" TargetMode="External"/><Relationship Id="rId216" Type="http://schemas.openxmlformats.org/officeDocument/2006/relationships/hyperlink" Target="https://patriciacavalcante.com.br/combo-10-cursos-de-danca-do-ventre2" TargetMode="External"/><Relationship Id="rId217" Type="http://schemas.openxmlformats.org/officeDocument/2006/relationships/hyperlink" Target="https://www.facebook.com/ads/library/?id=1529360855477327" TargetMode="External"/><Relationship Id="rId218" Type="http://schemas.openxmlformats.org/officeDocument/2006/relationships/hyperlink" Target="https://patriciacavalcante.com.br/combo-10-cursos-de-danca-do-ventre2" TargetMode="External"/><Relationship Id="rId219" Type="http://schemas.openxmlformats.org/officeDocument/2006/relationships/hyperlink" Target="https://www.facebook.com/ads/library/?id=1709135547148649" TargetMode="External"/><Relationship Id="rId220" Type="http://schemas.openxmlformats.org/officeDocument/2006/relationships/hyperlink" Target="https://dancadosnoivosonline.com/" TargetMode="External"/><Relationship Id="rId221" Type="http://schemas.openxmlformats.org/officeDocument/2006/relationships/hyperlink" Target="https://www.facebook.com/ads/library/?id=663145749976219" TargetMode="External"/><Relationship Id="rId222" Type="http://schemas.openxmlformats.org/officeDocument/2006/relationships/hyperlink" Target="https://dancadosnoivosonline.com/" TargetMode="External"/><Relationship Id="rId223" Type="http://schemas.openxmlformats.org/officeDocument/2006/relationships/hyperlink" Target="https://www.facebook.com/ads/library/?id=1428634915161518" TargetMode="External"/><Relationship Id="rId224" Type="http://schemas.openxmlformats.org/officeDocument/2006/relationships/hyperlink" Target="https://dancadosnoivosonline.com/" TargetMode="External"/><Relationship Id="rId225" Type="http://schemas.openxmlformats.org/officeDocument/2006/relationships/hyperlink" Target="https://www.facebook.com/ads/library/?id=3577644852403387" TargetMode="External"/><Relationship Id="rId226" Type="http://schemas.openxmlformats.org/officeDocument/2006/relationships/hyperlink" Target="https://dicionarioemmovimento.site/" TargetMode="External"/><Relationship Id="rId227" Type="http://schemas.openxmlformats.org/officeDocument/2006/relationships/hyperlink" Target="https://www.facebook.com/ads/library/?id=3101792046818377" TargetMode="External"/><Relationship Id="rId228" Type="http://schemas.openxmlformats.org/officeDocument/2006/relationships/hyperlink" Target="https://dicionarioemmovimento.site/" TargetMode="External"/><Relationship Id="rId229" Type="http://schemas.openxmlformats.org/officeDocument/2006/relationships/hyperlink" Target="https://www.facebook.com/ads/library/?id=1752471909324679" TargetMode="External"/><Relationship Id="rId230" Type="http://schemas.openxmlformats.org/officeDocument/2006/relationships/hyperlink" Target="https://dicionarioemmovimento.site/" TargetMode="External"/><Relationship Id="rId231" Type="http://schemas.openxmlformats.org/officeDocument/2006/relationships/hyperlink" Target="https://www.facebook.com/ads/library/?id=1959068471436926" TargetMode="External"/><Relationship Id="rId232" Type="http://schemas.openxmlformats.org/officeDocument/2006/relationships/hyperlink" Target="https://dicionarioemmovimento.site/" TargetMode="External"/><Relationship Id="rId233" Type="http://schemas.openxmlformats.org/officeDocument/2006/relationships/hyperlink" Target="https://www.facebook.com/ads/library/?id=2084315022150331" TargetMode="External"/><Relationship Id="rId234" Type="http://schemas.openxmlformats.org/officeDocument/2006/relationships/hyperlink" Target="https://comportamentopositivo.com/cuidando-lar/" TargetMode="External"/><Relationship Id="rId235" Type="http://schemas.openxmlformats.org/officeDocument/2006/relationships/hyperlink" Target="https://www.facebook.com/ads/library/?id=4313356702141441" TargetMode="External"/><Relationship Id="rId236" Type="http://schemas.openxmlformats.org/officeDocument/2006/relationships/hyperlink" Target="https://comportamentopositivo.com/cuidando-lar/" TargetMode="External"/><Relationship Id="rId237" Type="http://schemas.openxmlformats.org/officeDocument/2006/relationships/hyperlink" Target="https://www.facebook.com/ads/library/?id=2043537339847569" TargetMode="External"/><Relationship Id="rId238" Type="http://schemas.openxmlformats.org/officeDocument/2006/relationships/hyperlink" Target="https://comportamentopositivo.com/cuidando-lar/" TargetMode="External"/><Relationship Id="rId239" Type="http://schemas.openxmlformats.org/officeDocument/2006/relationships/hyperlink" Target="https://www.facebook.com/ads/library/?id=983084258044479" TargetMode="External"/><Relationship Id="rId240" Type="http://schemas.openxmlformats.org/officeDocument/2006/relationships/hyperlink" Target="https://comportamentopositivo.com/disciplina/" TargetMode="External"/><Relationship Id="rId241" Type="http://schemas.openxmlformats.org/officeDocument/2006/relationships/hyperlink" Target="https://www.facebook.com/ads/library/?id=1340237451316387" TargetMode="External"/><Relationship Id="rId242" Type="http://schemas.openxmlformats.org/officeDocument/2006/relationships/hyperlink" Target="https://comportamentopositivo.com/disciplina/" TargetMode="External"/><Relationship Id="rId243" Type="http://schemas.openxmlformats.org/officeDocument/2006/relationships/hyperlink" Target="https://www.facebook.com/ads/library/?id=1234675865273221" TargetMode="External"/><Relationship Id="rId244" Type="http://schemas.openxmlformats.org/officeDocument/2006/relationships/hyperlink" Target="https://comportamentopositivo.com/cuidando-lar/" TargetMode="External"/><Relationship Id="rId245" Type="http://schemas.openxmlformats.org/officeDocument/2006/relationships/hyperlink" Target="https://www.facebook.com/ads/library/?id=1078549494605904" TargetMode="External"/><Relationship Id="rId246" Type="http://schemas.openxmlformats.org/officeDocument/2006/relationships/hyperlink" Target="https://comportamentopositivo.com/cuidando-lar/" TargetMode="External"/><Relationship Id="rId247" Type="http://schemas.openxmlformats.org/officeDocument/2006/relationships/hyperlink" Target="https://www.facebook.com/ads/library/?id=1674542433785008" TargetMode="External"/><Relationship Id="rId248" Type="http://schemas.openxmlformats.org/officeDocument/2006/relationships/hyperlink" Target="https://comportamentopositivo.com/cuidando-lar/" TargetMode="External"/><Relationship Id="rId249" Type="http://schemas.openxmlformats.org/officeDocument/2006/relationships/hyperlink" Target="https://www.facebook.com/ads/library/?id=4500777043572247" TargetMode="External"/><Relationship Id="rId250" Type="http://schemas.openxmlformats.org/officeDocument/2006/relationships/hyperlink" Target="https://comportamentopositivo.com/casa-organizada/" TargetMode="External"/><Relationship Id="rId251" Type="http://schemas.openxmlformats.org/officeDocument/2006/relationships/hyperlink" Target="https://www.facebook.com/ads/library/?id=965646246246956" TargetMode="External"/><Relationship Id="rId252" Type="http://schemas.openxmlformats.org/officeDocument/2006/relationships/hyperlink" Target="https://comportamentopositivo.com/casa-organizada/" TargetMode="External"/><Relationship Id="rId253" Type="http://schemas.openxmlformats.org/officeDocument/2006/relationships/hyperlink" Target="https://www.facebook.com/ads/library/?id=2037134810573262" TargetMode="External"/><Relationship Id="rId254" Type="http://schemas.openxmlformats.org/officeDocument/2006/relationships/hyperlink" Target="https://comportamentopositivo.com/casa-organizada/" TargetMode="External"/><Relationship Id="rId255" Type="http://schemas.openxmlformats.org/officeDocument/2006/relationships/hyperlink" Target="https://www.facebook.com/ads/library/?id=1351973586908494" TargetMode="External"/><Relationship Id="rId256" Type="http://schemas.openxmlformats.org/officeDocument/2006/relationships/hyperlink" Target="https://comportamentopositivo.com/casa-organizada/" TargetMode="External"/><Relationship Id="rId257" Type="http://schemas.openxmlformats.org/officeDocument/2006/relationships/hyperlink" Target="https://www.facebook.com/ads/library/?id=1518460689763394" TargetMode="External"/><Relationship Id="rId258" Type="http://schemas.openxmlformats.org/officeDocument/2006/relationships/hyperlink" Target="https://comportamentopositivo.com/disciplina/" TargetMode="External"/><Relationship Id="rId259" Type="http://schemas.openxmlformats.org/officeDocument/2006/relationships/hyperlink" Target="https://www.facebook.com/ads/library/?id=2504782846706348" TargetMode="External"/><Relationship Id="rId260" Type="http://schemas.openxmlformats.org/officeDocument/2006/relationships/hyperlink" Target="https://comportamentopositivo.com/disciplina/" TargetMode="External"/><Relationship Id="rId261" Type="http://schemas.openxmlformats.org/officeDocument/2006/relationships/hyperlink" Target="https://www.facebook.com/ads/library/?id=1006892872066462" TargetMode="External"/><Relationship Id="rId262" Type="http://schemas.openxmlformats.org/officeDocument/2006/relationships/hyperlink" Target="https://comportamentopositivo.com/disciplina/" TargetMode="External"/><Relationship Id="rId263" Type="http://schemas.openxmlformats.org/officeDocument/2006/relationships/hyperlink" Target="https://www.facebook.com/ads/library/?id=4326773734319632" TargetMode="External"/><Relationship Id="rId264" Type="http://schemas.openxmlformats.org/officeDocument/2006/relationships/hyperlink" Target="https://comportamentopositivo.com/disciplina/" TargetMode="External"/><Relationship Id="rId265" Type="http://schemas.openxmlformats.org/officeDocument/2006/relationships/hyperlink" Target="https://www.facebook.com/ads/library/?id=1335845408102698" TargetMode="External"/><Relationship Id="rId266" Type="http://schemas.openxmlformats.org/officeDocument/2006/relationships/hyperlink" Target="https://comportamentopositivo.com/disciplina/" TargetMode="External"/><Relationship Id="rId267" Type="http://schemas.openxmlformats.org/officeDocument/2006/relationships/hyperlink" Target="https://www.facebook.com/ads/library/?id=1436793781609188" TargetMode="External"/><Relationship Id="rId268" Type="http://schemas.openxmlformats.org/officeDocument/2006/relationships/hyperlink" Target="https://comportamentopositivo.com/disciplina/" TargetMode="External"/><Relationship Id="rId269" Type="http://schemas.openxmlformats.org/officeDocument/2006/relationships/hyperlink" Target="https://www.facebook.com/ads/library/?id=3212393068956172" TargetMode="External"/><Relationship Id="rId270" Type="http://schemas.openxmlformats.org/officeDocument/2006/relationships/hyperlink" Target="https://comportamentopositivo.com/disciplina/" TargetMode="External"/><Relationship Id="rId271" Type="http://schemas.openxmlformats.org/officeDocument/2006/relationships/hyperlink" Target="https://www.facebook.com/ads/library/?id=1099849372584821" TargetMode="External"/><Relationship Id="rId272" Type="http://schemas.openxmlformats.org/officeDocument/2006/relationships/hyperlink" Target="https://comportamentopositivo.com/disciplina/" TargetMode="External"/><Relationship Id="rId273" Type="http://schemas.openxmlformats.org/officeDocument/2006/relationships/hyperlink" Target="https://www.facebook.com/ads/library/?id=2044859479501868" TargetMode="External"/><Relationship Id="rId274" Type="http://schemas.openxmlformats.org/officeDocument/2006/relationships/hyperlink" Target="https://comportamentopositivo.com/disciplina/" TargetMode="External"/><Relationship Id="rId275" Type="http://schemas.openxmlformats.org/officeDocument/2006/relationships/hyperlink" Target="https://www.facebook.com/ads/library/?id=28184033554621397" TargetMode="External"/><Relationship Id="rId276" Type="http://schemas.openxmlformats.org/officeDocument/2006/relationships/hyperlink" Target="https://comportamentopositivo.com/disciplina/" TargetMode="External"/><Relationship Id="rId277" Type="http://schemas.openxmlformats.org/officeDocument/2006/relationships/hyperlink" Target="https://www.facebook.com/ads/library/?id=2914580605587325" TargetMode="External"/><Relationship Id="rId278" Type="http://schemas.openxmlformats.org/officeDocument/2006/relationships/hyperlink" Target="https://comportamentopositivo.com/disciplina/" TargetMode="External"/><Relationship Id="rId279" Type="http://schemas.openxmlformats.org/officeDocument/2006/relationships/hyperlink" Target="https://www.facebook.com/ads/library/?id=1064507922644275" TargetMode="External"/><Relationship Id="rId280" Type="http://schemas.openxmlformats.org/officeDocument/2006/relationships/hyperlink" Target="https://quiz.forrozeirodozero.com.br/" TargetMode="External"/><Relationship Id="rId281" Type="http://schemas.openxmlformats.org/officeDocument/2006/relationships/hyperlink" Target="https://www.facebook.com/ads/library/?id=1871711103791552" TargetMode="External"/><Relationship Id="rId282" Type="http://schemas.openxmlformats.org/officeDocument/2006/relationships/hyperlink" Target="https://quiz.forrozeirodozero.com.br/" TargetMode="External"/><Relationship Id="rId283" Type="http://schemas.openxmlformats.org/officeDocument/2006/relationships/hyperlink" Target="https://www.facebook.com/ads/library/?id=2276166409851151" TargetMode="External"/><Relationship Id="rId284" Type="http://schemas.openxmlformats.org/officeDocument/2006/relationships/hyperlink" Target="https://quiz.forrozeirodozero.com.br/" TargetMode="External"/><Relationship Id="rId285" Type="http://schemas.openxmlformats.org/officeDocument/2006/relationships/hyperlink" Target="https://www.facebook.com/ads/library/?id=1089530426830348" TargetMode="External"/><Relationship Id="rId286" Type="http://schemas.openxmlformats.org/officeDocument/2006/relationships/hyperlink" Target="https://quiz.forrozeirodozero.com.br/" TargetMode="External"/><Relationship Id="rId287" Type="http://schemas.openxmlformats.org/officeDocument/2006/relationships/hyperlink" Target="https://www.facebook.com/ads/library/?id=1085387350639507" TargetMode="External"/><Relationship Id="rId288" Type="http://schemas.openxmlformats.org/officeDocument/2006/relationships/hyperlink" Target="https://quiz.forrozeirodozero.com.br/" TargetMode="External"/><Relationship Id="rId289" Type="http://schemas.openxmlformats.org/officeDocument/2006/relationships/hyperlink" Target="https://www.facebook.com/ads/library/?id=1201395642203302" TargetMode="External"/><Relationship Id="rId290" Type="http://schemas.openxmlformats.org/officeDocument/2006/relationships/hyperlink" Target="https://quiz.forrozeirodozero.com.br/" TargetMode="External"/><Relationship Id="rId291" Type="http://schemas.openxmlformats.org/officeDocument/2006/relationships/hyperlink" Target="https://www.facebook.com/ads/library/?id=27761667813515346" TargetMode="External"/><Relationship Id="rId292" Type="http://schemas.openxmlformats.org/officeDocument/2006/relationships/hyperlink" Target="https://quiz.forrozeirodozero.com.br/" TargetMode="External"/><Relationship Id="rId293" Type="http://schemas.openxmlformats.org/officeDocument/2006/relationships/hyperlink" Target="https://www.facebook.com/ads/library/?id=4075141209445501" TargetMode="External"/><Relationship Id="rId294" Type="http://schemas.openxmlformats.org/officeDocument/2006/relationships/hyperlink" Target="https://quiz.forrozeirodozero.com.br/" TargetMode="External"/><Relationship Id="rId295" Type="http://schemas.openxmlformats.org/officeDocument/2006/relationships/hyperlink" Target="https://www.facebook.com/ads/library/?id=1557926705828769" TargetMode="External"/><Relationship Id="rId296" Type="http://schemas.openxmlformats.org/officeDocument/2006/relationships/hyperlink" Target="https://quiz.forrozeirodozero.com.br/" TargetMode="External"/><Relationship Id="rId297" Type="http://schemas.openxmlformats.org/officeDocument/2006/relationships/hyperlink" Target="https://www.facebook.com/ads/library/?id=1625150095668192" TargetMode="External"/><Relationship Id="rId298" Type="http://schemas.openxmlformats.org/officeDocument/2006/relationships/hyperlink" Target="https://quiz.forrozeirodozero.com.br/" TargetMode="External"/><Relationship Id="rId299" Type="http://schemas.openxmlformats.org/officeDocument/2006/relationships/hyperlink" Target="https://www.facebook.com/ads/library/?id=2713282239113071" TargetMode="External"/><Relationship Id="rId300" Type="http://schemas.openxmlformats.org/officeDocument/2006/relationships/hyperlink" Target="https://quiz.forrozeirodozero.com.br/" TargetMode="External"/><Relationship Id="rId301" Type="http://schemas.openxmlformats.org/officeDocument/2006/relationships/hyperlink" Target="https://www.facebook.com/ads/library/?id=2589249601594866" TargetMode="External"/><Relationship Id="rId302" Type="http://schemas.openxmlformats.org/officeDocument/2006/relationships/hyperlink" Target="https://quiz.forrozeirodozero.com.br/" TargetMode="External"/><Relationship Id="rId303" Type="http://schemas.openxmlformats.org/officeDocument/2006/relationships/hyperlink" Target="https://www.facebook.com/ads/library/?id=29052447627691215" TargetMode="External"/><Relationship Id="rId304" Type="http://schemas.openxmlformats.org/officeDocument/2006/relationships/hyperlink" Target="https://quiz.forrozeirodozero.com.br/" TargetMode="External"/><Relationship Id="rId305" Type="http://schemas.openxmlformats.org/officeDocument/2006/relationships/hyperlink" Target="https://www.facebook.com/ads/library/?id=1098691432830404" TargetMode="External"/><Relationship Id="rId306" Type="http://schemas.openxmlformats.org/officeDocument/2006/relationships/hyperlink" Target="https://quiz.forrozeirodozero.com.br/" TargetMode="External"/><Relationship Id="rId307" Type="http://schemas.openxmlformats.org/officeDocument/2006/relationships/hyperlink" Target="https://www.facebook.com/ads/library/?id=2082595555667614" TargetMode="External"/><Relationship Id="rId308" Type="http://schemas.openxmlformats.org/officeDocument/2006/relationships/hyperlink" Target="https://quiz.forrozeirodozero.com.br/" TargetMode="External"/><Relationship Id="rId309" Type="http://schemas.openxmlformats.org/officeDocument/2006/relationships/hyperlink" Target="https://www.facebook.com/ads/library/?id=2292096908283892" TargetMode="External"/><Relationship Id="rId310" Type="http://schemas.openxmlformats.org/officeDocument/2006/relationships/hyperlink" Target="https://quiz.forrozeirodozero.com.br/" TargetMode="External"/><Relationship Id="rId311" Type="http://schemas.openxmlformats.org/officeDocument/2006/relationships/hyperlink" Target="https://www.facebook.com/ads/library/?id=1043706595037851" TargetMode="External"/><Relationship Id="rId312" Type="http://schemas.openxmlformats.org/officeDocument/2006/relationships/hyperlink" Target="https://quiz.forrozeirodozero.com.br/" TargetMode="External"/><Relationship Id="rId313" Type="http://schemas.openxmlformats.org/officeDocument/2006/relationships/hyperlink" Target="https://www.facebook.com/ads/library/?id=1445256800762230" TargetMode="External"/><Relationship Id="rId314" Type="http://schemas.openxmlformats.org/officeDocument/2006/relationships/hyperlink" Target="https://quiz.forrozeirodozero.com.br/" TargetMode="External"/><Relationship Id="rId315" Type="http://schemas.openxmlformats.org/officeDocument/2006/relationships/hyperlink" Target="https://www.facebook.com/ads/library/?id=1739012743884370" TargetMode="External"/><Relationship Id="rId316" Type="http://schemas.openxmlformats.org/officeDocument/2006/relationships/hyperlink" Target="https://quiz.forrozeirodozero.com.br/" TargetMode="External"/><Relationship Id="rId317" Type="http://schemas.openxmlformats.org/officeDocument/2006/relationships/hyperlink" Target="https://www.facebook.com/ads/library/?id=2034020313900169" TargetMode="External"/><Relationship Id="rId318" Type="http://schemas.openxmlformats.org/officeDocument/2006/relationships/hyperlink" Target="https://quiz.forrozeirodozero.com.br/" TargetMode="External"/><Relationship Id="rId319" Type="http://schemas.openxmlformats.org/officeDocument/2006/relationships/hyperlink" Target="https://www.facebook.com/ads/library/?id=1474776764461499" TargetMode="External"/><Relationship Id="rId320" Type="http://schemas.openxmlformats.org/officeDocument/2006/relationships/hyperlink" Target="https://quiz.forrozeirodozero.com.br/" TargetMode="External"/><Relationship Id="rId321" Type="http://schemas.openxmlformats.org/officeDocument/2006/relationships/hyperlink" Target="https://www.facebook.com/ads/library/?id=2071407030405720" TargetMode="External"/><Relationship Id="rId322" Type="http://schemas.openxmlformats.org/officeDocument/2006/relationships/hyperlink" Target="https://quiz.forrozeirodozero.com.br/" TargetMode="External"/><Relationship Id="rId323" Type="http://schemas.openxmlformats.org/officeDocument/2006/relationships/hyperlink" Target="https://www.facebook.com/ads/library/?id=1326189757252578" TargetMode="External"/><Relationship Id="rId324" Type="http://schemas.openxmlformats.org/officeDocument/2006/relationships/hyperlink" Target="https://quiz.forrozeirodozero.com.br/" TargetMode="External"/><Relationship Id="rId325" Type="http://schemas.openxmlformats.org/officeDocument/2006/relationships/hyperlink" Target="https://www.facebook.com/ads/library/?id=1454688826717156" TargetMode="External"/><Relationship Id="rId326" Type="http://schemas.openxmlformats.org/officeDocument/2006/relationships/hyperlink" Target="https://quiz.forrozeirodozero.com.br/" TargetMode="External"/><Relationship Id="rId327" Type="http://schemas.openxmlformats.org/officeDocument/2006/relationships/hyperlink" Target="https://www.facebook.com/ads/library/?id=2207872679942664" TargetMode="External"/><Relationship Id="rId328" Type="http://schemas.openxmlformats.org/officeDocument/2006/relationships/hyperlink" Target="https://quiz.forrozeirodozero.com.br/" TargetMode="External"/><Relationship Id="rId329" Type="http://schemas.openxmlformats.org/officeDocument/2006/relationships/hyperlink" Target="https://www.facebook.com/ads/library/?id=2153243541931479" TargetMode="External"/><Relationship Id="rId330" Type="http://schemas.openxmlformats.org/officeDocument/2006/relationships/hyperlink" Target="https://quiz.forrozeirodozero.com.br/" TargetMode="External"/><Relationship Id="rId331" Type="http://schemas.openxmlformats.org/officeDocument/2006/relationships/hyperlink" Target="https://www.facebook.com/ads/library/?id=3008211019532562" TargetMode="External"/><Relationship Id="rId332" Type="http://schemas.openxmlformats.org/officeDocument/2006/relationships/hyperlink" Target="https://quiz.forrozeirodozero.com.br/" TargetMode="External"/><Relationship Id="rId333" Type="http://schemas.openxmlformats.org/officeDocument/2006/relationships/hyperlink" Target="https://www.facebook.com/ads/library/?id=2346539459452099" TargetMode="External"/><Relationship Id="rId334" Type="http://schemas.openxmlformats.org/officeDocument/2006/relationships/hyperlink" Target="https://quiz.forrozeirodozero.com.br/" TargetMode="External"/><Relationship Id="rId335" Type="http://schemas.openxmlformats.org/officeDocument/2006/relationships/hyperlink" Target="https://www.facebook.com/ads/library/?id=1707449480261174" TargetMode="External"/><Relationship Id="rId336" Type="http://schemas.openxmlformats.org/officeDocument/2006/relationships/hyperlink" Target="https://pedescalcomkt.com.br/forro-zero/" TargetMode="External"/><Relationship Id="rId337" Type="http://schemas.openxmlformats.org/officeDocument/2006/relationships/hyperlink" Target="https://www.facebook.com/ads/library/?id=1009562804937378" TargetMode="External"/><Relationship Id="rId338" Type="http://schemas.openxmlformats.org/officeDocument/2006/relationships/hyperlink" Target="https://pedescalcomkt.com.br/forro-zero/" TargetMode="External"/><Relationship Id="rId339" Type="http://schemas.openxmlformats.org/officeDocument/2006/relationships/hyperlink" Target="https://www.facebook.com/ads/library/?id=994212219674791" TargetMode="External"/><Relationship Id="rId340" Type="http://schemas.openxmlformats.org/officeDocument/2006/relationships/hyperlink" Target="https://pedescalcomkt.com.br/forro-zero/" TargetMode="External"/><Relationship Id="rId341" Type="http://schemas.openxmlformats.org/officeDocument/2006/relationships/hyperlink" Target="https://www.facebook.com/ads/library/?id=1052688427310030" TargetMode="External"/><Relationship Id="rId342" Type="http://schemas.openxmlformats.org/officeDocument/2006/relationships/hyperlink" Target="https://pedescalcomkt.com.br/forro-zero/" TargetMode="External"/><Relationship Id="rId343" Type="http://schemas.openxmlformats.org/officeDocument/2006/relationships/hyperlink" Target="https://www.facebook.com/ads/library/?id=1479418289940655" TargetMode="External"/><Relationship Id="rId344" Type="http://schemas.openxmlformats.org/officeDocument/2006/relationships/hyperlink" Target="https://pedescalcomkt.com.br/forro-zero/" TargetMode="External"/><Relationship Id="rId345" Type="http://schemas.openxmlformats.org/officeDocument/2006/relationships/hyperlink" Target="https://www.facebook.com/ads/library/?id=2735190620155666" TargetMode="External"/><Relationship Id="rId346" Type="http://schemas.openxmlformats.org/officeDocument/2006/relationships/hyperlink" Target="https://pay.hotmart.com/N104191293B?checkoutMode=10" TargetMode="External"/><Relationship Id="rId347" Type="http://schemas.openxmlformats.org/officeDocument/2006/relationships/hyperlink" Target="https://www.facebook.com/ads/library/?id=951847410995767" TargetMode="External"/><Relationship Id="rId348" Type="http://schemas.openxmlformats.org/officeDocument/2006/relationships/hyperlink" Target="https://educacaofisicaead.com.br/" TargetMode="External"/><Relationship Id="rId349" Type="http://schemas.openxmlformats.org/officeDocument/2006/relationships/hyperlink" Target="https://www.facebook.com/ads/library/?id=1637960077482446" TargetMode="External"/><Relationship Id="rId350" Type="http://schemas.openxmlformats.org/officeDocument/2006/relationships/hyperlink" Target="https://educacaofisicaead.com.br/" TargetMode="External"/><Relationship Id="rId351" Type="http://schemas.openxmlformats.org/officeDocument/2006/relationships/hyperlink" Target="https://www.facebook.com/ads/library/?id=2107614389816102" TargetMode="External"/><Relationship Id="rId352" Type="http://schemas.openxmlformats.org/officeDocument/2006/relationships/hyperlink" Target="https://hotm.io/anatomiaeb" TargetMode="External"/><Relationship Id="rId353" Type="http://schemas.openxmlformats.org/officeDocument/2006/relationships/hyperlink" Target="https://www.facebook.com/ads/library/?id=1000916325623484" TargetMode="External"/><Relationship Id="rId354" Type="http://schemas.openxmlformats.org/officeDocument/2006/relationships/hyperlink" Target="https://hotm.io/anatomiaeb" TargetMode="External"/><Relationship Id="rId355" Type="http://schemas.openxmlformats.org/officeDocument/2006/relationships/hyperlink" Target="https://www.facebook.com/ads/library/?id=1324735002591915" TargetMode="External"/><Relationship Id="rId356" Type="http://schemas.openxmlformats.org/officeDocument/2006/relationships/hyperlink" Target="https://pay.hotmart.com/B104642923S?checkoutMode=10" TargetMode="External"/><Relationship Id="rId357" Type="http://schemas.openxmlformats.org/officeDocument/2006/relationships/hyperlink" Target="https://www.facebook.com/ads/library/?id=2841496792879820" TargetMode="External"/><Relationship Id="rId358" Type="http://schemas.openxmlformats.org/officeDocument/2006/relationships/hyperlink" Target="https://pay.hotmart.com/R104787280P?checkoutMode=10" TargetMode="External"/><Relationship Id="rId359" Type="http://schemas.openxmlformats.org/officeDocument/2006/relationships/hyperlink" Target="https://www.facebook.com/ads/library/?id=1301578521720512" TargetMode="External"/><Relationship Id="rId360" Type="http://schemas.openxmlformats.org/officeDocument/2006/relationships/hyperlink" Target="https://pay.hotmart.com/R104787280P?checkoutMode=10" TargetMode="External"/><Relationship Id="rId361" Type="http://schemas.openxmlformats.org/officeDocument/2006/relationships/hyperlink" Target="https://www.facebook.com/ads/library/?id=27361101403554082" TargetMode="External"/><Relationship Id="rId362" Type="http://schemas.openxmlformats.org/officeDocument/2006/relationships/hyperlink" Target="https://pay.hotmart.com/S104286412R?checkoutMode=10" TargetMode="External"/><Relationship Id="rId363" Type="http://schemas.openxmlformats.org/officeDocument/2006/relationships/hyperlink" Target="https://www.facebook.com/ads/library/?id=1528233572176962" TargetMode="External"/><Relationship Id="rId364" Type="http://schemas.openxmlformats.org/officeDocument/2006/relationships/hyperlink" Target="https://hotm.io/anatomiaeb" TargetMode="External"/><Relationship Id="rId365" Type="http://schemas.openxmlformats.org/officeDocument/2006/relationships/hyperlink" Target="https://www.facebook.com/ads/library/?id=1332129301911879" TargetMode="External"/><Relationship Id="rId366" Type="http://schemas.openxmlformats.org/officeDocument/2006/relationships/hyperlink" Target="https://pay.hotmart.com/B104642923S?checkoutMode=10" TargetMode="External"/><Relationship Id="rId367" Type="http://schemas.openxmlformats.org/officeDocument/2006/relationships/hyperlink" Target="https://www.facebook.com/ads/library/?id=1579963770462439" TargetMode="External"/><Relationship Id="rId368" Type="http://schemas.openxmlformats.org/officeDocument/2006/relationships/hyperlink" Target="https://educacaofisicaead.com.br/alongamento/" TargetMode="External"/><Relationship Id="rId369" Type="http://schemas.openxmlformats.org/officeDocument/2006/relationships/hyperlink" Target="https://www.facebook.com/ads/library/?id=1650208813393401" TargetMode="External"/><Relationship Id="rId370" Type="http://schemas.openxmlformats.org/officeDocument/2006/relationships/hyperlink" Target="https://pay.hotmart.com/N104191293B?checkoutMode=10" TargetMode="External"/><Relationship Id="rId371" Type="http://schemas.openxmlformats.org/officeDocument/2006/relationships/hyperlink" Target="https://www.facebook.com/ads/library/?id=857343873900614" TargetMode="External"/><Relationship Id="rId372" Type="http://schemas.openxmlformats.org/officeDocument/2006/relationships/hyperlink" Target="https://educacaofisicaead.com.br/" TargetMode="External"/><Relationship Id="rId373" Type="http://schemas.openxmlformats.org/officeDocument/2006/relationships/hyperlink" Target="https://www.facebook.com/ads/library/?id=1519574006850784" TargetMode="External"/><Relationship Id="rId374" Type="http://schemas.openxmlformats.org/officeDocument/2006/relationships/hyperlink" Target="https://pay.hotmart.com/R104787280P?checkoutMode=10" TargetMode="External"/><Relationship Id="rId375" Type="http://schemas.openxmlformats.org/officeDocument/2006/relationships/hyperlink" Target="https://www.facebook.com/ads/library/?id=1273760388037312" TargetMode="External"/><Relationship Id="rId376" Type="http://schemas.openxmlformats.org/officeDocument/2006/relationships/hyperlink" Target="https://educacaofisicaead.com.br/" TargetMode="External"/><Relationship Id="rId377" Type="http://schemas.openxmlformats.org/officeDocument/2006/relationships/hyperlink" Target="https://www.facebook.com/ads/library/?id=4490631544550771" TargetMode="External"/><Relationship Id="rId378" Type="http://schemas.openxmlformats.org/officeDocument/2006/relationships/hyperlink" Target="https://educacaofisicaead.com.br/" TargetMode="External"/><Relationship Id="rId379" Type="http://schemas.openxmlformats.org/officeDocument/2006/relationships/hyperlink" Target="https://www.facebook.com/ads/library/?id=1308216088057990" TargetMode="External"/><Relationship Id="rId380" Type="http://schemas.openxmlformats.org/officeDocument/2006/relationships/hyperlink" Target="https://educacaofisicaead.com.br/muscinfantil/" TargetMode="External"/><Relationship Id="rId381" Type="http://schemas.openxmlformats.org/officeDocument/2006/relationships/hyperlink" Target="https://www.facebook.com/ads/library/?id=1147040971096004" TargetMode="External"/><Relationship Id="rId382" Type="http://schemas.openxmlformats.org/officeDocument/2006/relationships/hyperlink" Target="https://educacaofisicaead.com.br/alongamento/" TargetMode="External"/><Relationship Id="rId383" Type="http://schemas.openxmlformats.org/officeDocument/2006/relationships/hyperlink" Target="https://www.facebook.com/ads/library/?id=1066625329242611" TargetMode="External"/><Relationship Id="rId384" Type="http://schemas.openxmlformats.org/officeDocument/2006/relationships/hyperlink" Target="https://pay.hotmart.com/N104191293B?checkoutMode=10" TargetMode="External"/><Relationship Id="rId385" Type="http://schemas.openxmlformats.org/officeDocument/2006/relationships/hyperlink" Target="https://www.facebook.com/ads/library/?id=2094962884443835" TargetMode="External"/><Relationship Id="rId386" Type="http://schemas.openxmlformats.org/officeDocument/2006/relationships/hyperlink" Target="https://educacaofisicaead.com.br/muscinfantil/" TargetMode="External"/><Relationship Id="rId387" Type="http://schemas.openxmlformats.org/officeDocument/2006/relationships/hyperlink" Target="https://www.facebook.com/ads/library/?id=1474357868045321" TargetMode="External"/><Relationship Id="rId388" Type="http://schemas.openxmlformats.org/officeDocument/2006/relationships/hyperlink" Target="https://educacaofisicaead.com.br/alongamento/" TargetMode="External"/><Relationship Id="rId389" Type="http://schemas.openxmlformats.org/officeDocument/2006/relationships/hyperlink" Target="https://www.facebook.com/ads/library/?id=2501011900393428" TargetMode="External"/><Relationship Id="rId390" Type="http://schemas.openxmlformats.org/officeDocument/2006/relationships/hyperlink" Target="https://educacaofisicaead.com.br/alongamento/" TargetMode="External"/><Relationship Id="rId391" Type="http://schemas.openxmlformats.org/officeDocument/2006/relationships/hyperlink" Target="https://www.facebook.com/ads/library/?id=2006926279958962" TargetMode="External"/><Relationship Id="rId392" Type="http://schemas.openxmlformats.org/officeDocument/2006/relationships/hyperlink" Target="https://galeraindica.com.br/funcional/" TargetMode="External"/><Relationship Id="rId393" Type="http://schemas.openxmlformats.org/officeDocument/2006/relationships/hyperlink" Target="https://www.facebook.com/ads/library/?id=1045130181722813" TargetMode="External"/><Relationship Id="rId394" Type="http://schemas.openxmlformats.org/officeDocument/2006/relationships/hyperlink" Target="https://galeraindica.com.br/hidroginastica/" TargetMode="External"/><Relationship Id="rId395" Type="http://schemas.openxmlformats.org/officeDocument/2006/relationships/hyperlink" Target="https://www.facebook.com/ads/library/?id=1387519300162125" TargetMode="External"/><Relationship Id="rId396" Type="http://schemas.openxmlformats.org/officeDocument/2006/relationships/hyperlink" Target="https://galeraindica.com.br/hidroginastica/" TargetMode="External"/><Relationship Id="rId397" Type="http://schemas.openxmlformats.org/officeDocument/2006/relationships/hyperlink" Target="https://www.facebook.com/ads/library/?id=2040103877379170" TargetMode="External"/><Relationship Id="rId398" Type="http://schemas.openxmlformats.org/officeDocument/2006/relationships/hyperlink" Target="https://galeraindica.com.br/funcional/" TargetMode="External"/><Relationship Id="rId399" Type="http://schemas.openxmlformats.org/officeDocument/2006/relationships/hyperlink" Target="https://www.facebook.com/ads/library/?id=1410491164376152" TargetMode="External"/><Relationship Id="rId400" Type="http://schemas.openxmlformats.org/officeDocument/2006/relationships/hyperlink" Target="https://educacaofisicaead.com.br/pro" TargetMode="External"/><Relationship Id="rId401" Type="http://schemas.openxmlformats.org/officeDocument/2006/relationships/hyperlink" Target="https://www.facebook.com/ads/library/?id=1595049792031338" TargetMode="External"/><Relationship Id="rId402" Type="http://schemas.openxmlformats.org/officeDocument/2006/relationships/hyperlink" Target="https://educacaofisicaead.com.br/pro" TargetMode="External"/><Relationship Id="rId403" Type="http://schemas.openxmlformats.org/officeDocument/2006/relationships/hyperlink" Target="https://www.facebook.com/ads/library/?id=1431162878924047" TargetMode="External"/><Relationship Id="rId404" Type="http://schemas.openxmlformats.org/officeDocument/2006/relationships/hyperlink" Target="https://galeraindica.com.br/ritmado/" TargetMode="External"/><Relationship Id="rId405" Type="http://schemas.openxmlformats.org/officeDocument/2006/relationships/hyperlink" Target="https://www.facebook.com/ads/library/?id=2319243438820750" TargetMode="External"/><Relationship Id="rId406" Type="http://schemas.openxmlformats.org/officeDocument/2006/relationships/hyperlink" Target="https://galeraindica.com.br/ritmado/" TargetMode="External"/><Relationship Id="rId407" Type="http://schemas.openxmlformats.org/officeDocument/2006/relationships/hyperlink" Target="https://www.facebook.com/ads/library/?id=2134669890811524" TargetMode="External"/><Relationship Id="rId408" Type="http://schemas.openxmlformats.org/officeDocument/2006/relationships/hyperlink" Target="https://galeraindica.com.br/ritmado/" TargetMode="External"/><Relationship Id="rId409" Type="http://schemas.openxmlformats.org/officeDocument/2006/relationships/hyperlink" Target="https://www.facebook.com/ads/library/?id=946078141114729" TargetMode="External"/><Relationship Id="rId410" Type="http://schemas.openxmlformats.org/officeDocument/2006/relationships/hyperlink" Target="https://galeraindica.com.br/ritmado/" TargetMode="External"/><Relationship Id="rId411" Type="http://schemas.openxmlformats.org/officeDocument/2006/relationships/hyperlink" Target="https://www.facebook.com/ads/library/?id=1813036713377048" TargetMode="External"/><Relationship Id="rId412" Type="http://schemas.openxmlformats.org/officeDocument/2006/relationships/hyperlink" Target="https://educacaofisicaead.com.br/" TargetMode="External"/><Relationship Id="rId413" Type="http://schemas.openxmlformats.org/officeDocument/2006/relationships/hyperlink" Target="https://www.facebook.com/ads/library/?id=2135283720721013" TargetMode="External"/><Relationship Id="rId414" Type="http://schemas.openxmlformats.org/officeDocument/2006/relationships/hyperlink" Target="https://hotm.io/anatomiaeb" TargetMode="External"/><Relationship Id="rId415" Type="http://schemas.openxmlformats.org/officeDocument/2006/relationships/hyperlink" Target="https://www.facebook.com/ads/library/?id=1031136126408293" TargetMode="External"/><Relationship Id="rId416" Type="http://schemas.openxmlformats.org/officeDocument/2006/relationships/hyperlink" Target="https://galeraindica.com.br/ritmado/" TargetMode="External"/><Relationship Id="rId417" Type="http://schemas.openxmlformats.org/officeDocument/2006/relationships/hyperlink" Target="https://www.facebook.com/ads/library/?id=2035563353753516" TargetMode="External"/><Relationship Id="rId418" Type="http://schemas.openxmlformats.org/officeDocument/2006/relationships/hyperlink" Target="https://educacaofisicaead.com.br/muscinfantil/" TargetMode="External"/><Relationship Id="rId419" Type="http://schemas.openxmlformats.org/officeDocument/2006/relationships/hyperlink" Target="https://www.facebook.com/ads/library/?id=2400250904130321" TargetMode="External"/><Relationship Id="rId420" Type="http://schemas.openxmlformats.org/officeDocument/2006/relationships/hyperlink" Target="https://galeraindica.com.br/socorros/" TargetMode="External"/><Relationship Id="rId421" Type="http://schemas.openxmlformats.org/officeDocument/2006/relationships/hyperlink" Target="https://www.facebook.com/ads/library/?id=814695511726349" TargetMode="External"/><Relationship Id="rId422" Type="http://schemas.openxmlformats.org/officeDocument/2006/relationships/hyperlink" Target="https://pay.kiwify.com.br/rmf2D2e" TargetMode="External"/><Relationship Id="rId423" Type="http://schemas.openxmlformats.org/officeDocument/2006/relationships/hyperlink" Target="https://www.facebook.com/ads/library/?id=1587048799886975" TargetMode="External"/><Relationship Id="rId424" Type="http://schemas.openxmlformats.org/officeDocument/2006/relationships/hyperlink" Target="https://galeraindica.com.br/socorros/" TargetMode="External"/><Relationship Id="rId425" Type="http://schemas.openxmlformats.org/officeDocument/2006/relationships/hyperlink" Target="https://www.facebook.com/ads/library/?id=2592272044568356" TargetMode="External"/><Relationship Id="rId426" Type="http://schemas.openxmlformats.org/officeDocument/2006/relationships/hyperlink" Target="https://galeraindica.com.br/socorros/" TargetMode="External"/><Relationship Id="rId427" Type="http://schemas.openxmlformats.org/officeDocument/2006/relationships/hyperlink" Target="https://www.facebook.com/ads/library/?id=1385405769841427" TargetMode="External"/><Relationship Id="rId428" Type="http://schemas.openxmlformats.org/officeDocument/2006/relationships/hyperlink" Target="https://educacaofisicaead.com.br/pilatess/" TargetMode="External"/><Relationship Id="rId429" Type="http://schemas.openxmlformats.org/officeDocument/2006/relationships/hyperlink" Target="https://www.facebook.com/ads/library/?id=1068101109260669" TargetMode="External"/><Relationship Id="rId430" Type="http://schemas.openxmlformats.org/officeDocument/2006/relationships/hyperlink" Target="https://educacaofisicaead.com.br/pilatess/" TargetMode="External"/><Relationship Id="rId431" Type="http://schemas.openxmlformats.org/officeDocument/2006/relationships/hyperlink" Target="https://www.facebook.com/ads/library/?id=29365891546333495" TargetMode="External"/><Relationship Id="rId432" Type="http://schemas.openxmlformats.org/officeDocument/2006/relationships/hyperlink" Target="https://educacaofisicaead.com.br/pilatess/" TargetMode="External"/><Relationship Id="rId433" Type="http://schemas.openxmlformats.org/officeDocument/2006/relationships/hyperlink" Target="https://www.facebook.com/ads/library/?id=4679288429005814" TargetMode="External"/><Relationship Id="rId434" Type="http://schemas.openxmlformats.org/officeDocument/2006/relationships/hyperlink" Target="https://educacaofisicaead.com.br/pilatess/" TargetMode="External"/><Relationship Id="rId435" Type="http://schemas.openxmlformats.org/officeDocument/2006/relationships/hyperlink" Target="https://www.facebook.com/ads/library/?id=1097287692774625" TargetMode="External"/><Relationship Id="rId436" Type="http://schemas.openxmlformats.org/officeDocument/2006/relationships/hyperlink" Target="https://educacaofisicaead.com.br/pilatess/" TargetMode="External"/><Relationship Id="rId437" Type="http://schemas.openxmlformats.org/officeDocument/2006/relationships/hyperlink" Target="https://www.facebook.com/ads/library/?id=1434466295280267" TargetMode="External"/><Relationship Id="rId438" Type="http://schemas.openxmlformats.org/officeDocument/2006/relationships/hyperlink" Target="https://educacaofisicaead.com.br/pilatess/" TargetMode="External"/><Relationship Id="rId439" Type="http://schemas.openxmlformats.org/officeDocument/2006/relationships/hyperlink" Target="https://www.facebook.com/ads/library/?id=1159793080331489" TargetMode="External"/><Relationship Id="rId440" Type="http://schemas.openxmlformats.org/officeDocument/2006/relationships/hyperlink" Target="https://pay.hotmart.com/B104642923S?checkoutMode=10" TargetMode="External"/><Relationship Id="rId441" Type="http://schemas.openxmlformats.org/officeDocument/2006/relationships/hyperlink" Target="https://www.facebook.com/ads/library/?id=1016679854719049" TargetMode="External"/><Relationship Id="rId442" Type="http://schemas.openxmlformats.org/officeDocument/2006/relationships/hyperlink" Target="https://pay.hotmart.com/B104642923S?checkoutMode=10" TargetMode="External"/><Relationship Id="rId443" Type="http://schemas.openxmlformats.org/officeDocument/2006/relationships/hyperlink" Target="https://www.facebook.com/ads/library/?id=1811529193182550" TargetMode="External"/><Relationship Id="rId444" Type="http://schemas.openxmlformats.org/officeDocument/2006/relationships/hyperlink" Target="https://galeraindica.com.br/enciclopedia/" TargetMode="External"/><Relationship Id="rId445" Type="http://schemas.openxmlformats.org/officeDocument/2006/relationships/hyperlink" Target="https://www.facebook.com/ads/library/?id=1403380018432566" TargetMode="External"/><Relationship Id="rId446" Type="http://schemas.openxmlformats.org/officeDocument/2006/relationships/hyperlink" Target="https://galeraindica.com.br/enciclopedia/" TargetMode="External"/><Relationship Id="rId447" Type="http://schemas.openxmlformats.org/officeDocument/2006/relationships/hyperlink" Target="https://www.facebook.com/ads/library/?id=1073193408755047" TargetMode="External"/><Relationship Id="rId448" Type="http://schemas.openxmlformats.org/officeDocument/2006/relationships/hyperlink" Target="https://galeraindica.com.br/enciclopedia/" TargetMode="External"/><Relationship Id="rId449" Type="http://schemas.openxmlformats.org/officeDocument/2006/relationships/hyperlink" Target="https://www.facebook.com/ads/library/?id=1088815793866272" TargetMode="External"/><Relationship Id="rId450" Type="http://schemas.openxmlformats.org/officeDocument/2006/relationships/hyperlink" Target="https://galeraindica.com.br/enciclopedia/" TargetMode="External"/><Relationship Id="rId451" Type="http://schemas.openxmlformats.org/officeDocument/2006/relationships/hyperlink" Target="https://www.facebook.com/ads/library/?id=2835068496870812" TargetMode="External"/><Relationship Id="rId452" Type="http://schemas.openxmlformats.org/officeDocument/2006/relationships/hyperlink" Target="https://educacaofisicaead.com.br/pro" TargetMode="External"/><Relationship Id="rId453" Type="http://schemas.openxmlformats.org/officeDocument/2006/relationships/hyperlink" Target="https://www.facebook.com/ads/library/?id=3007321269615624" TargetMode="External"/><Relationship Id="rId454" Type="http://schemas.openxmlformats.org/officeDocument/2006/relationships/hyperlink" Target="https://educacaofisicaead.com.br/pro" TargetMode="External"/><Relationship Id="rId455" Type="http://schemas.openxmlformats.org/officeDocument/2006/relationships/hyperlink" Target="https://www.facebook.com/ads/library/?id=1963787380978497" TargetMode="External"/><Relationship Id="rId456" Type="http://schemas.openxmlformats.org/officeDocument/2006/relationships/hyperlink" Target="https://educacaofisicaead.com.br/" TargetMode="External"/><Relationship Id="rId457" Type="http://schemas.openxmlformats.org/officeDocument/2006/relationships/hyperlink" Target="https://www.facebook.com/ads/library/?id=1124890456878634" TargetMode="External"/><Relationship Id="rId458" Type="http://schemas.openxmlformats.org/officeDocument/2006/relationships/hyperlink" Target="https://educacaofisicaead.com.br/" TargetMode="External"/><Relationship Id="rId459" Type="http://schemas.openxmlformats.org/officeDocument/2006/relationships/hyperlink" Target="https://www.facebook.com/ads/library/?id=1060059023314947" TargetMode="External"/><Relationship Id="rId460" Type="http://schemas.openxmlformats.org/officeDocument/2006/relationships/hyperlink" Target="https://kit-300aulas-edfisica.netlify.app/" TargetMode="External"/><Relationship Id="rId461" Type="http://schemas.openxmlformats.org/officeDocument/2006/relationships/hyperlink" Target="https://www.facebook.com/ads/library/?id=915872621281914" TargetMode="External"/><Relationship Id="rId462" Type="http://schemas.openxmlformats.org/officeDocument/2006/relationships/hyperlink" Target="https://kit-300aulas-edfisica.netlify.app/" TargetMode="External"/><Relationship Id="rId463" Type="http://schemas.openxmlformats.org/officeDocument/2006/relationships/hyperlink" Target="https://www.facebook.com/ads/library/?id=2247722406071693" TargetMode="External"/><Relationship Id="rId464" Type="http://schemas.openxmlformats.org/officeDocument/2006/relationships/hyperlink" Target="https://kit-300aulas-edfisica.netlify.app/" TargetMode="External"/><Relationship Id="rId465" Type="http://schemas.openxmlformats.org/officeDocument/2006/relationships/hyperlink" Target="https://www.facebook.com/ads/library/?id=4557352947875093" TargetMode="External"/><Relationship Id="rId466" Type="http://schemas.openxmlformats.org/officeDocument/2006/relationships/hyperlink" Target="https://kit-300aulas-edfisica.netlify.app/" TargetMode="External"/><Relationship Id="rId467" Type="http://schemas.openxmlformats.org/officeDocument/2006/relationships/hyperlink" Target="https://www.facebook.com/ads/library/?id=1467199972175736" TargetMode="External"/><Relationship Id="rId468" Type="http://schemas.openxmlformats.org/officeDocument/2006/relationships/hyperlink" Target="https://kit-300aulas-edfisica.netlify.app/" TargetMode="External"/><Relationship Id="rId469" Type="http://schemas.openxmlformats.org/officeDocument/2006/relationships/hyperlink" Target="https://www.facebook.com/ads/library/?id=1066331689345026" TargetMode="External"/><Relationship Id="rId470" Type="http://schemas.openxmlformats.org/officeDocument/2006/relationships/hyperlink" Target="https://kit-300aulas-edfisica.netlify.app/" TargetMode="External"/><Relationship Id="rId471" Type="http://schemas.openxmlformats.org/officeDocument/2006/relationships/hyperlink" Target="https://www.facebook.com/ads/library/?id=1298304015656765" TargetMode="External"/><Relationship Id="rId472" Type="http://schemas.openxmlformats.org/officeDocument/2006/relationships/hyperlink" Target="https://kit-300aulas-edfisica.netlify.app/" TargetMode="External"/><Relationship Id="rId473" Type="http://schemas.openxmlformats.org/officeDocument/2006/relationships/hyperlink" Target="https://www.facebook.com/ads/library/?id=1345827377630718" TargetMode="External"/><Relationship Id="rId474" Type="http://schemas.openxmlformats.org/officeDocument/2006/relationships/hyperlink" Target="https://kit-300aulas-edfisica.netlify.app/" TargetMode="External"/><Relationship Id="rId475" Type="http://schemas.openxmlformats.org/officeDocument/2006/relationships/hyperlink" Target="https://www.facebook.com/ads/library/?id=1419406053474544" TargetMode="External"/><Relationship Id="rId476" Type="http://schemas.openxmlformats.org/officeDocument/2006/relationships/hyperlink" Target="https://kit-300aulas-edfisica.netlify.app/" TargetMode="External"/><Relationship Id="rId477" Type="http://schemas.openxmlformats.org/officeDocument/2006/relationships/hyperlink" Target="https://www.facebook.com/ads/library/?id=2025255935031779" TargetMode="External"/><Relationship Id="rId478" Type="http://schemas.openxmlformats.org/officeDocument/2006/relationships/hyperlink" Target="https://thelittlegenius.com.br/" TargetMode="External"/><Relationship Id="rId479" Type="http://schemas.openxmlformats.org/officeDocument/2006/relationships/hyperlink" Target="https://www.facebook.com/ads/library/?id=1735829844222585" TargetMode="External"/><Relationship Id="rId480" Type="http://schemas.openxmlformats.org/officeDocument/2006/relationships/hyperlink" Target="https://thelittlegenius.com.br/" TargetMode="External"/><Relationship Id="rId481" Type="http://schemas.openxmlformats.org/officeDocument/2006/relationships/hyperlink" Target="https://www.facebook.com/ads/library/?id=1348109433933147" TargetMode="External"/><Relationship Id="rId482" Type="http://schemas.openxmlformats.org/officeDocument/2006/relationships/hyperlink" Target="https://thelittlegenius.com.br/" TargetMode="External"/><Relationship Id="rId483" Type="http://schemas.openxmlformats.org/officeDocument/2006/relationships/hyperlink" Target="https://www.facebook.com/ads/library/?id=2644336842630514" TargetMode="External"/><Relationship Id="rId484" Type="http://schemas.openxmlformats.org/officeDocument/2006/relationships/hyperlink" Target="https://thelittlegenius.com.br/" TargetMode="External"/><Relationship Id="rId485" Type="http://schemas.openxmlformats.org/officeDocument/2006/relationships/hyperlink" Target="https://www.facebook.com/ads/library/?id=1043201058368295" TargetMode="External"/><Relationship Id="rId486" Type="http://schemas.openxmlformats.org/officeDocument/2006/relationships/hyperlink" Target="https://thelittlegenius.com.br/" TargetMode="External"/><Relationship Id="rId487" Type="http://schemas.openxmlformats.org/officeDocument/2006/relationships/hyperlink" Target="https://www.facebook.com/ads/library/?id=852492027680339" TargetMode="External"/><Relationship Id="rId488" Type="http://schemas.openxmlformats.org/officeDocument/2006/relationships/hyperlink" Target="https://thelittlegenius.com.br/" TargetMode="External"/><Relationship Id="rId489" Type="http://schemas.openxmlformats.org/officeDocument/2006/relationships/hyperlink" Target="https://www.facebook.com/ads/library/?id=4304324319855564" TargetMode="External"/><Relationship Id="rId490" Type="http://schemas.openxmlformats.org/officeDocument/2006/relationships/hyperlink" Target="https://thelittlegenius.com.br/" TargetMode="External"/><Relationship Id="rId491" Type="http://schemas.openxmlformats.org/officeDocument/2006/relationships/hyperlink" Target="https://www.facebook.com/ads/library/?id=1658859082520691" TargetMode="External"/><Relationship Id="rId492" Type="http://schemas.openxmlformats.org/officeDocument/2006/relationships/hyperlink" Target="https://thelittlegenius.com.br/" TargetMode="External"/><Relationship Id="rId493" Type="http://schemas.openxmlformats.org/officeDocument/2006/relationships/hyperlink" Target="https://www.facebook.com/ads/library/?id=1701597780930335" TargetMode="External"/><Relationship Id="rId494" Type="http://schemas.openxmlformats.org/officeDocument/2006/relationships/hyperlink" Target="https://thelittlegenius.com.br/" TargetMode="External"/><Relationship Id="rId495" Type="http://schemas.openxmlformats.org/officeDocument/2006/relationships/hyperlink" Target="https://www.facebook.com/ads/library/?id=1380586690458589" TargetMode="External"/><Relationship Id="rId496" Type="http://schemas.openxmlformats.org/officeDocument/2006/relationships/hyperlink" Target="https://thelittlegenius.com.br/" TargetMode="External"/><Relationship Id="rId497" Type="http://schemas.openxmlformats.org/officeDocument/2006/relationships/hyperlink" Target="https://www.facebook.com/ads/library/?id=1047999034867392" TargetMode="External"/><Relationship Id="rId498" Type="http://schemas.openxmlformats.org/officeDocument/2006/relationships/hyperlink" Target="https://thelittlegenius.com.br/" TargetMode="External"/><Relationship Id="rId499" Type="http://schemas.openxmlformats.org/officeDocument/2006/relationships/hyperlink" Target="https://www.facebook.com/ads/library/?id=2333793727391584" TargetMode="External"/><Relationship Id="rId500" Type="http://schemas.openxmlformats.org/officeDocument/2006/relationships/hyperlink" Target="https://thelittlegenius.com.br/" TargetMode="External"/><Relationship Id="rId501" Type="http://schemas.openxmlformats.org/officeDocument/2006/relationships/hyperlink" Target="https://www.facebook.com/ads/library/?id=1089195006891875" TargetMode="External"/><Relationship Id="rId502" Type="http://schemas.openxmlformats.org/officeDocument/2006/relationships/hyperlink" Target="https://thelittlegenius.com.br/" TargetMode="External"/><Relationship Id="rId503" Type="http://schemas.openxmlformats.org/officeDocument/2006/relationships/hyperlink" Target="https://www.facebook.com/ads/library/?id=1111660924670336" TargetMode="External"/><Relationship Id="rId504" Type="http://schemas.openxmlformats.org/officeDocument/2006/relationships/hyperlink" Target="https://thelittlegenius.com.br/" TargetMode="External"/><Relationship Id="rId505" Type="http://schemas.openxmlformats.org/officeDocument/2006/relationships/hyperlink" Target="https://www.facebook.com/ads/library/?id=1395396312120161" TargetMode="External"/><Relationship Id="rId506" Type="http://schemas.openxmlformats.org/officeDocument/2006/relationships/hyperlink" Target="https://thelittlegenius.com.br/" TargetMode="External"/><Relationship Id="rId507" Type="http://schemas.openxmlformats.org/officeDocument/2006/relationships/hyperlink" Target="https://www.facebook.com/ads/library/?id=1399601572385113" TargetMode="External"/><Relationship Id="rId508" Type="http://schemas.openxmlformats.org/officeDocument/2006/relationships/hyperlink" Target="https://thelittlegenius.com.br/" TargetMode="External"/><Relationship Id="rId509" Type="http://schemas.openxmlformats.org/officeDocument/2006/relationships/hyperlink" Target="https://www.facebook.com/ads/library/?id=2551089338636408" TargetMode="External"/><Relationship Id="rId510" Type="http://schemas.openxmlformats.org/officeDocument/2006/relationships/hyperlink" Target="https://thelittlegenius.com.br/" TargetMode="External"/><Relationship Id="rId511" Type="http://schemas.openxmlformats.org/officeDocument/2006/relationships/hyperlink" Target="https://www.facebook.com/ads/library/?id=1376594104221262" TargetMode="External"/><Relationship Id="rId512" Type="http://schemas.openxmlformats.org/officeDocument/2006/relationships/hyperlink" Target="https://thelittlegenius.com.br/" TargetMode="External"/><Relationship Id="rId513" Type="http://schemas.openxmlformats.org/officeDocument/2006/relationships/hyperlink" Target="https://www.facebook.com/ads/library/?id=1624268722548766" TargetMode="External"/><Relationship Id="rId514" Type="http://schemas.openxmlformats.org/officeDocument/2006/relationships/hyperlink" Target="https://thelittlegenius.com.br/" TargetMode="External"/><Relationship Id="rId515" Type="http://schemas.openxmlformats.org/officeDocument/2006/relationships/hyperlink" Target="https://www.facebook.com/ads/library/?id=2156195225321621" TargetMode="External"/><Relationship Id="rId516" Type="http://schemas.openxmlformats.org/officeDocument/2006/relationships/hyperlink" Target="https://thelittlegenius.com.br/" TargetMode="External"/><Relationship Id="rId517" Type="http://schemas.openxmlformats.org/officeDocument/2006/relationships/hyperlink" Target="https://www.facebook.com/ads/library/?id=1448595860465829" TargetMode="External"/><Relationship Id="rId518" Type="http://schemas.openxmlformats.org/officeDocument/2006/relationships/hyperlink" Target="https://thelittlegenius.com.br/" TargetMode="External"/><Relationship Id="rId519" Type="http://schemas.openxmlformats.org/officeDocument/2006/relationships/hyperlink" Target="https://www.facebook.com/ads/library/?id=1541446788013143" TargetMode="External"/><Relationship Id="rId520" Type="http://schemas.openxmlformats.org/officeDocument/2006/relationships/hyperlink" Target="https://thelittlegenius.com.br/" TargetMode="External"/><Relationship Id="rId521" Type="http://schemas.openxmlformats.org/officeDocument/2006/relationships/hyperlink" Target="https://www.facebook.com/ads/library/?id=1608897474276201" TargetMode="External"/><Relationship Id="rId522" Type="http://schemas.openxmlformats.org/officeDocument/2006/relationships/hyperlink" Target="https://thelittlegenius.com.br/" TargetMode="External"/><Relationship Id="rId523" Type="http://schemas.openxmlformats.org/officeDocument/2006/relationships/hyperlink" Target="https://www.facebook.com/ads/library/?id=1642697424247305" TargetMode="External"/><Relationship Id="rId524" Type="http://schemas.openxmlformats.org/officeDocument/2006/relationships/hyperlink" Target="https://thelittlegenius.com.br/" TargetMode="External"/><Relationship Id="rId525" Type="http://schemas.openxmlformats.org/officeDocument/2006/relationships/hyperlink" Target="https://www.facebook.com/ads/library/?id=1105081868831679" TargetMode="External"/><Relationship Id="rId526" Type="http://schemas.openxmlformats.org/officeDocument/2006/relationships/hyperlink" Target="https://matematica.licaokids.com.br/" TargetMode="External"/><Relationship Id="rId527" Type="http://schemas.openxmlformats.org/officeDocument/2006/relationships/hyperlink" Target="https://www.facebook.com/ads/library/?id=2233972550725110" TargetMode="External"/><Relationship Id="rId528" Type="http://schemas.openxmlformats.org/officeDocument/2006/relationships/hyperlink" Target="https://matematica.licaokids.com.br/" TargetMode="External"/><Relationship Id="rId529" Type="http://schemas.openxmlformats.org/officeDocument/2006/relationships/hyperlink" Target="https://www.facebook.com/ads/library/?id=1533893294727281" TargetMode="External"/><Relationship Id="rId530" Type="http://schemas.openxmlformats.org/officeDocument/2006/relationships/hyperlink" Target="https://matematica.licaokids.com.br/" TargetMode="External"/><Relationship Id="rId531" Type="http://schemas.openxmlformats.org/officeDocument/2006/relationships/hyperlink" Target="https://www.facebook.com/ads/library/?id=2022391121749595" TargetMode="External"/><Relationship Id="rId532" Type="http://schemas.openxmlformats.org/officeDocument/2006/relationships/hyperlink" Target="https://matematica.licaokids.com.br/" TargetMode="External"/><Relationship Id="rId533" Type="http://schemas.openxmlformats.org/officeDocument/2006/relationships/hyperlink" Target="https://www.facebook.com/ads/library/?id=990066954104796" TargetMode="External"/><Relationship Id="rId534" Type="http://schemas.openxmlformats.org/officeDocument/2006/relationships/hyperlink" Target="https://matematica.licaokids.com.br/" TargetMode="External"/><Relationship Id="rId535" Type="http://schemas.openxmlformats.org/officeDocument/2006/relationships/hyperlink" Target="https://www.facebook.com/ads/library/?id=1075398588326594" TargetMode="External"/><Relationship Id="rId536" Type="http://schemas.openxmlformats.org/officeDocument/2006/relationships/hyperlink" Target="https://matematica.licaokids.com.br/" TargetMode="External"/><Relationship Id="rId537" Type="http://schemas.openxmlformats.org/officeDocument/2006/relationships/hyperlink" Target="https://www.facebook.com/ads/library/?id=1628595825581609" TargetMode="External"/><Relationship Id="rId538" Type="http://schemas.openxmlformats.org/officeDocument/2006/relationships/hyperlink" Target="https://caligrafiaparatodos.com/" TargetMode="External"/><Relationship Id="rId539" Type="http://schemas.openxmlformats.org/officeDocument/2006/relationships/hyperlink" Target="https://www.facebook.com/ads/library/?id=1103058122256182" TargetMode="External"/><Relationship Id="rId540" Type="http://schemas.openxmlformats.org/officeDocument/2006/relationships/hyperlink" Target="https://centralcademi.com.br/kids-maternal-v3/" TargetMode="External"/><Relationship Id="rId541" Type="http://schemas.openxmlformats.org/officeDocument/2006/relationships/hyperlink" Target="https://www.facebook.com/ads/library/?id=1056721563932659" TargetMode="External"/><Relationship Id="rId542" Type="http://schemas.openxmlformats.org/officeDocument/2006/relationships/hyperlink" Target="https://classes.licaokids.com.br/" TargetMode="External"/><Relationship Id="rId543" Type="http://schemas.openxmlformats.org/officeDocument/2006/relationships/hyperlink" Target="https://www.facebook.com/ads/library/?id=1979831222706765" TargetMode="External"/><Relationship Id="rId544" Type="http://schemas.openxmlformats.org/officeDocument/2006/relationships/hyperlink" Target="https://classes.licaokids.com.br/" TargetMode="External"/><Relationship Id="rId545" Type="http://schemas.openxmlformats.org/officeDocument/2006/relationships/hyperlink" Target="https://www.facebook.com/ads/library/?id=1394934682042444" TargetMode="External"/><Relationship Id="rId546" Type="http://schemas.openxmlformats.org/officeDocument/2006/relationships/hyperlink" Target="https://classes.licaokids.com.br/" TargetMode="External"/><Relationship Id="rId547" Type="http://schemas.openxmlformats.org/officeDocument/2006/relationships/hyperlink" Target="https://www.facebook.com/ads/library/?id=3205419226323729" TargetMode="External"/><Relationship Id="rId548" Type="http://schemas.openxmlformats.org/officeDocument/2006/relationships/hyperlink" Target="https://classes.licaokids.com.br/" TargetMode="External"/><Relationship Id="rId549" Type="http://schemas.openxmlformats.org/officeDocument/2006/relationships/hyperlink" Target="https://www.facebook.com/ads/library/?id=1668099944881478" TargetMode="External"/><Relationship Id="rId550" Type="http://schemas.openxmlformats.org/officeDocument/2006/relationships/hyperlink" Target="https://classes.licaokids.com.br/" TargetMode="External"/><Relationship Id="rId551" Type="http://schemas.openxmlformats.org/officeDocument/2006/relationships/hyperlink" Target="https://www.facebook.com/ads/library/?id=1725125431880390" TargetMode="External"/><Relationship Id="rId552" Type="http://schemas.openxmlformats.org/officeDocument/2006/relationships/hyperlink" Target="https://matematica.licaokids.com.br/" TargetMode="External"/><Relationship Id="rId553" Type="http://schemas.openxmlformats.org/officeDocument/2006/relationships/hyperlink" Target="https://www.facebook.com/ads/library/?id=1759084228743014" TargetMode="External"/><Relationship Id="rId554" Type="http://schemas.openxmlformats.org/officeDocument/2006/relationships/hyperlink" Target="https://alfacademi.com.br/colorindo-as-silabas-pv1" TargetMode="External"/><Relationship Id="rId555" Type="http://schemas.openxmlformats.org/officeDocument/2006/relationships/hyperlink" Target="https://www.facebook.com/ads/library/?id=1100418502496651" TargetMode="External"/><Relationship Id="rId556" Type="http://schemas.openxmlformats.org/officeDocument/2006/relationships/hyperlink" Target="https://matematica.licaokids.com.br/" TargetMode="External"/><Relationship Id="rId557" Type="http://schemas.openxmlformats.org/officeDocument/2006/relationships/hyperlink" Target="https://www.facebook.com/ads/library/?id=2160262595367583" TargetMode="External"/><Relationship Id="rId558" Type="http://schemas.openxmlformats.org/officeDocument/2006/relationships/hyperlink" Target="https://alfacademi.com.br/colorindo-as-silabas-pv1" TargetMode="External"/><Relationship Id="rId559" Type="http://schemas.openxmlformats.org/officeDocument/2006/relationships/hyperlink" Target="https://www.facebook.com/ads/library/?id=29027952710145031" TargetMode="External"/><Relationship Id="rId560" Type="http://schemas.openxmlformats.org/officeDocument/2006/relationships/hyperlink" Target="https://matematica4operacoes.pages.dev/" TargetMode="External"/><Relationship Id="rId561" Type="http://schemas.openxmlformats.org/officeDocument/2006/relationships/hyperlink" Target="https://www.facebook.com/ads/library/?id=2358809898190871" TargetMode="External"/><Relationship Id="rId562" Type="http://schemas.openxmlformats.org/officeDocument/2006/relationships/hyperlink" Target="https://matematica4operacoes.pages.dev/" TargetMode="External"/><Relationship Id="rId563" Type="http://schemas.openxmlformats.org/officeDocument/2006/relationships/hyperlink" Target="https://www.facebook.com/ads/library/?id=4477216049201855" TargetMode="External"/><Relationship Id="rId564" Type="http://schemas.openxmlformats.org/officeDocument/2006/relationships/hyperlink" Target="https://mundocriativobr.shop/" TargetMode="External"/><Relationship Id="rId565" Type="http://schemas.openxmlformats.org/officeDocument/2006/relationships/hyperlink" Target="https://www.facebook.com/ads/library/?id=1060604829675451" TargetMode="External"/><Relationship Id="rId566" Type="http://schemas.openxmlformats.org/officeDocument/2006/relationships/hyperlink" Target="https://mundocriativobr.shop/" TargetMode="External"/><Relationship Id="rId567" Type="http://schemas.openxmlformats.org/officeDocument/2006/relationships/hyperlink" Target="https://www.facebook.com/ads/library/?id=3122620734603934" TargetMode="External"/><Relationship Id="rId568" Type="http://schemas.openxmlformats.org/officeDocument/2006/relationships/hyperlink" Target="https://mundocriativobr.shop/" TargetMode="External"/><Relationship Id="rId569" Type="http://schemas.openxmlformats.org/officeDocument/2006/relationships/hyperlink" Target="https://www.facebook.com/ads/library/?id=1792209175299894" TargetMode="External"/><Relationship Id="rId570" Type="http://schemas.openxmlformats.org/officeDocument/2006/relationships/hyperlink" Target="https://mundocriativobr.shop/" TargetMode="External"/><Relationship Id="rId571" Type="http://schemas.openxmlformats.org/officeDocument/2006/relationships/hyperlink" Target="https://www.facebook.com/ads/library/?id=1808317510482942" TargetMode="External"/><Relationship Id="rId572" Type="http://schemas.openxmlformats.org/officeDocument/2006/relationships/hyperlink" Target="https://mundocriativobr.shop/" TargetMode="External"/><Relationship Id="rId573" Type="http://schemas.openxmlformats.org/officeDocument/2006/relationships/hyperlink" Target="https://www.facebook.com/ads/library/?id=2178175036460866" TargetMode="External"/><Relationship Id="rId574" Type="http://schemas.openxmlformats.org/officeDocument/2006/relationships/hyperlink" Target="https://mundocriativobr.shop/" TargetMode="External"/><Relationship Id="rId575" Type="http://schemas.openxmlformats.org/officeDocument/2006/relationships/hyperlink" Target="https://www.facebook.com/ads/library/?id=2287840888719810" TargetMode="External"/><Relationship Id="rId576" Type="http://schemas.openxmlformats.org/officeDocument/2006/relationships/hyperlink" Target="https://mundocriativobr.shop/" TargetMode="External"/><Relationship Id="rId577" Type="http://schemas.openxmlformats.org/officeDocument/2006/relationships/hyperlink" Target="https://www.facebook.com/ads/library/?id=1084853487728784" TargetMode="External"/><Relationship Id="rId578" Type="http://schemas.openxmlformats.org/officeDocument/2006/relationships/hyperlink" Target="https://mundocriativobr.shop/" TargetMode="External"/><Relationship Id="rId579" Type="http://schemas.openxmlformats.org/officeDocument/2006/relationships/hyperlink" Target="https://www.facebook.com/ads/library/?id=1071170982290858" TargetMode="External"/><Relationship Id="rId580" Type="http://schemas.openxmlformats.org/officeDocument/2006/relationships/hyperlink" Target="https://mundocriativobr.shop/" TargetMode="External"/><Relationship Id="rId581" Type="http://schemas.openxmlformats.org/officeDocument/2006/relationships/hyperlink" Target="https://www.facebook.com/ads/library/?id=2083189712306011" TargetMode="External"/><Relationship Id="rId582" Type="http://schemas.openxmlformats.org/officeDocument/2006/relationships/hyperlink" Target="https://mundocriativobr.shop/" TargetMode="External"/><Relationship Id="rId583" Type="http://schemas.openxmlformats.org/officeDocument/2006/relationships/hyperlink" Target="https://www.facebook.com/ads/library/?id=993503046348507" TargetMode="External"/><Relationship Id="rId584" Type="http://schemas.openxmlformats.org/officeDocument/2006/relationships/hyperlink" Target="https://parabolaskids.com.br/" TargetMode="External"/><Relationship Id="rId585" Type="http://schemas.openxmlformats.org/officeDocument/2006/relationships/hyperlink" Target="https://www.facebook.com/ads/library/?id=926744897088194" TargetMode="External"/><Relationship Id="rId586" Type="http://schemas.openxmlformats.org/officeDocument/2006/relationships/hyperlink" Target="https://parabolaskids.com.br/" TargetMode="External"/><Relationship Id="rId587" Type="http://schemas.openxmlformats.org/officeDocument/2006/relationships/hyperlink" Target="https://www.facebook.com/ads/library/?id=1029751816677309" TargetMode="External"/><Relationship Id="rId588" Type="http://schemas.openxmlformats.org/officeDocument/2006/relationships/hyperlink" Target="https://parabolaskids.com.br/" TargetMode="External"/><Relationship Id="rId589" Type="http://schemas.openxmlformats.org/officeDocument/2006/relationships/hyperlink" Target="https://www.facebook.com/ads/library/?id=1391551836230702" TargetMode="External"/><Relationship Id="rId590" Type="http://schemas.openxmlformats.org/officeDocument/2006/relationships/hyperlink" Target="https://parabolaskids.com.br/" TargetMode="External"/><Relationship Id="rId591" Type="http://schemas.openxmlformats.org/officeDocument/2006/relationships/hyperlink" Target="https://www.facebook.com/ads/library/?id=1323965969718854" TargetMode="External"/><Relationship Id="rId592" Type="http://schemas.openxmlformats.org/officeDocument/2006/relationships/hyperlink" Target="https://parabolaskids.com.br/" TargetMode="External"/><Relationship Id="rId593" Type="http://schemas.openxmlformats.org/officeDocument/2006/relationships/hyperlink" Target="https://www.facebook.com/ads/library/?id=1566602144905791" TargetMode="External"/><Relationship Id="rId594" Type="http://schemas.openxmlformats.org/officeDocument/2006/relationships/hyperlink" Target="https://parabolaskids.com.br/" TargetMode="External"/><Relationship Id="rId595" Type="http://schemas.openxmlformats.org/officeDocument/2006/relationships/hyperlink" Target="https://www.facebook.com/ads/library/?id=945138988615057" TargetMode="External"/><Relationship Id="rId596" Type="http://schemas.openxmlformats.org/officeDocument/2006/relationships/hyperlink" Target="https://parabolaskids.com.br/" TargetMode="External"/><Relationship Id="rId597" Type="http://schemas.openxmlformats.org/officeDocument/2006/relationships/hyperlink" Target="https://www.facebook.com/ads/library/?id=1415877153753211" TargetMode="External"/><Relationship Id="rId598" Type="http://schemas.openxmlformats.org/officeDocument/2006/relationships/hyperlink" Target="https://parabolaskids.com.br/" TargetMode="External"/><Relationship Id="rId599" Type="http://schemas.openxmlformats.org/officeDocument/2006/relationships/hyperlink" Target="https://www.facebook.com/ads/library/?id=4435409740014644" TargetMode="External"/><Relationship Id="rId600" Type="http://schemas.openxmlformats.org/officeDocument/2006/relationships/hyperlink" Target="https://parabolaskids.com.br/" TargetMode="External"/><Relationship Id="rId601" Type="http://schemas.openxmlformats.org/officeDocument/2006/relationships/hyperlink" Target="https://www.facebook.com/ads/library/?id=1568591188391731" TargetMode="External"/><Relationship Id="rId602" Type="http://schemas.openxmlformats.org/officeDocument/2006/relationships/hyperlink" Target="https://parabolaskids.com.br/" TargetMode="External"/><Relationship Id="rId603" Type="http://schemas.openxmlformats.org/officeDocument/2006/relationships/hyperlink" Target="https://www.facebook.com/ads/library/?id=1450460973589958" TargetMode="External"/><Relationship Id="rId604" Type="http://schemas.openxmlformats.org/officeDocument/2006/relationships/hyperlink" Target="https://parabolaskids.com.br/" TargetMode="External"/><Relationship Id="rId605" Type="http://schemas.openxmlformats.org/officeDocument/2006/relationships/hyperlink" Target="https://www.facebook.com/ads/library/?id=1050552667832142" TargetMode="External"/><Relationship Id="rId606" Type="http://schemas.openxmlformats.org/officeDocument/2006/relationships/hyperlink" Target="https://pequenasestilistas.com/" TargetMode="External"/><Relationship Id="rId607" Type="http://schemas.openxmlformats.org/officeDocument/2006/relationships/hyperlink" Target="https://www.facebook.com/ads/library/?id=1736411300735328" TargetMode="External"/><Relationship Id="rId608" Type="http://schemas.openxmlformats.org/officeDocument/2006/relationships/hyperlink" Target="https://pequenasestilistas.com/" TargetMode="External"/><Relationship Id="rId609" Type="http://schemas.openxmlformats.org/officeDocument/2006/relationships/hyperlink" Target="https://www.facebook.com/ads/library/?id=1362235129448195" TargetMode="External"/><Relationship Id="rId610" Type="http://schemas.openxmlformats.org/officeDocument/2006/relationships/hyperlink" Target="https://pequenasestilistas.com/index-maos-br" TargetMode="External"/><Relationship Id="rId611" Type="http://schemas.openxmlformats.org/officeDocument/2006/relationships/hyperlink" Target="https://www.facebook.com/ads/library/?id=1581965126736414" TargetMode="External"/><Relationship Id="rId612" Type="http://schemas.openxmlformats.org/officeDocument/2006/relationships/hyperlink" Target="https://pequenasestilistas.com/index-maos-br" TargetMode="External"/><Relationship Id="rId613" Type="http://schemas.openxmlformats.org/officeDocument/2006/relationships/hyperlink" Target="https://www.facebook.com/ads/library/?id=921168463886633" TargetMode="External"/><Relationship Id="rId614" Type="http://schemas.openxmlformats.org/officeDocument/2006/relationships/hyperlink" Target="https://pequenasestilistas.com/index-maos-br" TargetMode="External"/><Relationship Id="rId615" Type="http://schemas.openxmlformats.org/officeDocument/2006/relationships/hyperlink" Target="https://www.facebook.com/ads/library/?id=4640904776235497" TargetMode="External"/><Relationship Id="rId616" Type="http://schemas.openxmlformats.org/officeDocument/2006/relationships/hyperlink" Target="https://pequenasestilistas.com/" TargetMode="External"/><Relationship Id="rId617" Type="http://schemas.openxmlformats.org/officeDocument/2006/relationships/hyperlink" Target="https://www.facebook.com/ads/library/?id=1342766964511975" TargetMode="External"/><Relationship Id="rId618" Type="http://schemas.openxmlformats.org/officeDocument/2006/relationships/hyperlink" Target="https://pequenasestilistas.com/" TargetMode="External"/><Relationship Id="rId619" Type="http://schemas.openxmlformats.org/officeDocument/2006/relationships/hyperlink" Target="https://www.facebook.com/ads/library/?id=37963240946652839" TargetMode="External"/><Relationship Id="rId620" Type="http://schemas.openxmlformats.org/officeDocument/2006/relationships/hyperlink" Target="https://pequenasestilistas.com/" TargetMode="External"/><Relationship Id="rId621" Type="http://schemas.openxmlformats.org/officeDocument/2006/relationships/hyperlink" Target="https://www.facebook.com/ads/library/?id=1604031241434630" TargetMode="External"/><Relationship Id="rId622" Type="http://schemas.openxmlformats.org/officeDocument/2006/relationships/hyperlink" Target="https://pequenasestilistas.com/" TargetMode="External"/><Relationship Id="rId623" Type="http://schemas.openxmlformats.org/officeDocument/2006/relationships/hyperlink" Target="https://www.facebook.com/ads/library/?id=892908466986466" TargetMode="External"/><Relationship Id="rId624" Type="http://schemas.openxmlformats.org/officeDocument/2006/relationships/hyperlink" Target="https://pequenasestilistas.com/" TargetMode="External"/><Relationship Id="rId625" Type="http://schemas.openxmlformats.org/officeDocument/2006/relationships/hyperlink" Target="https://www.facebook.com/ads/library/?id=1397198309052135" TargetMode="External"/><Relationship Id="rId626" Type="http://schemas.openxmlformats.org/officeDocument/2006/relationships/hyperlink" Target="https://pequenasestilistas.com/" TargetMode="External"/><Relationship Id="rId627" Type="http://schemas.openxmlformats.org/officeDocument/2006/relationships/hyperlink" Target="https://www.facebook.com/ads/library/?id=1724161925336247" TargetMode="External"/><Relationship Id="rId628" Type="http://schemas.openxmlformats.org/officeDocument/2006/relationships/hyperlink" Target="https://pequenasestilistas.com/" TargetMode="External"/><Relationship Id="rId629" Type="http://schemas.openxmlformats.org/officeDocument/2006/relationships/hyperlink" Target="https://www.facebook.com/ads/library/?id=1632979848198015" TargetMode="External"/><Relationship Id="rId630" Type="http://schemas.openxmlformats.org/officeDocument/2006/relationships/hyperlink" Target="https://pequenasestilistas.com/" TargetMode="External"/><Relationship Id="rId631" Type="http://schemas.openxmlformats.org/officeDocument/2006/relationships/hyperlink" Target="https://www.facebook.com/ads/library/?id=1047667598097146" TargetMode="External"/><Relationship Id="rId632" Type="http://schemas.openxmlformats.org/officeDocument/2006/relationships/hyperlink" Target="https://pequenasestilistas.com/index-maos-br" TargetMode="External"/><Relationship Id="rId633" Type="http://schemas.openxmlformats.org/officeDocument/2006/relationships/hyperlink" Target="https://www.facebook.com/ads/library/?id=1226637092640294" TargetMode="External"/><Relationship Id="rId634" Type="http://schemas.openxmlformats.org/officeDocument/2006/relationships/hyperlink" Target="https://teste.pipoeduca.com/" TargetMode="External"/><Relationship Id="rId635" Type="http://schemas.openxmlformats.org/officeDocument/2006/relationships/hyperlink" Target="https://www.facebook.com/ads/library/?id=3880037928972498" TargetMode="External"/><Relationship Id="rId636" Type="http://schemas.openxmlformats.org/officeDocument/2006/relationships/hyperlink" Target="https://teste.pipoeduca.com/" TargetMode="External"/><Relationship Id="rId637" Type="http://schemas.openxmlformats.org/officeDocument/2006/relationships/hyperlink" Target="https://www.facebook.com/ads/library/?id=980144194801012" TargetMode="External"/><Relationship Id="rId638" Type="http://schemas.openxmlformats.org/officeDocument/2006/relationships/hyperlink" Target="https://teste.pipoeduca.com/" TargetMode="External"/><Relationship Id="rId639" Type="http://schemas.openxmlformats.org/officeDocument/2006/relationships/hyperlink" Target="https://www.facebook.com/ads/library/?id=1800382221367867" TargetMode="External"/><Relationship Id="rId640" Type="http://schemas.openxmlformats.org/officeDocument/2006/relationships/hyperlink" Target="https://teste.pipoeduca.com/" TargetMode="External"/><Relationship Id="rId641" Type="http://schemas.openxmlformats.org/officeDocument/2006/relationships/hyperlink" Target="https://www.facebook.com/ads/library/?id=1303965508540220" TargetMode="External"/><Relationship Id="rId642" Type="http://schemas.openxmlformats.org/officeDocument/2006/relationships/hyperlink" Target="https://teste.pipoeduca.com/" TargetMode="External"/><Relationship Id="rId643" Type="http://schemas.openxmlformats.org/officeDocument/2006/relationships/hyperlink" Target="https://www.facebook.com/ads/library/?id=2790097774724127" TargetMode="External"/><Relationship Id="rId644" Type="http://schemas.openxmlformats.org/officeDocument/2006/relationships/hyperlink" Target="https://teste.pipoeduca.com/" TargetMode="External"/><Relationship Id="rId645" Type="http://schemas.openxmlformats.org/officeDocument/2006/relationships/hyperlink" Target="https://www.facebook.com/ads/library/?id=27271349705831050" TargetMode="External"/><Relationship Id="rId646" Type="http://schemas.openxmlformats.org/officeDocument/2006/relationships/hyperlink" Target="https://teste.pipoeduca.com/" TargetMode="External"/><Relationship Id="rId647" Type="http://schemas.openxmlformats.org/officeDocument/2006/relationships/hyperlink" Target="https://www.facebook.com/ads/library/?id=1508686114384930" TargetMode="External"/><Relationship Id="rId648" Type="http://schemas.openxmlformats.org/officeDocument/2006/relationships/hyperlink" Target="https://teste.pipoeduca.com/" TargetMode="External"/><Relationship Id="rId649" Type="http://schemas.openxmlformats.org/officeDocument/2006/relationships/hyperlink" Target="https://www.facebook.com/ads/library/?id=1593171002145241" TargetMode="External"/><Relationship Id="rId650" Type="http://schemas.openxmlformats.org/officeDocument/2006/relationships/hyperlink" Target="https://teste.pipoeduca.com/" TargetMode="External"/><Relationship Id="rId651" Type="http://schemas.openxmlformats.org/officeDocument/2006/relationships/hyperlink" Target="https://www.facebook.com/ads/library/?id=4689180371309385" TargetMode="External"/><Relationship Id="rId652" Type="http://schemas.openxmlformats.org/officeDocument/2006/relationships/hyperlink" Target="https://teste.pipoeduca.com/" TargetMode="External"/><Relationship Id="rId653" Type="http://schemas.openxmlformats.org/officeDocument/2006/relationships/hyperlink" Target="https://www.facebook.com/ads/library/?id=1178225121155634" TargetMode="External"/><Relationship Id="rId654" Type="http://schemas.openxmlformats.org/officeDocument/2006/relationships/hyperlink" Target="https://teste.pipoeduca.com/" TargetMode="External"/><Relationship Id="rId655" Type="http://schemas.openxmlformats.org/officeDocument/2006/relationships/hyperlink" Target="https://www.facebook.com/ads/library/?id=2062371994696934" TargetMode="External"/><Relationship Id="rId656" Type="http://schemas.openxmlformats.org/officeDocument/2006/relationships/hyperlink" Target="https://teste.pipoeduca.com/" TargetMode="External"/><Relationship Id="rId657" Type="http://schemas.openxmlformats.org/officeDocument/2006/relationships/hyperlink" Target="https://www.facebook.com/ads/library/?id=1617168942714141" TargetMode="External"/><Relationship Id="rId658" Type="http://schemas.openxmlformats.org/officeDocument/2006/relationships/hyperlink" Target="https://teste.pipoeduca.com/" TargetMode="External"/><Relationship Id="rId659" Type="http://schemas.openxmlformats.org/officeDocument/2006/relationships/hyperlink" Target="https://www.facebook.com/ads/library/?id=866400586529950" TargetMode="External"/><Relationship Id="rId660" Type="http://schemas.openxmlformats.org/officeDocument/2006/relationships/hyperlink" Target="https://teste.pipoeduca.com/" TargetMode="External"/><Relationship Id="rId661" Type="http://schemas.openxmlformats.org/officeDocument/2006/relationships/hyperlink" Target="https://www.facebook.com/ads/library/?id=1660902695020810" TargetMode="External"/><Relationship Id="rId662" Type="http://schemas.openxmlformats.org/officeDocument/2006/relationships/hyperlink" Target="https://teste.pipoeduca.com/" TargetMode="External"/><Relationship Id="rId663" Type="http://schemas.openxmlformats.org/officeDocument/2006/relationships/hyperlink" Target="https://www.facebook.com/ads/library/?id=2177894089811865" TargetMode="External"/><Relationship Id="rId664" Type="http://schemas.openxmlformats.org/officeDocument/2006/relationships/hyperlink" Target="https://teste.pipoeduca.com/" TargetMode="External"/><Relationship Id="rId665" Type="http://schemas.openxmlformats.org/officeDocument/2006/relationships/hyperlink" Target="https://www.facebook.com/ads/library/?id=1868769217416493" TargetMode="External"/><Relationship Id="rId666" Type="http://schemas.openxmlformats.org/officeDocument/2006/relationships/hyperlink" Target="https://teste.pipoeduca.com/" TargetMode="External"/><Relationship Id="rId667" Type="http://schemas.openxmlformats.org/officeDocument/2006/relationships/hyperlink" Target="https://www.facebook.com/ads/library/?id=1519782733276303" TargetMode="External"/><Relationship Id="rId668" Type="http://schemas.openxmlformats.org/officeDocument/2006/relationships/hyperlink" Target="https://teste.pipoeduca.com/" TargetMode="External"/><Relationship Id="rId669" Type="http://schemas.openxmlformats.org/officeDocument/2006/relationships/hyperlink" Target="https://www.facebook.com/ads/library/?id=1525649625927207" TargetMode="External"/><Relationship Id="rId670" Type="http://schemas.openxmlformats.org/officeDocument/2006/relationships/hyperlink" Target="https://teste.pipoeduca.com/" TargetMode="External"/><Relationship Id="rId671" Type="http://schemas.openxmlformats.org/officeDocument/2006/relationships/hyperlink" Target="https://www.facebook.com/ads/library/?id=1000010775978044" TargetMode="External"/><Relationship Id="rId672" Type="http://schemas.openxmlformats.org/officeDocument/2006/relationships/hyperlink" Target="https://teste.pipoeduca.com/" TargetMode="External"/><Relationship Id="rId673" Type="http://schemas.openxmlformats.org/officeDocument/2006/relationships/hyperlink" Target="https://www.facebook.com/ads/library/?id=1020198170911432" TargetMode="External"/><Relationship Id="rId674" Type="http://schemas.openxmlformats.org/officeDocument/2006/relationships/hyperlink" Target="https://teste.pipoeduca.com/" TargetMode="External"/><Relationship Id="rId675" Type="http://schemas.openxmlformats.org/officeDocument/2006/relationships/hyperlink" Target="https://www.facebook.com/ads/library/?id=1358023566300153" TargetMode="External"/><Relationship Id="rId676" Type="http://schemas.openxmlformats.org/officeDocument/2006/relationships/hyperlink" Target="https://teste.pipoeduca.com/" TargetMode="External"/><Relationship Id="rId677" Type="http://schemas.openxmlformats.org/officeDocument/2006/relationships/hyperlink" Target="https://www.facebook.com/ads/library/?id=2469888890144360" TargetMode="External"/><Relationship Id="rId678" Type="http://schemas.openxmlformats.org/officeDocument/2006/relationships/hyperlink" Target="https://teste.pipoeduca.com/" TargetMode="External"/><Relationship Id="rId679" Type="http://schemas.openxmlformats.org/officeDocument/2006/relationships/hyperlink" Target="https://www.facebook.com/ads/library/?id=1376612750561866" TargetMode="External"/><Relationship Id="rId680" Type="http://schemas.openxmlformats.org/officeDocument/2006/relationships/hyperlink" Target="https://teste.pipoeduca.com/" TargetMode="External"/><Relationship Id="rId681" Type="http://schemas.openxmlformats.org/officeDocument/2006/relationships/hyperlink" Target="https://www.facebook.com/ads/library/?id=1777730106556269" TargetMode="External"/><Relationship Id="rId682" Type="http://schemas.openxmlformats.org/officeDocument/2006/relationships/hyperlink" Target="https://teste.pipoeduca.com/" TargetMode="External"/><Relationship Id="rId683" Type="http://schemas.openxmlformats.org/officeDocument/2006/relationships/hyperlink" Target="https://www.facebook.com/ads/library/?id=1353949243387246" TargetMode="External"/><Relationship Id="rId684" Type="http://schemas.openxmlformats.org/officeDocument/2006/relationships/hyperlink" Target="https://teste.pipoeduca.com/" TargetMode="External"/><Relationship Id="rId685" Type="http://schemas.openxmlformats.org/officeDocument/2006/relationships/hyperlink" Target="https://www.facebook.com/ads/library/?id=1046916104877757" TargetMode="External"/><Relationship Id="rId686" Type="http://schemas.openxmlformats.org/officeDocument/2006/relationships/hyperlink" Target="https://teste.pipoeduca.com/" TargetMode="External"/><Relationship Id="rId687" Type="http://schemas.openxmlformats.org/officeDocument/2006/relationships/hyperlink" Target="https://www.facebook.com/ads/library/?id=1064142989859356" TargetMode="External"/><Relationship Id="rId688" Type="http://schemas.openxmlformats.org/officeDocument/2006/relationships/hyperlink" Target="https://teste.pipoeduca.com/" TargetMode="External"/><Relationship Id="rId689" Type="http://schemas.openxmlformats.org/officeDocument/2006/relationships/hyperlink" Target="https://www.facebook.com/ads/library/?id=1481713799929612" TargetMode="External"/><Relationship Id="rId690" Type="http://schemas.openxmlformats.org/officeDocument/2006/relationships/hyperlink" Target="https://shaktistudioonline.com/portal-shakti-club" TargetMode="External"/><Relationship Id="rId691" Type="http://schemas.openxmlformats.org/officeDocument/2006/relationships/hyperlink" Target="https://www.facebook.com/ads/library/?id=1683306603421879" TargetMode="External"/><Relationship Id="rId692" Type="http://schemas.openxmlformats.org/officeDocument/2006/relationships/hyperlink" Target="https://shaktistudioonline.com/portal-shakti-club" TargetMode="External"/><Relationship Id="rId693" Type="http://schemas.openxmlformats.org/officeDocument/2006/relationships/hyperlink" Target="https://www.facebook.com/ads/library/?id=1536439494546858" TargetMode="External"/><Relationship Id="rId694" Type="http://schemas.openxmlformats.org/officeDocument/2006/relationships/hyperlink" Target="https://shaktistudioonline.com/portal-shakti-club" TargetMode="External"/><Relationship Id="rId695" Type="http://schemas.openxmlformats.org/officeDocument/2006/relationships/hyperlink" Target="https://www.facebook.com/ads/library/?id=1435958288287540" TargetMode="External"/><Relationship Id="rId696" Type="http://schemas.openxmlformats.org/officeDocument/2006/relationships/hyperlink" Target="https://shaktistudioonline.com/portal-shakti-club" TargetMode="External"/><Relationship Id="rId697" Type="http://schemas.openxmlformats.org/officeDocument/2006/relationships/hyperlink" Target="https://www.facebook.com/ads/library/?id=1622766862154166" TargetMode="External"/><Relationship Id="rId698" Type="http://schemas.openxmlformats.org/officeDocument/2006/relationships/hyperlink" Target="https://shaktistudioonline.com/portal-shakti-club" TargetMode="External"/><Relationship Id="rId699" Type="http://schemas.openxmlformats.org/officeDocument/2006/relationships/hyperlink" Target="https://www.facebook.com/ads/library/?id=1479134344012305" TargetMode="External"/><Relationship Id="rId700" Type="http://schemas.openxmlformats.org/officeDocument/2006/relationships/hyperlink" Target="https://shaktistudioonline.com/portal-shakti-club" TargetMode="External"/><Relationship Id="rId701" Type="http://schemas.openxmlformats.org/officeDocument/2006/relationships/hyperlink" Target="https://www.facebook.com/ads/library/?id=1692053465465253" TargetMode="External"/><Relationship Id="rId702" Type="http://schemas.openxmlformats.org/officeDocument/2006/relationships/hyperlink" Target="https://shaktistudioonline.com/portal-shakti-club" TargetMode="External"/><Relationship Id="rId703" Type="http://schemas.openxmlformats.org/officeDocument/2006/relationships/hyperlink" Target="https://www.facebook.com/ads/library/?id=1727844864897416" TargetMode="External"/><Relationship Id="rId704" Type="http://schemas.openxmlformats.org/officeDocument/2006/relationships/hyperlink" Target="https://shaktistudioonline.com/portal-shakti-club" TargetMode="External"/><Relationship Id="rId705" Type="http://schemas.openxmlformats.org/officeDocument/2006/relationships/hyperlink" Target="https://www.facebook.com/ads/library/?id=1554442072954386" TargetMode="External"/><Relationship Id="rId706" Type="http://schemas.openxmlformats.org/officeDocument/2006/relationships/hyperlink" Target="https://shaktistudioonline.com/portal-shakti-club" TargetMode="External"/><Relationship Id="rId707" Type="http://schemas.openxmlformats.org/officeDocument/2006/relationships/hyperlink" Target="https://www.facebook.com/ads/library/?id=857906160301799" TargetMode="External"/><Relationship Id="rId708" Type="http://schemas.openxmlformats.org/officeDocument/2006/relationships/hyperlink" Target="https://shaktistudioonline.com/portal-shakti-club" TargetMode="External"/><Relationship Id="rId709" Type="http://schemas.openxmlformats.org/officeDocument/2006/relationships/hyperlink" Target="https://www.facebook.com/ads/library/?id=1650803159328528" TargetMode="External"/><Relationship Id="rId710" Type="http://schemas.openxmlformats.org/officeDocument/2006/relationships/hyperlink" Target="https://shaktistudioonline.com/portal-shakti-club" TargetMode="External"/><Relationship Id="rId711" Type="http://schemas.openxmlformats.org/officeDocument/2006/relationships/hyperlink" Target="https://www.facebook.com/ads/library/?id=1569924874653405" TargetMode="External"/><Relationship Id="rId712" Type="http://schemas.openxmlformats.org/officeDocument/2006/relationships/hyperlink" Target="https://shaktistudioonline.com/portal-shakti-club" TargetMode="External"/><Relationship Id="rId713" Type="http://schemas.openxmlformats.org/officeDocument/2006/relationships/hyperlink" Target="https://www.facebook.com/ads/library/?id=2782428398789865" TargetMode="External"/><Relationship Id="rId714" Type="http://schemas.openxmlformats.org/officeDocument/2006/relationships/hyperlink" Target="https://shaktistudioonline.com/portal-shakti-club" TargetMode="External"/><Relationship Id="rId715" Type="http://schemas.openxmlformats.org/officeDocument/2006/relationships/hyperlink" Target="https://www.facebook.com/ads/library/?id=1002829399340085" TargetMode="External"/><Relationship Id="rId716" Type="http://schemas.openxmlformats.org/officeDocument/2006/relationships/hyperlink" Target="https://shaktistudioonline.com/portal-shakti-club" TargetMode="External"/><Relationship Id="rId717" Type="http://schemas.openxmlformats.org/officeDocument/2006/relationships/hyperlink" Target="https://www.facebook.com/ads/library/?id=2018552258748140" TargetMode="External"/><Relationship Id="rId718" Type="http://schemas.openxmlformats.org/officeDocument/2006/relationships/hyperlink" Target="https://shaktistudioonline.com/portal-shakti-club" TargetMode="External"/><Relationship Id="rId719" Type="http://schemas.openxmlformats.org/officeDocument/2006/relationships/hyperlink" Target="https://www.facebook.com/ads/library/?id=789756534132790" TargetMode="External"/><Relationship Id="rId720" Type="http://schemas.openxmlformats.org/officeDocument/2006/relationships/hyperlink" Target="https://shaktistudioonline.com/portal-shakti-club" TargetMode="External"/><Relationship Id="rId721" Type="http://schemas.openxmlformats.org/officeDocument/2006/relationships/hyperlink" Target="https://www.facebook.com/ads/library/?id=1394668485914803" TargetMode="External"/><Relationship Id="rId722" Type="http://schemas.openxmlformats.org/officeDocument/2006/relationships/hyperlink" Target="https://shaktistudioonline.com/portal-shakti-club" TargetMode="External"/><Relationship Id="rId723" Type="http://schemas.openxmlformats.org/officeDocument/2006/relationships/hyperlink" Target="https://www.facebook.com/ads/library/?id=1222766177577918" TargetMode="External"/><Relationship Id="rId724" Type="http://schemas.openxmlformats.org/officeDocument/2006/relationships/hyperlink" Target="https://shaktistudioonline.com/portal-shakti-club" TargetMode="External"/><Relationship Id="rId725" Type="http://schemas.openxmlformats.org/officeDocument/2006/relationships/hyperlink" Target="https://www.facebook.com/ads/library/?id=996202716531011" TargetMode="External"/><Relationship Id="rId726" Type="http://schemas.openxmlformats.org/officeDocument/2006/relationships/hyperlink" Target="https://shaktistudioonline.com/portal-shakti-club" TargetMode="External"/><Relationship Id="rId727" Type="http://schemas.openxmlformats.org/officeDocument/2006/relationships/hyperlink" Target="https://www.facebook.com/ads/library/?id=1336781808561710" TargetMode="External"/><Relationship Id="rId728" Type="http://schemas.openxmlformats.org/officeDocument/2006/relationships/hyperlink" Target="https://shaktistudioonline.com/portal-shakti-club" TargetMode="External"/><Relationship Id="rId729" Type="http://schemas.openxmlformats.org/officeDocument/2006/relationships/hyperlink" Target="https://www.facebook.com/ads/library/?id=805591125853212" TargetMode="External"/><Relationship Id="rId730" Type="http://schemas.openxmlformats.org/officeDocument/2006/relationships/hyperlink" Target="https://shaktistudioonline.com/portal-shakti-club" TargetMode="External"/><Relationship Id="rId731" Type="http://schemas.openxmlformats.org/officeDocument/2006/relationships/hyperlink" Target="https://www.facebook.com/ads/library/?id=1024284836609316" TargetMode="External"/><Relationship Id="rId732" Type="http://schemas.openxmlformats.org/officeDocument/2006/relationships/hyperlink" Target="https://shaktistudioonline.com/portal-shakti-club" TargetMode="External"/><Relationship Id="rId733" Type="http://schemas.openxmlformats.org/officeDocument/2006/relationships/hyperlink" Target="https://www.facebook.com/ads/library/?id=1790467665452686" TargetMode="External"/><Relationship Id="rId734" Type="http://schemas.openxmlformats.org/officeDocument/2006/relationships/hyperlink" Target="https://shaktistudioonline.com/portal-shakti-club" TargetMode="External"/><Relationship Id="rId735" Type="http://schemas.openxmlformats.org/officeDocument/2006/relationships/hyperlink" Target="https://www.facebook.com/ads/library/?id=1486847975976336" TargetMode="External"/><Relationship Id="rId736" Type="http://schemas.openxmlformats.org/officeDocument/2006/relationships/hyperlink" Target="https://shaktistudioonline.com/portal-shakti-club" TargetMode="External"/><Relationship Id="rId737" Type="http://schemas.openxmlformats.org/officeDocument/2006/relationships/hyperlink" Target="https://www.facebook.com/ads/library/?id=997762563138986" TargetMode="External"/><Relationship Id="rId738" Type="http://schemas.openxmlformats.org/officeDocument/2006/relationships/hyperlink" Target="https://shaktistudioonline.com/portal-shakti-club" TargetMode="External"/><Relationship Id="rId739" Type="http://schemas.openxmlformats.org/officeDocument/2006/relationships/hyperlink" Target="https://www.facebook.com/ads/library/?id=1051425323900306" TargetMode="External"/><Relationship Id="rId740" Type="http://schemas.openxmlformats.org/officeDocument/2006/relationships/hyperlink" Target="https://shaktistudioonline.com/portal-shakti-club" TargetMode="External"/><Relationship Id="rId741" Type="http://schemas.openxmlformats.org/officeDocument/2006/relationships/hyperlink" Target="https://www.facebook.com/ads/library/?id=1487941319222330" TargetMode="External"/><Relationship Id="rId742" Type="http://schemas.openxmlformats.org/officeDocument/2006/relationships/hyperlink" Target="https://shaktistudioonline.com/portal-shakti-club" TargetMode="External"/><Relationship Id="rId743" Type="http://schemas.openxmlformats.org/officeDocument/2006/relationships/hyperlink" Target="https://www.facebook.com/ads/library/?id=1732263427905502" TargetMode="External"/><Relationship Id="rId744" Type="http://schemas.openxmlformats.org/officeDocument/2006/relationships/hyperlink" Target="https://shaktistudioonline.com/portal-shakti-club" TargetMode="External"/><Relationship Id="rId745" Type="http://schemas.openxmlformats.org/officeDocument/2006/relationships/hyperlink" Target="https://www.facebook.com/ads/library/?id=1038554308673975" TargetMode="External"/><Relationship Id="rId746" Type="http://schemas.openxmlformats.org/officeDocument/2006/relationships/hyperlink" Target="https://shaktistudioonline.com/portal-shakti-club" TargetMode="External"/><Relationship Id="rId747" Type="http://schemas.openxmlformats.org/officeDocument/2006/relationships/hyperlink" Target="https://www.facebook.com/ads/library/?id=1602126081485243" TargetMode="External"/><Relationship Id="rId748" Type="http://schemas.openxmlformats.org/officeDocument/2006/relationships/hyperlink" Target="https://shaktistudioonline.com/portal-shakti-club" TargetMode="External"/><Relationship Id="rId749" Type="http://schemas.openxmlformats.org/officeDocument/2006/relationships/hyperlink" Target="https://www.facebook.com/ads/library/?id=2206770830166498" TargetMode="External"/><Relationship Id="rId750" Type="http://schemas.openxmlformats.org/officeDocument/2006/relationships/hyperlink" Target="https://shaktistudioonline.com/portal-shakti-club" TargetMode="External"/><Relationship Id="rId751" Type="http://schemas.openxmlformats.org/officeDocument/2006/relationships/hyperlink" Target="https://www.facebook.com/ads/library/?id=2896999200631708" TargetMode="External"/><Relationship Id="rId752" Type="http://schemas.openxmlformats.org/officeDocument/2006/relationships/hyperlink" Target="https://shaktistudioonline.com/portal-shakti-club" TargetMode="External"/><Relationship Id="rId753" Type="http://schemas.openxmlformats.org/officeDocument/2006/relationships/hyperlink" Target="https://www.facebook.com/ads/library/?id=2117469719206004" TargetMode="External"/><Relationship Id="rId754" Type="http://schemas.openxmlformats.org/officeDocument/2006/relationships/hyperlink" Target="https://shaktistudioonline.com/portal-shakti-club" TargetMode="External"/><Relationship Id="rId755" Type="http://schemas.openxmlformats.org/officeDocument/2006/relationships/hyperlink" Target="https://www.facebook.com/ads/library/?id=3429797460536047" TargetMode="External"/><Relationship Id="rId756" Type="http://schemas.openxmlformats.org/officeDocument/2006/relationships/hyperlink" Target="https://shaktistudioonline.com/portal-shakti-club" TargetMode="External"/><Relationship Id="rId757" Type="http://schemas.openxmlformats.org/officeDocument/2006/relationships/hyperlink" Target="https://www.facebook.com/ads/library/?id=4546877695554427" TargetMode="External"/><Relationship Id="rId758" Type="http://schemas.openxmlformats.org/officeDocument/2006/relationships/hyperlink" Target="https://shaktistudioonline.com/portal-shakti-club" TargetMode="External"/><Relationship Id="rId759" Type="http://schemas.openxmlformats.org/officeDocument/2006/relationships/hyperlink" Target="https://www.facebook.com/ads/library/?id=888230803899063" TargetMode="External"/><Relationship Id="rId760" Type="http://schemas.openxmlformats.org/officeDocument/2006/relationships/hyperlink" Target="https://shaktistudioonline.com/portal-shakti-club" TargetMode="External"/><Relationship Id="rId761" Type="http://schemas.openxmlformats.org/officeDocument/2006/relationships/hyperlink" Target="https://www.facebook.com/ads/library/?id=2230171001067824" TargetMode="External"/><Relationship Id="rId762" Type="http://schemas.openxmlformats.org/officeDocument/2006/relationships/hyperlink" Target="https://shaktistudioonline.com/portal-shakti-club" TargetMode="External"/><Relationship Id="rId763" Type="http://schemas.openxmlformats.org/officeDocument/2006/relationships/hyperlink" Target="https://www.facebook.com/ads/library/?id=26860659423610633" TargetMode="External"/><Relationship Id="rId764" Type="http://schemas.openxmlformats.org/officeDocument/2006/relationships/hyperlink" Target="https://shaktistudioonline.com/portal-shakti-club" TargetMode="External"/><Relationship Id="rId765" Type="http://schemas.openxmlformats.org/officeDocument/2006/relationships/hyperlink" Target="https://www.facebook.com/ads/library/?id=2370807996787518" TargetMode="External"/><Relationship Id="rId766" Type="http://schemas.openxmlformats.org/officeDocument/2006/relationships/hyperlink" Target="https://shaktistudioonline.com/portal-shakti-club" TargetMode="External"/><Relationship Id="rId767" Type="http://schemas.openxmlformats.org/officeDocument/2006/relationships/hyperlink" Target="https://www.facebook.com/ads/library/?id=1611776313953664" TargetMode="External"/><Relationship Id="rId768" Type="http://schemas.openxmlformats.org/officeDocument/2006/relationships/hyperlink" Target="https://shaktistudioonline.com/portal-shakti-club" TargetMode="External"/><Relationship Id="rId769" Type="http://schemas.openxmlformats.org/officeDocument/2006/relationships/hyperlink" Target="https://www.facebook.com/ads/library/?id=1363537922515267" TargetMode="External"/><Relationship Id="rId770" Type="http://schemas.openxmlformats.org/officeDocument/2006/relationships/hyperlink" Target="https://shaktistudioonline.com/portal-shakti-club" TargetMode="External"/><Relationship Id="rId771" Type="http://schemas.openxmlformats.org/officeDocument/2006/relationships/hyperlink" Target="https://www.facebook.com/ads/library/?id=1637691644439783" TargetMode="External"/><Relationship Id="rId772" Type="http://schemas.openxmlformats.org/officeDocument/2006/relationships/hyperlink" Target="https://par-sketch.app/" TargetMode="External"/><Relationship Id="rId773" Type="http://schemas.openxmlformats.org/officeDocument/2006/relationships/hyperlink" Target="https://www.facebook.com/ads/library/?id=1685970130204459" TargetMode="External"/><Relationship Id="rId774" Type="http://schemas.openxmlformats.org/officeDocument/2006/relationships/hyperlink" Target="https://par-sketch.app/" TargetMode="External"/><Relationship Id="rId775" Type="http://schemas.openxmlformats.org/officeDocument/2006/relationships/hyperlink" Target="https://www.facebook.com/ads/library/?id=1045006121749535" TargetMode="External"/><Relationship Id="rId776" Type="http://schemas.openxmlformats.org/officeDocument/2006/relationships/hyperlink" Target="https://par-sketch.app/" TargetMode="External"/><Relationship Id="rId777" Type="http://schemas.openxmlformats.org/officeDocument/2006/relationships/hyperlink" Target="https://www.facebook.com/ads/library/?id=1386639303006684" TargetMode="External"/><Relationship Id="rId778" Type="http://schemas.openxmlformats.org/officeDocument/2006/relationships/hyperlink" Target="https://par-sketch.app/" TargetMode="External"/><Relationship Id="rId779" Type="http://schemas.openxmlformats.org/officeDocument/2006/relationships/hyperlink" Target="https://www.facebook.com/ads/library/?id=2481476635687326" TargetMode="External"/><Relationship Id="rId780" Type="http://schemas.openxmlformats.org/officeDocument/2006/relationships/hyperlink" Target="https://par-sketch.app/" TargetMode="External"/><Relationship Id="rId781" Type="http://schemas.openxmlformats.org/officeDocument/2006/relationships/hyperlink" Target="https://www.facebook.com/ads/library/?id=1060078446817299" TargetMode="External"/><Relationship Id="rId782" Type="http://schemas.openxmlformats.org/officeDocument/2006/relationships/hyperlink" Target="https://par-sketch.app/" TargetMode="External"/><Relationship Id="rId783" Type="http://schemas.openxmlformats.org/officeDocument/2006/relationships/hyperlink" Target="https://www.facebook.com/ads/library/?id=1972323894167246" TargetMode="External"/><Relationship Id="rId784" Type="http://schemas.openxmlformats.org/officeDocument/2006/relationships/hyperlink" Target="https://par-sketch.app/" TargetMode="External"/><Relationship Id="rId785" Type="http://schemas.openxmlformats.org/officeDocument/2006/relationships/hyperlink" Target="https://www.facebook.com/ads/library/?id=4602441996652106" TargetMode="External"/><Relationship Id="rId786" Type="http://schemas.openxmlformats.org/officeDocument/2006/relationships/hyperlink" Target="https://kiwify.app/za6R5Gp?afid=y2T6bZA1" TargetMode="External"/><Relationship Id="rId787" Type="http://schemas.openxmlformats.org/officeDocument/2006/relationships/hyperlink" Target="https://www.facebook.com/ads/library/?id=1721847725785243" TargetMode="External"/><Relationship Id="rId788" Type="http://schemas.openxmlformats.org/officeDocument/2006/relationships/hyperlink" Target="https://par-sketch.app/" TargetMode="External"/><Relationship Id="rId789" Type="http://schemas.openxmlformats.org/officeDocument/2006/relationships/hyperlink" Target="https://www.facebook.com/ads/library/?id=2361999287875742" TargetMode="External"/><Relationship Id="rId790" Type="http://schemas.openxmlformats.org/officeDocument/2006/relationships/hyperlink" Target="https://par-sketch.app/" TargetMode="External"/><Relationship Id="rId791" Type="http://schemas.openxmlformats.org/officeDocument/2006/relationships/hyperlink" Target="https://www.facebook.com/ads/library/?id=1105784575297331" TargetMode="External"/><Relationship Id="rId792" Type="http://schemas.openxmlformats.org/officeDocument/2006/relationships/hyperlink" Target="https://kiwify.app/za6R5Gp?afid=y2T6bZA1" TargetMode="External"/><Relationship Id="rId793" Type="http://schemas.openxmlformats.org/officeDocument/2006/relationships/hyperlink" Target="https://www.facebook.com/ads/library/?id=4364907333763967" TargetMode="External"/><Relationship Id="rId794" Type="http://schemas.openxmlformats.org/officeDocument/2006/relationships/hyperlink" Target="https://kiwify.app/za6R5Gp?afid=y2T6bZA1" TargetMode="External"/><Relationship Id="rId795" Type="http://schemas.openxmlformats.org/officeDocument/2006/relationships/hyperlink" Target="https://www.facebook.com/ads/library/?id=1022543277471299" TargetMode="External"/><Relationship Id="rId796" Type="http://schemas.openxmlformats.org/officeDocument/2006/relationships/hyperlink" Target="https://kiwify.app/za6R5Gp?afid=y2T6bZA1" TargetMode="External"/><Relationship Id="rId797" Type="http://schemas.openxmlformats.org/officeDocument/2006/relationships/hyperlink" Target="https://www.facebook.com/ads/library/?id=1070688622245051" TargetMode="External"/><Relationship Id="rId798" Type="http://schemas.openxmlformats.org/officeDocument/2006/relationships/hyperlink" Target="https://kiwify.app/za6R5Gp?afid=y2T6bZA1" TargetMode="External"/><Relationship Id="rId799" Type="http://schemas.openxmlformats.org/officeDocument/2006/relationships/hyperlink" Target="https://www.facebook.com/ads/library/?id=1354322349865514" TargetMode="External"/><Relationship Id="rId800" Type="http://schemas.openxmlformats.org/officeDocument/2006/relationships/hyperlink" Target="https://conteudos.tutudaju.com/assinatura-de-aulas-tutu-da-ju" TargetMode="External"/><Relationship Id="rId801" Type="http://schemas.openxmlformats.org/officeDocument/2006/relationships/hyperlink" Target="https://www.facebook.com/ads/library/?id=3457957101017944" TargetMode="External"/><Relationship Id="rId802" Type="http://schemas.openxmlformats.org/officeDocument/2006/relationships/hyperlink" Target="https://conteudos.tutudaju.com/assinatura-de-aulas-tutu-da-ju" TargetMode="External"/><Relationship Id="rId803" Type="http://schemas.openxmlformats.org/officeDocument/2006/relationships/hyperlink" Target="https://www.facebook.com/ads/library/?id=1297147522362110" TargetMode="External"/><Relationship Id="rId804" Type="http://schemas.openxmlformats.org/officeDocument/2006/relationships/hyperlink" Target="https://conteudos.tutudaju.com/assinatura-de-aulas-tutu-da-ju" TargetMode="External"/><Relationship Id="rId805" Type="http://schemas.openxmlformats.org/officeDocument/2006/relationships/hyperlink" Target="https://www.facebook.com/ads/library/?id=3936515533308825" TargetMode="External"/><Relationship Id="rId806" Type="http://schemas.openxmlformats.org/officeDocument/2006/relationships/hyperlink" Target="https://conteudos.tutudaju.com/assinatura-de-aulas-tutu-da-ju" TargetMode="External"/><Relationship Id="rId807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facebook.com/ads/library/?active_status=active&amp;ad_type=all&amp;country=BR&amp;q=2750%20atividades&amp;search_type=keyword_unordered&amp;media_type=all" TargetMode="External"/><Relationship Id="rId2" Type="http://schemas.openxmlformats.org/officeDocument/2006/relationships/hyperlink" Target="https://www.facebook.com/ads/library/?active_status=active&amp;ad_type=all&amp;country=BR&amp;q=2750%20atividades&amp;search_type=keyword_unordered&amp;media_type=video" TargetMode="External"/><Relationship Id="rId3" Type="http://schemas.openxmlformats.org/officeDocument/2006/relationships/hyperlink" Target="https://www.facebook.com/ads/library/?active_status=active&amp;ad_type=all&amp;country=BR&amp;q=alfa%20kids&amp;search_type=keyword_unordered&amp;media_type=all" TargetMode="External"/><Relationship Id="rId4" Type="http://schemas.openxmlformats.org/officeDocument/2006/relationships/hyperlink" Target="https://www.facebook.com/ads/library/?active_status=active&amp;ad_type=all&amp;country=BR&amp;q=alfa%20kids&amp;search_type=keyword_unordered&amp;media_type=video" TargetMode="External"/><Relationship Id="rId5" Type="http://schemas.openxmlformats.org/officeDocument/2006/relationships/hyperlink" Target="https://www.facebook.com/ads/library/?active_status=active&amp;ad_type=all&amp;country=BR&amp;q=alfabetinho&amp;search_type=keyword_unordered&amp;media_type=all" TargetMode="External"/><Relationship Id="rId6" Type="http://schemas.openxmlformats.org/officeDocument/2006/relationships/hyperlink" Target="https://www.facebook.com/ads/library/?active_status=active&amp;ad_type=all&amp;country=BR&amp;q=alfabetinho&amp;search_type=keyword_unordered&amp;media_type=video" TargetMode="External"/><Relationship Id="rId7" Type="http://schemas.openxmlformats.org/officeDocument/2006/relationships/hyperlink" Target="https://www.facebook.com/ads/library/?active_status=active&amp;ad_type=all&amp;country=BR&amp;q=alfabetiza&#231;&#227;o%20educa&#231;&#227;o%20especial&amp;search_type=keyword_unordered&amp;media_type=all" TargetMode="External"/><Relationship Id="rId8" Type="http://schemas.openxmlformats.org/officeDocument/2006/relationships/hyperlink" Target="https://www.facebook.com/ads/library/?active_status=active&amp;ad_type=all&amp;country=BR&amp;q=alfabetiza&#231;&#227;o%20educa&#231;&#227;o%20especial&amp;search_type=keyword_unordered&amp;media_type=video" TargetMode="External"/><Relationship Id="rId9" Type="http://schemas.openxmlformats.org/officeDocument/2006/relationships/hyperlink" Target="https://www.facebook.com/ads/library/?active_status=active&amp;ad_type=all&amp;country=BR&amp;q=alfabetiza&#231;&#227;o%20em%203%20semanas&amp;search_type=keyword_unordered&amp;media_type=all" TargetMode="External"/><Relationship Id="rId10" Type="http://schemas.openxmlformats.org/officeDocument/2006/relationships/hyperlink" Target="https://www.facebook.com/ads/library/?active_status=active&amp;ad_type=all&amp;country=BR&amp;q=alfabetiza&#231;&#227;o%20em%203%20semanas&amp;search_type=keyword_unordered&amp;media_type=video" TargetMode="External"/><Relationship Id="rId11" Type="http://schemas.openxmlformats.org/officeDocument/2006/relationships/hyperlink" Target="https://www.facebook.com/ads/library/?active_status=active&amp;ad_type=all&amp;country=BR&amp;q=alfabetiza&#231;&#227;o%20por%20s&#237;labas&amp;search_type=keyword_unordered&amp;media_type=all" TargetMode="External"/><Relationship Id="rId12" Type="http://schemas.openxmlformats.org/officeDocument/2006/relationships/hyperlink" Target="https://www.facebook.com/ads/library/?active_status=active&amp;ad_type=all&amp;country=BR&amp;q=alfabetiza&#231;&#227;o%20por%20s&#237;labas&amp;search_type=keyword_unordered&amp;media_type=video" TargetMode="External"/><Relationship Id="rId13" Type="http://schemas.openxmlformats.org/officeDocument/2006/relationships/hyperlink" Target="https://www.facebook.com/ads/library/?active_status=active&amp;ad_type=all&amp;country=BR&amp;q=aprender%20forr&#243;&amp;search_type=keyword_unordered&amp;media_type=all" TargetMode="External"/><Relationship Id="rId14" Type="http://schemas.openxmlformats.org/officeDocument/2006/relationships/hyperlink" Target="https://www.facebook.com/ads/library/?active_status=active&amp;ad_type=all&amp;country=BR&amp;q=aprender%20forr&#243;&amp;search_type=keyword_unordered&amp;media_type=video" TargetMode="External"/><Relationship Id="rId15" Type="http://schemas.openxmlformats.org/officeDocument/2006/relationships/hyperlink" Target="https://www.facebook.com/ads/library/?active_status=active&amp;ad_type=all&amp;country=BR&amp;q=ateli&#234;%20infantil&amp;search_type=keyword_unordered&amp;media_type=all" TargetMode="External"/><Relationship Id="rId16" Type="http://schemas.openxmlformats.org/officeDocument/2006/relationships/hyperlink" Target="https://www.facebook.com/ads/library/?active_status=active&amp;ad_type=all&amp;country=BR&amp;q=ateli&#234;%20infantil&amp;search_type=keyword_unordered&amp;media_type=video" TargetMode="External"/><Relationship Id="rId17" Type="http://schemas.openxmlformats.org/officeDocument/2006/relationships/hyperlink" Target="https://www.facebook.com/ads/library/?active_status=active&amp;ad_type=all&amp;country=BR&amp;q=atividades%20cat&#243;licas%20para%20crian&#231;as&amp;search_type=keyword_unordered&amp;media_type=all" TargetMode="External"/><Relationship Id="rId18" Type="http://schemas.openxmlformats.org/officeDocument/2006/relationships/hyperlink" Target="https://www.facebook.com/ads/library/?active_status=active&amp;ad_type=all&amp;country=BR&amp;q=atividades%20cat&#243;licas%20para%20crian&#231;as&amp;search_type=keyword_unordered&amp;media_type=video" TargetMode="External"/><Relationship Id="rId19" Type="http://schemas.openxmlformats.org/officeDocument/2006/relationships/hyperlink" Target="https://www.facebook.com/ads/library/?active_status=active&amp;ad_type=all&amp;country=BR&amp;q=atividades%20de%20alfabetiza&#231;&#227;o&amp;search_type=keyword_unordered&amp;media_type=all" TargetMode="External"/><Relationship Id="rId20" Type="http://schemas.openxmlformats.org/officeDocument/2006/relationships/hyperlink" Target="https://www.facebook.com/ads/library/?active_status=active&amp;ad_type=all&amp;country=BR&amp;q=atividades%20de%20alfabetiza&#231;&#227;o&amp;search_type=keyword_unordered&amp;media_type=video" TargetMode="External"/><Relationship Id="rId21" Type="http://schemas.openxmlformats.org/officeDocument/2006/relationships/hyperlink" Target="https://www.facebook.com/ads/library/?active_status=active&amp;ad_type=all&amp;country=BR&amp;q=atividades%20de%20caligrafia&amp;search_type=keyword_unordered&amp;media_type=all" TargetMode="External"/><Relationship Id="rId22" Type="http://schemas.openxmlformats.org/officeDocument/2006/relationships/hyperlink" Target="https://www.facebook.com/ads/library/?active_status=active&amp;ad_type=all&amp;country=BR&amp;q=atividades%20de%20caligrafia&amp;search_type=keyword_unordered&amp;media_type=video" TargetMode="External"/><Relationship Id="rId23" Type="http://schemas.openxmlformats.org/officeDocument/2006/relationships/hyperlink" Target="https://www.facebook.com/ads/library/?active_status=active&amp;ad_type=all&amp;country=BR&amp;q=atividades%20educativas%20imprim&#237;veis&amp;search_type=keyword_unordered&amp;media_type=all" TargetMode="External"/><Relationship Id="rId24" Type="http://schemas.openxmlformats.org/officeDocument/2006/relationships/hyperlink" Target="https://www.facebook.com/ads/library/?active_status=active&amp;ad_type=all&amp;country=BR&amp;q=atividades%20educativas%20imprim&#237;veis&amp;search_type=keyword_unordered&amp;media_type=video" TargetMode="External"/><Relationship Id="rId25" Type="http://schemas.openxmlformats.org/officeDocument/2006/relationships/hyperlink" Target="https://www.facebook.com/ads/library/?active_status=active&amp;ad_type=all&amp;country=BR&amp;q=atividades%20imprim&#237;veis%20professor&amp;search_type=keyword_unordered&amp;media_type=all" TargetMode="External"/><Relationship Id="rId26" Type="http://schemas.openxmlformats.org/officeDocument/2006/relationships/hyperlink" Target="https://www.facebook.com/ads/library/?active_status=active&amp;ad_type=all&amp;country=BR&amp;q=atividades%20imprim&#237;veis%20professor&amp;search_type=keyword_unordered&amp;media_type=video" TargetMode="External"/><Relationship Id="rId27" Type="http://schemas.openxmlformats.org/officeDocument/2006/relationships/hyperlink" Target="https://www.facebook.com/ads/library/?active_status=active&amp;ad_type=all&amp;country=BR&amp;q=atividades%20montessori&amp;search_type=keyword_unordered&amp;media_type=all" TargetMode="External"/><Relationship Id="rId28" Type="http://schemas.openxmlformats.org/officeDocument/2006/relationships/hyperlink" Target="https://www.facebook.com/ads/library/?active_status=active&amp;ad_type=all&amp;country=BR&amp;q=atividades%20montessori&amp;search_type=keyword_unordered&amp;media_type=video" TargetMode="External"/><Relationship Id="rId29" Type="http://schemas.openxmlformats.org/officeDocument/2006/relationships/hyperlink" Target="https://www.facebook.com/ads/library/?active_status=active&amp;ad_type=all&amp;country=BR&amp;q=atividades%20para%20crian&#231;as%202%20a%206%20anos&amp;search_type=keyword_unordered&amp;media_type=all" TargetMode="External"/><Relationship Id="rId30" Type="http://schemas.openxmlformats.org/officeDocument/2006/relationships/hyperlink" Target="https://www.facebook.com/ads/library/?active_status=active&amp;ad_type=all&amp;country=BR&amp;q=atividades%20para%20crian&#231;as%202%20a%206%20anos&amp;search_type=keyword_unordered&amp;media_type=video" TargetMode="External"/><Relationship Id="rId31" Type="http://schemas.openxmlformats.org/officeDocument/2006/relationships/hyperlink" Target="https://www.facebook.com/ads/library/?active_status=active&amp;ad_type=all&amp;country=BR&amp;q=atividades%20prontas%20professora&amp;search_type=keyword_unordered&amp;media_type=all" TargetMode="External"/><Relationship Id="rId32" Type="http://schemas.openxmlformats.org/officeDocument/2006/relationships/hyperlink" Target="https://www.facebook.com/ads/library/?active_status=active&amp;ad_type=all&amp;country=BR&amp;q=atividades%20prontas%20professora&amp;search_type=keyword_unordered&amp;media_type=video" TargetMode="External"/><Relationship Id="rId33" Type="http://schemas.openxmlformats.org/officeDocument/2006/relationships/hyperlink" Target="https://www.facebook.com/ads/library/?active_status=active&amp;ad_type=all&amp;country=BR&amp;q=aula%20de%20ritmos&amp;search_type=keyword_unordered&amp;media_type=all" TargetMode="External"/><Relationship Id="rId34" Type="http://schemas.openxmlformats.org/officeDocument/2006/relationships/hyperlink" Target="https://www.facebook.com/ads/library/?active_status=active&amp;ad_type=all&amp;country=BR&amp;q=aula%20de%20ritmos&amp;search_type=keyword_unordered&amp;media_type=video" TargetMode="External"/><Relationship Id="rId35" Type="http://schemas.openxmlformats.org/officeDocument/2006/relationships/hyperlink" Target="https://www.facebook.com/ads/library/?active_status=active&amp;ad_type=all&amp;country=BR&amp;q=aulas%20de%20ballet&amp;search_type=keyword_unordered&amp;media_type=all" TargetMode="External"/><Relationship Id="rId36" Type="http://schemas.openxmlformats.org/officeDocument/2006/relationships/hyperlink" Target="https://www.facebook.com/ads/library/?active_status=active&amp;ad_type=all&amp;country=BR&amp;q=aulas%20de%20ballet&amp;search_type=keyword_unordered&amp;media_type=video" TargetMode="External"/><Relationship Id="rId37" Type="http://schemas.openxmlformats.org/officeDocument/2006/relationships/hyperlink" Target="https://www.facebook.com/ads/library/?active_status=active&amp;ad_type=all&amp;country=BR&amp;q=aulas%20prontas%20educa&#231;&#227;o%20f&#237;sica&amp;search_type=keyword_unordered&amp;media_type=all" TargetMode="External"/><Relationship Id="rId38" Type="http://schemas.openxmlformats.org/officeDocument/2006/relationships/hyperlink" Target="https://www.facebook.com/ads/library/?active_status=active&amp;ad_type=all&amp;country=BR&amp;q=aulas%20prontas%20educa&#231;&#227;o%20f&#237;sica&amp;search_type=keyword_unordered&amp;media_type=video" TargetMode="External"/><Relationship Id="rId39" Type="http://schemas.openxmlformats.org/officeDocument/2006/relationships/hyperlink" Target="https://www.facebook.com/ads/library/?active_status=active&amp;ad_type=all&amp;country=BR&amp;q=baby%20class%20ballet&amp;search_type=keyword_unordered&amp;media_type=all" TargetMode="External"/><Relationship Id="rId40" Type="http://schemas.openxmlformats.org/officeDocument/2006/relationships/hyperlink" Target="https://www.facebook.com/ads/library/?active_status=active&amp;ad_type=all&amp;country=BR&amp;q=baby%20class%20ballet&amp;search_type=keyword_unordered&amp;media_type=video" TargetMode="External"/><Relationship Id="rId41" Type="http://schemas.openxmlformats.org/officeDocument/2006/relationships/hyperlink" Target="https://www.facebook.com/ads/library/?active_status=active&amp;ad_type=all&amp;country=BR&amp;q=ballet%20adulto%20online&amp;search_type=keyword_unordered&amp;media_type=all" TargetMode="External"/><Relationship Id="rId42" Type="http://schemas.openxmlformats.org/officeDocument/2006/relationships/hyperlink" Target="https://www.facebook.com/ads/library/?active_status=active&amp;ad_type=all&amp;country=BR&amp;q=ballet%20adulto%20online&amp;search_type=keyword_unordered&amp;media_type=video" TargetMode="External"/><Relationship Id="rId43" Type="http://schemas.openxmlformats.org/officeDocument/2006/relationships/hyperlink" Target="https://www.facebook.com/ads/library/?active_status=active&amp;ad_type=all&amp;country=BR&amp;q=ballet%20em%20casa&amp;search_type=keyword_unordered&amp;media_type=all" TargetMode="External"/><Relationship Id="rId44" Type="http://schemas.openxmlformats.org/officeDocument/2006/relationships/hyperlink" Target="https://www.facebook.com/ads/library/?active_status=active&amp;ad_type=all&amp;country=BR&amp;q=ballet%20em%20casa&amp;search_type=keyword_unordered&amp;media_type=video" TargetMode="External"/><Relationship Id="rId45" Type="http://schemas.openxmlformats.org/officeDocument/2006/relationships/hyperlink" Target="https://www.facebook.com/ads/library/?active_status=active&amp;ad_type=all&amp;country=BR&amp;q=ballet%20jazz%20contempor&#226;neo%20online&amp;search_type=keyword_unordered&amp;media_type=all" TargetMode="External"/><Relationship Id="rId46" Type="http://schemas.openxmlformats.org/officeDocument/2006/relationships/hyperlink" Target="https://www.facebook.com/ads/library/?active_status=active&amp;ad_type=all&amp;country=BR&amp;q=ballet%20jazz%20contempor&#226;neo%20online&amp;search_type=keyword_unordered&amp;media_type=video" TargetMode="External"/><Relationship Id="rId47" Type="http://schemas.openxmlformats.org/officeDocument/2006/relationships/hyperlink" Target="https://www.facebook.com/ads/library/?active_status=active&amp;ad_type=all&amp;country=BR&amp;q=bellydance&amp;search_type=keyword_unordered&amp;media_type=all" TargetMode="External"/><Relationship Id="rId48" Type="http://schemas.openxmlformats.org/officeDocument/2006/relationships/hyperlink" Target="https://www.facebook.com/ads/library/?active_status=active&amp;ad_type=all&amp;country=BR&amp;q=bellydance&amp;search_type=keyword_unordered&amp;media_type=video" TargetMode="External"/><Relationship Id="rId49" Type="http://schemas.openxmlformats.org/officeDocument/2006/relationships/hyperlink" Target="https://www.facebook.com/ads/library/?active_status=active&amp;ad_type=all&amp;country=BR&amp;q=bellydance%20online&amp;search_type=keyword_unordered&amp;media_type=all" TargetMode="External"/><Relationship Id="rId50" Type="http://schemas.openxmlformats.org/officeDocument/2006/relationships/hyperlink" Target="https://www.facebook.com/ads/library/?active_status=active&amp;ad_type=all&amp;country=BR&amp;q=bellydance%20online&amp;search_type=keyword_unordered&amp;media_type=video" TargetMode="External"/><Relationship Id="rId51" Type="http://schemas.openxmlformats.org/officeDocument/2006/relationships/hyperlink" Target="https://www.facebook.com/ads/library/?active_status=active&amp;ad_type=all&amp;country=BR&amp;q=birra%20crian&#231;a&amp;search_type=keyword_unordered&amp;media_type=all" TargetMode="External"/><Relationship Id="rId52" Type="http://schemas.openxmlformats.org/officeDocument/2006/relationships/hyperlink" Target="https://www.facebook.com/ads/library/?active_status=active&amp;ad_type=all&amp;country=BR&amp;q=birra%20crian&#231;a&amp;search_type=keyword_unordered&amp;media_type=video" TargetMode="External"/><Relationship Id="rId53" Type="http://schemas.openxmlformats.org/officeDocument/2006/relationships/hyperlink" Target="https://www.facebook.com/ads/library/?active_status=active&amp;ad_type=all&amp;country=BR&amp;q=bonecas%20de%20papel&amp;search_type=keyword_unordered&amp;media_type=all" TargetMode="External"/><Relationship Id="rId54" Type="http://schemas.openxmlformats.org/officeDocument/2006/relationships/hyperlink" Target="https://www.facebook.com/ads/library/?active_status=active&amp;ad_type=all&amp;country=BR&amp;q=bonecas%20de%20papel&amp;search_type=keyword_unordered&amp;media_type=video" TargetMode="External"/><Relationship Id="rId55" Type="http://schemas.openxmlformats.org/officeDocument/2006/relationships/hyperlink" Target="https://www.facebook.com/ads/library/?active_status=active&amp;ad_type=all&amp;country=BR&amp;q=bonecas%20de%20papel%20anos%2090&amp;search_type=keyword_unordered&amp;media_type=all" TargetMode="External"/><Relationship Id="rId56" Type="http://schemas.openxmlformats.org/officeDocument/2006/relationships/hyperlink" Target="https://www.facebook.com/ads/library/?active_status=active&amp;ad_type=all&amp;country=BR&amp;q=bonecas%20de%20papel%20anos%2090&amp;search_type=keyword_unordered&amp;media_type=video" TargetMode="External"/><Relationship Id="rId57" Type="http://schemas.openxmlformats.org/officeDocument/2006/relationships/hyperlink" Target="https://www.facebook.com/ads/library/?active_status=active&amp;ad_type=all&amp;country=BR&amp;q=brincadeira%20sem%20tela&amp;search_type=keyword_unordered&amp;media_type=all" TargetMode="External"/><Relationship Id="rId58" Type="http://schemas.openxmlformats.org/officeDocument/2006/relationships/hyperlink" Target="https://www.facebook.com/ads/library/?active_status=active&amp;ad_type=all&amp;country=BR&amp;q=brincadeira%20sem%20tela&amp;search_type=keyword_unordered&amp;media_type=video" TargetMode="External"/><Relationship Id="rId59" Type="http://schemas.openxmlformats.org/officeDocument/2006/relationships/hyperlink" Target="https://www.facebook.com/ads/library/?active_status=active&amp;ad_type=all&amp;country=BR&amp;q=brinquedo%20de%20papel%20imprim&#237;vel&amp;search_type=keyword_unordered&amp;media_type=all" TargetMode="External"/><Relationship Id="rId60" Type="http://schemas.openxmlformats.org/officeDocument/2006/relationships/hyperlink" Target="https://www.facebook.com/ads/library/?active_status=active&amp;ad_type=all&amp;country=BR&amp;q=brinquedo%20de%20papel%20imprim&#237;vel&amp;search_type=keyword_unordered&amp;media_type=video" TargetMode="External"/><Relationship Id="rId61" Type="http://schemas.openxmlformats.org/officeDocument/2006/relationships/hyperlink" Target="https://www.facebook.com/ads/library/?active_status=active&amp;ad_type=all&amp;country=BR&amp;q=brinquedos%20de%20papel&amp;search_type=keyword_unordered&amp;media_type=all" TargetMode="External"/><Relationship Id="rId62" Type="http://schemas.openxmlformats.org/officeDocument/2006/relationships/hyperlink" Target="https://www.facebook.com/ads/library/?active_status=active&amp;ad_type=all&amp;country=BR&amp;q=brinquedos%20de%20papel&amp;search_type=keyword_unordered&amp;media_type=video" TargetMode="External"/><Relationship Id="rId63" Type="http://schemas.openxmlformats.org/officeDocument/2006/relationships/hyperlink" Target="https://www.facebook.com/ads/library/?active_status=active&amp;ad_type=all&amp;country=BR&amp;q=caderno%20de%20caligrafia&amp;search_type=keyword_unordered&amp;media_type=all" TargetMode="External"/><Relationship Id="rId64" Type="http://schemas.openxmlformats.org/officeDocument/2006/relationships/hyperlink" Target="https://www.facebook.com/ads/library/?active_status=active&amp;ad_type=all&amp;country=BR&amp;q=caderno%20de%20caligrafia&amp;search_type=keyword_unordered&amp;media_type=video" TargetMode="External"/><Relationship Id="rId65" Type="http://schemas.openxmlformats.org/officeDocument/2006/relationships/hyperlink" Target="https://www.facebook.com/ads/library/?active_status=active&amp;ad_type=all&amp;country=BR&amp;q=caligrafia&amp;search_type=keyword_unordered&amp;media_type=all" TargetMode="External"/><Relationship Id="rId66" Type="http://schemas.openxmlformats.org/officeDocument/2006/relationships/hyperlink" Target="https://www.facebook.com/ads/library/?active_status=active&amp;ad_type=all&amp;country=BR&amp;q=caligrafia&amp;search_type=keyword_unordered&amp;media_type=video" TargetMode="External"/><Relationship Id="rId67" Type="http://schemas.openxmlformats.org/officeDocument/2006/relationships/hyperlink" Target="https://www.facebook.com/ads/library/?active_status=active&amp;ad_type=all&amp;country=BR&amp;q=caligrafia%20bast&#227;o&amp;search_type=keyword_unordered&amp;media_type=all" TargetMode="External"/><Relationship Id="rId68" Type="http://schemas.openxmlformats.org/officeDocument/2006/relationships/hyperlink" Target="https://www.facebook.com/ads/library/?active_status=active&amp;ad_type=all&amp;country=BR&amp;q=caligrafia%20bast&#227;o&amp;search_type=keyword_unordered&amp;media_type=video" TargetMode="External"/><Relationship Id="rId69" Type="http://schemas.openxmlformats.org/officeDocument/2006/relationships/hyperlink" Target="https://www.facebook.com/ads/library/?active_status=active&amp;ad_type=all&amp;country=BR&amp;q=caligrafia%20para%20todos&amp;search_type=keyword_unordered&amp;media_type=all" TargetMode="External"/><Relationship Id="rId70" Type="http://schemas.openxmlformats.org/officeDocument/2006/relationships/hyperlink" Target="https://www.facebook.com/ads/library/?active_status=active&amp;ad_type=all&amp;country=BR&amp;q=caligrafia%20para%20todos&amp;search_type=keyword_unordered&amp;media_type=video" TargetMode="External"/><Relationship Id="rId71" Type="http://schemas.openxmlformats.org/officeDocument/2006/relationships/hyperlink" Target="https://www.facebook.com/ads/library/?active_status=active&amp;ad_type=all&amp;country=BR&amp;q=cantigas%20da%20bailarina&amp;search_type=keyword_unordered&amp;media_type=all" TargetMode="External"/><Relationship Id="rId72" Type="http://schemas.openxmlformats.org/officeDocument/2006/relationships/hyperlink" Target="https://www.facebook.com/ads/library/?active_status=active&amp;ad_type=all&amp;country=BR&amp;q=cantigas%20da%20bailarina&amp;search_type=keyword_unordered&amp;media_type=video" TargetMode="External"/><Relationship Id="rId73" Type="http://schemas.openxmlformats.org/officeDocument/2006/relationships/hyperlink" Target="https://www.facebook.com/ads/library/?active_status=active&amp;ad_type=all&amp;country=BR&amp;q=casinha%20de%20papel&amp;search_type=keyword_unordered&amp;media_type=all" TargetMode="External"/><Relationship Id="rId74" Type="http://schemas.openxmlformats.org/officeDocument/2006/relationships/hyperlink" Target="https://www.facebook.com/ads/library/?active_status=active&amp;ad_type=all&amp;country=BR&amp;q=casinha%20de%20papel&amp;search_type=keyword_unordered&amp;media_type=video" TargetMode="External"/><Relationship Id="rId75" Type="http://schemas.openxmlformats.org/officeDocument/2006/relationships/hyperlink" Target="https://www.facebook.com/ads/library/?active_status=active&amp;ad_type=all&amp;country=BR&amp;q=casinha%20dos%20sonhos&amp;search_type=keyword_unordered&amp;media_type=all" TargetMode="External"/><Relationship Id="rId76" Type="http://schemas.openxmlformats.org/officeDocument/2006/relationships/hyperlink" Target="https://www.facebook.com/ads/library/?active_status=active&amp;ad_type=all&amp;country=BR&amp;q=casinha%20dos%20sonhos&amp;search_type=keyword_unordered&amp;media_type=video" TargetMode="External"/><Relationship Id="rId77" Type="http://schemas.openxmlformats.org/officeDocument/2006/relationships/hyperlink" Target="https://www.facebook.com/ads/library/?active_status=active&amp;ad_type=all&amp;country=BR&amp;q=catequese%20infantil&amp;search_type=keyword_unordered&amp;media_type=all" TargetMode="External"/><Relationship Id="rId78" Type="http://schemas.openxmlformats.org/officeDocument/2006/relationships/hyperlink" Target="https://www.facebook.com/ads/library/?active_status=active&amp;ad_type=all&amp;country=BR&amp;q=catequese%20infantil&amp;search_type=keyword_unordered&amp;media_type=video" TargetMode="External"/><Relationship Id="rId79" Type="http://schemas.openxmlformats.org/officeDocument/2006/relationships/hyperlink" Target="https://www.facebook.com/ads/library/?active_status=active&amp;ad_type=all&amp;country=BR&amp;q=clube%20da%20pedagogia&amp;search_type=keyword_unordered&amp;media_type=all" TargetMode="External"/><Relationship Id="rId80" Type="http://schemas.openxmlformats.org/officeDocument/2006/relationships/hyperlink" Target="https://www.facebook.com/ads/library/?active_status=active&amp;ad_type=all&amp;country=BR&amp;q=clube%20da%20pedagogia&amp;search_type=keyword_unordered&amp;media_type=video" TargetMode="External"/><Relationship Id="rId81" Type="http://schemas.openxmlformats.org/officeDocument/2006/relationships/hyperlink" Target="https://www.facebook.com/ads/library/?active_status=active&amp;ad_type=all&amp;country=BR&amp;q=colorindo%20as%20s&#237;labas&amp;search_type=keyword_unordered&amp;media_type=all" TargetMode="External"/><Relationship Id="rId82" Type="http://schemas.openxmlformats.org/officeDocument/2006/relationships/hyperlink" Target="https://www.facebook.com/ads/library/?active_status=active&amp;ad_type=all&amp;country=BR&amp;q=colorindo%20as%20s&#237;labas&amp;search_type=keyword_unordered&amp;media_type=video" TargetMode="External"/><Relationship Id="rId83" Type="http://schemas.openxmlformats.org/officeDocument/2006/relationships/hyperlink" Target="https://www.facebook.com/ads/library/?active_status=active&amp;ad_type=all&amp;country=BR&amp;q=consci&#234;ncia%20fonol&#243;gica&amp;search_type=keyword_unordered&amp;media_type=all" TargetMode="External"/><Relationship Id="rId84" Type="http://schemas.openxmlformats.org/officeDocument/2006/relationships/hyperlink" Target="https://www.facebook.com/ads/library/?active_status=active&amp;ad_type=all&amp;country=BR&amp;q=consci&#234;ncia%20fonol&#243;gica&amp;search_type=keyword_unordered&amp;media_type=video" TargetMode="External"/><Relationship Id="rId85" Type="http://schemas.openxmlformats.org/officeDocument/2006/relationships/hyperlink" Target="https://www.facebook.com/ads/library/?active_status=active&amp;ad_type=all&amp;country=BR&amp;q=copia%20devagar&amp;search_type=keyword_unordered&amp;media_type=all" TargetMode="External"/><Relationship Id="rId86" Type="http://schemas.openxmlformats.org/officeDocument/2006/relationships/hyperlink" Target="https://www.facebook.com/ads/library/?active_status=active&amp;ad_type=all&amp;country=BR&amp;q=copia%20devagar&amp;search_type=keyword_unordered&amp;media_type=video" TargetMode="External"/><Relationship Id="rId87" Type="http://schemas.openxmlformats.org/officeDocument/2006/relationships/hyperlink" Target="https://www.facebook.com/ads/library/?active_status=active&amp;ad_type=all&amp;country=BR&amp;q=coreografia%20casamento&amp;search_type=keyword_unordered&amp;media_type=all" TargetMode="External"/><Relationship Id="rId88" Type="http://schemas.openxmlformats.org/officeDocument/2006/relationships/hyperlink" Target="https://www.facebook.com/ads/library/?active_status=active&amp;ad_type=all&amp;country=BR&amp;q=coreografia%20casamento&amp;search_type=keyword_unordered&amp;media_type=video" TargetMode="External"/><Relationship Id="rId89" Type="http://schemas.openxmlformats.org/officeDocument/2006/relationships/hyperlink" Target="https://www.facebook.com/ads/library/?active_status=active&amp;ad_type=all&amp;country=BR&amp;q=coreografia%20gospel&amp;search_type=keyword_unordered&amp;media_type=all" TargetMode="External"/><Relationship Id="rId90" Type="http://schemas.openxmlformats.org/officeDocument/2006/relationships/hyperlink" Target="https://www.facebook.com/ads/library/?active_status=active&amp;ad_type=all&amp;country=BR&amp;q=coreografia%20gospel&amp;search_type=keyword_unordered&amp;media_type=video" TargetMode="External"/><Relationship Id="rId91" Type="http://schemas.openxmlformats.org/officeDocument/2006/relationships/hyperlink" Target="https://www.facebook.com/ads/library/?active_status=active&amp;ad_type=all&amp;country=BR&amp;q=coreografias%20prontas&amp;search_type=keyword_unordered&amp;media_type=all" TargetMode="External"/><Relationship Id="rId92" Type="http://schemas.openxmlformats.org/officeDocument/2006/relationships/hyperlink" Target="https://www.facebook.com/ads/library/?active_status=active&amp;ad_type=all&amp;country=BR&amp;q=coreografias%20prontas&amp;search_type=keyword_unordered&amp;media_type=video" TargetMode="External"/><Relationship Id="rId93" Type="http://schemas.openxmlformats.org/officeDocument/2006/relationships/hyperlink" Target="https://www.facebook.com/ads/library/?active_status=active&amp;ad_type=all&amp;country=BR&amp;q=crian&#231;a%20aprender%20a%20ler&amp;search_type=keyword_unordered&amp;media_type=all" TargetMode="External"/><Relationship Id="rId94" Type="http://schemas.openxmlformats.org/officeDocument/2006/relationships/hyperlink" Target="https://www.facebook.com/ads/library/?active_status=active&amp;ad_type=all&amp;country=BR&amp;q=crian&#231;a%20aprender%20a%20ler&amp;search_type=keyword_unordered&amp;media_type=video" TargetMode="External"/><Relationship Id="rId95" Type="http://schemas.openxmlformats.org/officeDocument/2006/relationships/hyperlink" Target="https://www.facebook.com/ads/library/?active_status=active&amp;ad_type=all&amp;country=BR&amp;q=curso%20com%20certificado%2050h&amp;search_type=keyword_unordered&amp;media_type=all" TargetMode="External"/><Relationship Id="rId96" Type="http://schemas.openxmlformats.org/officeDocument/2006/relationships/hyperlink" Target="https://www.facebook.com/ads/library/?active_status=active&amp;ad_type=all&amp;country=BR&amp;q=curso%20com%20certificado%2050h&amp;search_type=keyword_unordered&amp;media_type=video" TargetMode="External"/><Relationship Id="rId97" Type="http://schemas.openxmlformats.org/officeDocument/2006/relationships/hyperlink" Target="https://www.facebook.com/ads/library/?active_status=active&amp;ad_type=all&amp;country=BR&amp;q=curso%20de%20dan&#231;a%20do%20ventre%20online&amp;search_type=keyword_unordered&amp;media_type=all" TargetMode="External"/><Relationship Id="rId98" Type="http://schemas.openxmlformats.org/officeDocument/2006/relationships/hyperlink" Target="https://www.facebook.com/ads/library/?active_status=active&amp;ad_type=all&amp;country=BR&amp;q=curso%20de%20dan&#231;a%20do%20ventre%20online&amp;search_type=keyword_unordered&amp;media_type=video" TargetMode="External"/><Relationship Id="rId99" Type="http://schemas.openxmlformats.org/officeDocument/2006/relationships/hyperlink" Target="https://www.facebook.com/ads/library/?active_status=active&amp;ad_type=all&amp;country=BR&amp;q=curso%20de%20forr&#243;%20online&amp;search_type=keyword_unordered&amp;media_type=all" TargetMode="External"/><Relationship Id="rId100" Type="http://schemas.openxmlformats.org/officeDocument/2006/relationships/hyperlink" Target="https://www.facebook.com/ads/library/?active_status=active&amp;ad_type=all&amp;country=BR&amp;q=curso%20de%20forr&#243;%20online&amp;search_type=keyword_unordered&amp;media_type=video" TargetMode="External"/><Relationship Id="rId101" Type="http://schemas.openxmlformats.org/officeDocument/2006/relationships/hyperlink" Target="https://www.facebook.com/ads/library/?active_status=active&amp;ad_type=all&amp;country=BR&amp;q=dan&#231;a%20do%20ventre&amp;search_type=keyword_unordered&amp;media_type=all" TargetMode="External"/><Relationship Id="rId102" Type="http://schemas.openxmlformats.org/officeDocument/2006/relationships/hyperlink" Target="https://www.facebook.com/ads/library/?active_status=active&amp;ad_type=all&amp;country=BR&amp;q=dan&#231;a%20do%20ventre&amp;search_type=keyword_unordered&amp;media_type=video" TargetMode="External"/><Relationship Id="rId103" Type="http://schemas.openxmlformats.org/officeDocument/2006/relationships/hyperlink" Target="https://www.facebook.com/ads/library/?active_status=active&amp;ad_type=all&amp;country=BR&amp;q=dan&#231;a%20dos%20noivos&amp;search_type=keyword_unordered&amp;media_type=all" TargetMode="External"/><Relationship Id="rId104" Type="http://schemas.openxmlformats.org/officeDocument/2006/relationships/hyperlink" Target="https://www.facebook.com/ads/library/?active_status=active&amp;ad_type=all&amp;country=BR&amp;q=dan&#231;a%20dos%20noivos&amp;search_type=keyword_unordered&amp;media_type=video" TargetMode="External"/><Relationship Id="rId105" Type="http://schemas.openxmlformats.org/officeDocument/2006/relationships/hyperlink" Target="https://www.facebook.com/ads/library/?active_status=active&amp;ad_type=all&amp;country=BR&amp;q=dan&#231;a%20gospel&amp;search_type=keyword_unordered&amp;media_type=all" TargetMode="External"/><Relationship Id="rId106" Type="http://schemas.openxmlformats.org/officeDocument/2006/relationships/hyperlink" Target="https://www.facebook.com/ads/library/?active_status=active&amp;ad_type=all&amp;country=BR&amp;q=dan&#231;a%20gospel&amp;search_type=keyword_unordered&amp;media_type=video" TargetMode="External"/><Relationship Id="rId107" Type="http://schemas.openxmlformats.org/officeDocument/2006/relationships/hyperlink" Target="https://www.facebook.com/ads/library/?active_status=active&amp;ad_type=all&amp;country=BR&amp;q=dan&#231;ar%20forr&#243;&amp;search_type=keyword_unordered&amp;media_type=all" TargetMode="External"/><Relationship Id="rId108" Type="http://schemas.openxmlformats.org/officeDocument/2006/relationships/hyperlink" Target="https://www.facebook.com/ads/library/?active_status=active&amp;ad_type=all&amp;country=BR&amp;q=dan&#231;ar%20forr&#243;&amp;search_type=keyword_unordered&amp;media_type=video" TargetMode="External"/><Relationship Id="rId109" Type="http://schemas.openxmlformats.org/officeDocument/2006/relationships/hyperlink" Target="https://www.facebook.com/ads/library/?active_status=active&amp;ad_type=all&amp;country=BR&amp;q=dan&#231;ar%20sem%20passar%20vergonha&amp;search_type=keyword_unordered&amp;media_type=all" TargetMode="External"/><Relationship Id="rId110" Type="http://schemas.openxmlformats.org/officeDocument/2006/relationships/hyperlink" Target="https://www.facebook.com/ads/library/?active_status=active&amp;ad_type=all&amp;country=BR&amp;q=dan&#231;ar%20sem%20passar%20vergonha&amp;search_type=keyword_unordered&amp;media_type=video" TargetMode="External"/><Relationship Id="rId111" Type="http://schemas.openxmlformats.org/officeDocument/2006/relationships/hyperlink" Target="https://www.facebook.com/ads/library/?active_status=active&amp;ad_type=all&amp;country=BR&amp;q=desenho%20da%20alma%20g&#234;mea&amp;search_type=keyword_unordered&amp;media_type=all" TargetMode="External"/><Relationship Id="rId112" Type="http://schemas.openxmlformats.org/officeDocument/2006/relationships/hyperlink" Target="https://www.facebook.com/ads/library/?active_status=active&amp;ad_type=all&amp;country=BR&amp;q=desenho%20da%20alma%20g&#234;mea&amp;search_type=keyword_unordered&amp;media_type=video" TargetMode="External"/><Relationship Id="rId113" Type="http://schemas.openxmlformats.org/officeDocument/2006/relationships/hyperlink" Target="https://www.facebook.com/ads/library/?active_status=active&amp;ad_type=all&amp;country=BR&amp;q=desenho%20de%20moda%20para%20crian&#231;as&amp;search_type=keyword_unordered&amp;media_type=all" TargetMode="External"/><Relationship Id="rId114" Type="http://schemas.openxmlformats.org/officeDocument/2006/relationships/hyperlink" Target="https://www.facebook.com/ads/library/?active_status=active&amp;ad_type=all&amp;country=BR&amp;q=desenho%20de%20moda%20para%20crian&#231;as&amp;search_type=keyword_unordered&amp;media_type=video" TargetMode="External"/><Relationship Id="rId115" Type="http://schemas.openxmlformats.org/officeDocument/2006/relationships/hyperlink" Target="https://www.facebook.com/ads/library/?active_status=active&amp;ad_type=all&amp;country=BR&amp;q=devocional%20infantil&amp;search_type=keyword_unordered&amp;media_type=all" TargetMode="External"/><Relationship Id="rId116" Type="http://schemas.openxmlformats.org/officeDocument/2006/relationships/hyperlink" Target="https://www.facebook.com/ads/library/?active_status=active&amp;ad_type=all&amp;country=BR&amp;q=devocional%20infantil&amp;search_type=keyword_unordered&amp;media_type=video" TargetMode="External"/><Relationship Id="rId117" Type="http://schemas.openxmlformats.org/officeDocument/2006/relationships/hyperlink" Target="https://www.facebook.com/ads/library/?active_status=active&amp;ad_type=all&amp;country=BR&amp;q=dificuldade%20com%20letra%20cursiva&amp;search_type=keyword_unordered&amp;media_type=all" TargetMode="External"/><Relationship Id="rId118" Type="http://schemas.openxmlformats.org/officeDocument/2006/relationships/hyperlink" Target="https://www.facebook.com/ads/library/?active_status=active&amp;ad_type=all&amp;country=BR&amp;q=dificuldade%20com%20letra%20cursiva&amp;search_type=keyword_unordered&amp;media_type=video" TargetMode="External"/><Relationship Id="rId119" Type="http://schemas.openxmlformats.org/officeDocument/2006/relationships/hyperlink" Target="https://www.facebook.com/ads/library/?active_status=active&amp;ad_type=all&amp;country=BR&amp;q=disciplina%20positiva&amp;search_type=keyword_unordered&amp;media_type=all" TargetMode="External"/><Relationship Id="rId120" Type="http://schemas.openxmlformats.org/officeDocument/2006/relationships/hyperlink" Target="https://www.facebook.com/ads/library/?active_status=active&amp;ad_type=all&amp;country=BR&amp;q=disciplina%20positiva&amp;search_type=keyword_unordered&amp;media_type=video" TargetMode="External"/><Relationship Id="rId121" Type="http://schemas.openxmlformats.org/officeDocument/2006/relationships/hyperlink" Target="https://www.facebook.com/ads/library/?active_status=active&amp;ad_type=all&amp;country=BR&amp;q=do%20rabisco%20&#224;%20letra%20bonita&amp;search_type=keyword_unordered&amp;media_type=all" TargetMode="External"/><Relationship Id="rId122" Type="http://schemas.openxmlformats.org/officeDocument/2006/relationships/hyperlink" Target="https://www.facebook.com/ads/library/?active_status=active&amp;ad_type=all&amp;country=BR&amp;q=do%20rabisco%20&#224;%20letra%20bonita&amp;search_type=keyword_unordered&amp;media_type=video" TargetMode="External"/><Relationship Id="rId123" Type="http://schemas.openxmlformats.org/officeDocument/2006/relationships/hyperlink" Target="https://www.facebook.com/ads/library/?active_status=active&amp;ad_type=all&amp;country=BR&amp;q=educa&#231;&#227;o%20especial%20atividades&amp;search_type=keyword_unordered&amp;media_type=all" TargetMode="External"/><Relationship Id="rId124" Type="http://schemas.openxmlformats.org/officeDocument/2006/relationships/hyperlink" Target="https://www.facebook.com/ads/library/?active_status=active&amp;ad_type=all&amp;country=BR&amp;q=educa&#231;&#227;o%20especial%20atividades&amp;search_type=keyword_unordered&amp;media_type=video" TargetMode="External"/><Relationship Id="rId125" Type="http://schemas.openxmlformats.org/officeDocument/2006/relationships/hyperlink" Target="https://www.facebook.com/ads/library/?active_status=active&amp;ad_type=all&amp;country=BR&amp;q=educa&#231;&#227;o%20f&#237;sica%20ead&amp;search_type=keyword_unordered&amp;media_type=all" TargetMode="External"/><Relationship Id="rId126" Type="http://schemas.openxmlformats.org/officeDocument/2006/relationships/hyperlink" Target="https://www.facebook.com/ads/library/?active_status=active&amp;ad_type=all&amp;country=BR&amp;q=educa&#231;&#227;o%20f&#237;sica%20ead&amp;search_type=keyword_unordered&amp;media_type=video" TargetMode="External"/><Relationship Id="rId127" Type="http://schemas.openxmlformats.org/officeDocument/2006/relationships/hyperlink" Target="https://www.facebook.com/ads/library/?active_status=active&amp;ad_type=all&amp;country=BR&amp;q=educa&#231;&#227;o%20f&#237;sica%20escolar&amp;search_type=keyword_unordered&amp;media_type=all" TargetMode="External"/><Relationship Id="rId128" Type="http://schemas.openxmlformats.org/officeDocument/2006/relationships/hyperlink" Target="https://www.facebook.com/ads/library/?active_status=active&amp;ad_type=all&amp;country=BR&amp;q=educa&#231;&#227;o%20f&#237;sica%20escolar&amp;search_type=keyword_unordered&amp;media_type=video" TargetMode="External"/><Relationship Id="rId129" Type="http://schemas.openxmlformats.org/officeDocument/2006/relationships/hyperlink" Target="https://www.facebook.com/ads/library/?active_status=active&amp;ad_type=all&amp;country=BR&amp;q=forr&#243;%20do%20zero&amp;search_type=keyword_unordered&amp;media_type=all" TargetMode="External"/><Relationship Id="rId130" Type="http://schemas.openxmlformats.org/officeDocument/2006/relationships/hyperlink" Target="https://www.facebook.com/ads/library/?active_status=active&amp;ad_type=all&amp;country=BR&amp;q=forr&#243;%20do%20zero&amp;search_type=keyword_unordered&amp;media_type=video" TargetMode="External"/><Relationship Id="rId131" Type="http://schemas.openxmlformats.org/officeDocument/2006/relationships/hyperlink" Target="https://www.facebook.com/ads/library/?active_status=active&amp;ad_type=all&amp;country=BR&amp;q=grafismo&amp;search_type=keyword_unordered&amp;media_type=all" TargetMode="External"/><Relationship Id="rId132" Type="http://schemas.openxmlformats.org/officeDocument/2006/relationships/hyperlink" Target="https://www.facebook.com/ads/library/?active_status=active&amp;ad_type=all&amp;country=BR&amp;q=grafismo&amp;search_type=keyword_unordered&amp;media_type=video" TargetMode="External"/><Relationship Id="rId133" Type="http://schemas.openxmlformats.org/officeDocument/2006/relationships/hyperlink" Target="https://www.facebook.com/ads/library/?active_status=active&amp;ad_type=all&amp;country=BR&amp;q=grafismo%20fon&#233;tico&amp;search_type=keyword_unordered&amp;media_type=all" TargetMode="External"/><Relationship Id="rId134" Type="http://schemas.openxmlformats.org/officeDocument/2006/relationships/hyperlink" Target="https://www.facebook.com/ads/library/?active_status=active&amp;ad_type=all&amp;country=BR&amp;q=grafismo%20fon&#233;tico&amp;search_type=keyword_unordered&amp;media_type=video" TargetMode="External"/><Relationship Id="rId135" Type="http://schemas.openxmlformats.org/officeDocument/2006/relationships/hyperlink" Target="https://www.facebook.com/ads/library/?active_status=active&amp;ad_type=all&amp;country=BR&amp;q=hidrogin&#225;stica%20curso&amp;search_type=keyword_unordered&amp;media_type=all" TargetMode="External"/><Relationship Id="rId136" Type="http://schemas.openxmlformats.org/officeDocument/2006/relationships/hyperlink" Target="https://www.facebook.com/ads/library/?active_status=active&amp;ad_type=all&amp;country=BR&amp;q=hidrogin&#225;stica%20curso&amp;search_type=keyword_unordered&amp;media_type=video" TargetMode="External"/><Relationship Id="rId137" Type="http://schemas.openxmlformats.org/officeDocument/2006/relationships/hyperlink" Target="https://www.facebook.com/ads/library/?active_status=active&amp;ad_type=all&amp;country=BR&amp;q=hist&#243;rias%20b&#237;blicas%20crian&#231;as&amp;search_type=keyword_unordered&amp;media_type=all" TargetMode="External"/><Relationship Id="rId138" Type="http://schemas.openxmlformats.org/officeDocument/2006/relationships/hyperlink" Target="https://www.facebook.com/ads/library/?active_status=active&amp;ad_type=all&amp;country=BR&amp;q=hist&#243;rias%20b&#237;blicas%20crian&#231;as&amp;search_type=keyword_unordered&amp;media_type=video" TargetMode="External"/><Relationship Id="rId139" Type="http://schemas.openxmlformats.org/officeDocument/2006/relationships/hyperlink" Target="https://www.facebook.com/ads/library/?active_status=active&amp;ad_type=all&amp;country=BR&amp;q=Kit%20300%20Aulas&amp;search_type=keyword_unordered&amp;media_type=all" TargetMode="External"/><Relationship Id="rId140" Type="http://schemas.openxmlformats.org/officeDocument/2006/relationships/hyperlink" Target="https://www.facebook.com/ads/library/?active_status=active&amp;ad_type=all&amp;country=BR&amp;q=Kit%20300%20Aulas&amp;search_type=keyword_unordered&amp;media_type=video" TargetMode="External"/><Relationship Id="rId141" Type="http://schemas.openxmlformats.org/officeDocument/2006/relationships/hyperlink" Target="https://www.facebook.com/ads/library/?active_status=active&amp;ad_type=all&amp;country=BR&amp;q=letra%20cursiva&amp;search_type=keyword_unordered&amp;media_type=all" TargetMode="External"/><Relationship Id="rId142" Type="http://schemas.openxmlformats.org/officeDocument/2006/relationships/hyperlink" Target="https://www.facebook.com/ads/library/?active_status=active&amp;ad_type=all&amp;country=BR&amp;q=letra%20cursiva&amp;search_type=keyword_unordered&amp;media_type=video" TargetMode="External"/><Relationship Id="rId143" Type="http://schemas.openxmlformats.org/officeDocument/2006/relationships/hyperlink" Target="https://www.facebook.com/ads/library/?active_status=active&amp;ad_type=all&amp;country=BR&amp;q=letra%20feia&amp;search_type=keyword_unordered&amp;media_type=all" TargetMode="External"/><Relationship Id="rId144" Type="http://schemas.openxmlformats.org/officeDocument/2006/relationships/hyperlink" Target="https://www.facebook.com/ads/library/?active_status=active&amp;ad_type=all&amp;country=BR&amp;q=letra%20feia&amp;search_type=keyword_unordered&amp;media_type=video" TargetMode="External"/><Relationship Id="rId145" Type="http://schemas.openxmlformats.org/officeDocument/2006/relationships/hyperlink" Target="https://www.facebook.com/ads/library/?active_status=active&amp;ad_type=all&amp;country=BR&amp;q=licao%20kids&amp;search_type=keyword_unordered&amp;media_type=all" TargetMode="External"/><Relationship Id="rId146" Type="http://schemas.openxmlformats.org/officeDocument/2006/relationships/hyperlink" Target="https://www.facebook.com/ads/library/?active_status=active&amp;ad_type=all&amp;country=BR&amp;q=licao%20kids&amp;search_type=keyword_unordered&amp;media_type=video" TargetMode="External"/><Relationship Id="rId147" Type="http://schemas.openxmlformats.org/officeDocument/2006/relationships/hyperlink" Target="https://www.facebook.com/ads/library/?active_status=active&amp;ad_type=all&amp;country=BR&amp;q=little%20genius&amp;search_type=keyword_unordered&amp;media_type=all" TargetMode="External"/><Relationship Id="rId148" Type="http://schemas.openxmlformats.org/officeDocument/2006/relationships/hyperlink" Target="https://www.facebook.com/ads/library/?active_status=active&amp;ad_type=all&amp;country=BR&amp;q=little%20genius&amp;search_type=keyword_unordered&amp;media_type=video" TargetMode="External"/><Relationship Id="rId149" Type="http://schemas.openxmlformats.org/officeDocument/2006/relationships/hyperlink" Target="https://www.facebook.com/ads/library/?active_status=active&amp;ad_type=all&amp;country=BR&amp;q=matem&#225;tica%204%20opera&#231;&#245;es%20atividades&amp;search_type=keyword_unordered&amp;media_type=all" TargetMode="External"/><Relationship Id="rId150" Type="http://schemas.openxmlformats.org/officeDocument/2006/relationships/hyperlink" Target="https://www.facebook.com/ads/library/?active_status=active&amp;ad_type=all&amp;country=BR&amp;q=matem&#225;tica%204%20opera&#231;&#245;es%20atividades&amp;search_type=keyword_unordered&amp;media_type=video" TargetMode="External"/><Relationship Id="rId151" Type="http://schemas.openxmlformats.org/officeDocument/2006/relationships/hyperlink" Target="https://www.facebook.com/ads/library/?active_status=active&amp;ad_type=all&amp;country=BR&amp;q=minist&#233;rio%20de%20dan&#231;a&amp;search_type=keyword_unordered&amp;media_type=all" TargetMode="External"/><Relationship Id="rId152" Type="http://schemas.openxmlformats.org/officeDocument/2006/relationships/hyperlink" Target="https://www.facebook.com/ads/library/?active_status=active&amp;ad_type=all&amp;country=BR&amp;q=minist&#233;rio%20de%20dan&#231;a&amp;search_type=keyword_unordered&amp;media_type=video" TargetMode="External"/><Relationship Id="rId153" Type="http://schemas.openxmlformats.org/officeDocument/2006/relationships/hyperlink" Target="https://www.facebook.com/ads/library/?active_status=active&amp;ad_type=all&amp;country=BR&amp;q=missa%20em%20atividades&amp;search_type=keyword_unordered&amp;media_type=all" TargetMode="External"/><Relationship Id="rId154" Type="http://schemas.openxmlformats.org/officeDocument/2006/relationships/hyperlink" Target="https://www.facebook.com/ads/library/?active_status=active&amp;ad_type=all&amp;country=BR&amp;q=missa%20em%20atividades&amp;search_type=keyword_unordered&amp;media_type=video" TargetMode="External"/><Relationship Id="rId155" Type="http://schemas.openxmlformats.org/officeDocument/2006/relationships/hyperlink" Target="https://www.facebook.com/ads/library/?active_status=active&amp;ad_type=all&amp;country=BR&amp;q=moldes%20de%20roupa%20de%20papel&amp;search_type=keyword_unordered&amp;media_type=all" TargetMode="External"/><Relationship Id="rId156" Type="http://schemas.openxmlformats.org/officeDocument/2006/relationships/hyperlink" Target="https://www.facebook.com/ads/library/?active_status=active&amp;ad_type=all&amp;country=BR&amp;q=moldes%20de%20roupa%20de%20papel&amp;search_type=keyword_unordered&amp;media_type=video" TargetMode="External"/><Relationship Id="rId157" Type="http://schemas.openxmlformats.org/officeDocument/2006/relationships/hyperlink" Target="https://www.facebook.com/ads/library/?active_status=active&amp;ad_type=all&amp;country=BR&amp;q=movimentos%20para%20ministra&#231;&#227;o&amp;search_type=keyword_unordered&amp;media_type=all" TargetMode="External"/><Relationship Id="rId158" Type="http://schemas.openxmlformats.org/officeDocument/2006/relationships/hyperlink" Target="https://www.facebook.com/ads/library/?active_status=active&amp;ad_type=all&amp;country=BR&amp;q=movimentos%20para%20ministra&#231;&#227;o&amp;search_type=keyword_unordered&amp;media_type=video" TargetMode="External"/><Relationship Id="rId159" Type="http://schemas.openxmlformats.org/officeDocument/2006/relationships/hyperlink" Target="https://www.facebook.com/ads/library/?active_status=active&amp;ad_type=all&amp;country=BR&amp;q=mundinho%20de%20papel&amp;search_type=keyword_unordered&amp;media_type=all" TargetMode="External"/><Relationship Id="rId160" Type="http://schemas.openxmlformats.org/officeDocument/2006/relationships/hyperlink" Target="https://www.facebook.com/ads/library/?active_status=active&amp;ad_type=all&amp;country=BR&amp;q=mundinho%20de%20papel&amp;search_type=keyword_unordered&amp;media_type=video" TargetMode="External"/><Relationship Id="rId161" Type="http://schemas.openxmlformats.org/officeDocument/2006/relationships/hyperlink" Target="https://www.facebook.com/ads/library/?active_status=active&amp;ad_type=all&amp;country=BR&amp;q=m&#233;todo%20de%20alfabetiza&#231;&#227;o&amp;search_type=keyword_unordered&amp;media_type=all" TargetMode="External"/><Relationship Id="rId162" Type="http://schemas.openxmlformats.org/officeDocument/2006/relationships/hyperlink" Target="https://www.facebook.com/ads/library/?active_status=active&amp;ad_type=all&amp;country=BR&amp;q=m&#233;todo%20de%20alfabetiza&#231;&#227;o&amp;search_type=keyword_unordered&amp;media_type=video" TargetMode="External"/><Relationship Id="rId163" Type="http://schemas.openxmlformats.org/officeDocument/2006/relationships/hyperlink" Target="https://www.facebook.com/ads/library/?active_status=active&amp;ad_type=all&amp;country=BR&amp;q=NeuroOctoMusical&amp;search_type=keyword_unordered&amp;media_type=all" TargetMode="External"/><Relationship Id="rId164" Type="http://schemas.openxmlformats.org/officeDocument/2006/relationships/hyperlink" Target="https://www.facebook.com/ads/library/?active_status=active&amp;ad_type=all&amp;country=BR&amp;q=NeuroOctoMusical&amp;search_type=keyword_unordered&amp;media_type=video" TargetMode="External"/><Relationship Id="rId165" Type="http://schemas.openxmlformats.org/officeDocument/2006/relationships/hyperlink" Target="https://www.facebook.com/ads/library/?active_status=active&amp;ad_type=all&amp;country=BR&amp;q=painel%20interativo%20alfabetiza&#231;&#227;o&amp;search_type=keyword_unordered&amp;media_type=all" TargetMode="External"/><Relationship Id="rId166" Type="http://schemas.openxmlformats.org/officeDocument/2006/relationships/hyperlink" Target="https://www.facebook.com/ads/library/?active_status=active&amp;ad_type=all&amp;country=BR&amp;q=painel%20interativo%20alfabetiza&#231;&#227;o&amp;search_type=keyword_unordered&amp;media_type=video" TargetMode="External"/><Relationship Id="rId167" Type="http://schemas.openxmlformats.org/officeDocument/2006/relationships/hyperlink" Target="https://www.facebook.com/ads/library/?active_status=active&amp;ad_type=all&amp;country=BR&amp;q=parar%20de%20gritar%20com%20filho&amp;search_type=keyword_unordered&amp;media_type=all" TargetMode="External"/><Relationship Id="rId168" Type="http://schemas.openxmlformats.org/officeDocument/2006/relationships/hyperlink" Target="https://www.facebook.com/ads/library/?active_status=active&amp;ad_type=all&amp;country=BR&amp;q=parar%20de%20gritar%20com%20filho&amp;search_type=keyword_unordered&amp;media_type=video" TargetMode="External"/><Relationship Id="rId169" Type="http://schemas.openxmlformats.org/officeDocument/2006/relationships/hyperlink" Target="https://www.facebook.com/ads/library/?active_status=active&amp;ad_type=all&amp;country=BR&amp;q=par&#225;bolas%20b&#237;blicas%20para%20crian&#231;as&amp;search_type=keyword_unordered&amp;media_type=all" TargetMode="External"/><Relationship Id="rId170" Type="http://schemas.openxmlformats.org/officeDocument/2006/relationships/hyperlink" Target="https://www.facebook.com/ads/library/?active_status=active&amp;ad_type=all&amp;country=BR&amp;q=par&#225;bolas%20b&#237;blicas%20para%20crian&#231;as&amp;search_type=keyword_unordered&amp;media_type=video" TargetMode="External"/><Relationship Id="rId171" Type="http://schemas.openxmlformats.org/officeDocument/2006/relationships/hyperlink" Target="https://www.facebook.com/ads/library/?active_status=active&amp;ad_type=all&amp;country=BR&amp;q=pequenas%20estilistas&amp;search_type=keyword_unordered&amp;media_type=all" TargetMode="External"/><Relationship Id="rId172" Type="http://schemas.openxmlformats.org/officeDocument/2006/relationships/hyperlink" Target="https://www.facebook.com/ads/library/?active_status=active&amp;ad_type=all&amp;country=BR&amp;q=pequenas%20estilistas&amp;search_type=keyword_unordered&amp;media_type=video" TargetMode="External"/><Relationship Id="rId173" Type="http://schemas.openxmlformats.org/officeDocument/2006/relationships/hyperlink" Target="https://www.facebook.com/ads/library/?active_status=active&amp;ad_type=all&amp;country=BR&amp;q=plano%20de%20aula%20educa&#231;&#227;o%20f&#237;sica&amp;search_type=keyword_unordered&amp;media_type=all" TargetMode="External"/><Relationship Id="rId174" Type="http://schemas.openxmlformats.org/officeDocument/2006/relationships/hyperlink" Target="https://www.facebook.com/ads/library/?active_status=active&amp;ad_type=all&amp;country=BR&amp;q=plano%20de%20aula%20educa&#231;&#227;o%20f&#237;sica&amp;search_type=keyword_unordered&amp;media_type=video" TargetMode="External"/><Relationship Id="rId175" Type="http://schemas.openxmlformats.org/officeDocument/2006/relationships/hyperlink" Target="https://www.facebook.com/ads/library/?active_status=active&amp;ad_type=all&amp;country=BR&amp;q=planos%20de%20aula%20educa&#231;&#227;o%20infantil&amp;search_type=keyword_unordered&amp;media_type=all" TargetMode="External"/><Relationship Id="rId176" Type="http://schemas.openxmlformats.org/officeDocument/2006/relationships/hyperlink" Target="https://www.facebook.com/ads/library/?active_status=active&amp;ad_type=all&amp;country=BR&amp;q=planos%20de%20aula%20educa&#231;&#227;o%20infantil&amp;search_type=keyword_unordered&amp;media_type=video" TargetMode="External"/><Relationship Id="rId177" Type="http://schemas.openxmlformats.org/officeDocument/2006/relationships/hyperlink" Target="https://www.facebook.com/ads/library/?active_status=active&amp;ad_type=all&amp;country=BR&amp;q=professora%20de%20ballet&amp;search_type=keyword_unordered&amp;media_type=all" TargetMode="External"/><Relationship Id="rId178" Type="http://schemas.openxmlformats.org/officeDocument/2006/relationships/hyperlink" Target="https://www.facebook.com/ads/library/?active_status=active&amp;ad_type=all&amp;country=BR&amp;q=professora%20de%20ballet&amp;search_type=keyword_unordered&amp;media_type=video" TargetMode="External"/><Relationship Id="rId179" Type="http://schemas.openxmlformats.org/officeDocument/2006/relationships/hyperlink" Target="https://www.facebook.com/ads/library/?active_status=active&amp;ad_type=all&amp;country=BR&amp;q=retrato%20da%20alma%20g&#234;mea&amp;search_type=keyword_unordered&amp;media_type=all" TargetMode="External"/><Relationship Id="rId180" Type="http://schemas.openxmlformats.org/officeDocument/2006/relationships/hyperlink" Target="https://www.facebook.com/ads/library/?active_status=active&amp;ad_type=all&amp;country=BR&amp;q=retrato%20da%20alma%20g&#234;mea&amp;search_type=keyword_unordered&amp;media_type=video" TargetMode="External"/><Relationship Id="rId181" Type="http://schemas.openxmlformats.org/officeDocument/2006/relationships/hyperlink" Target="https://www.facebook.com/ads/library/?active_status=active&amp;ad_type=all&amp;country=BR&amp;q=rosto%20da%20sua%20alma%20g&#234;mea&amp;search_type=keyword_unordered&amp;media_type=all" TargetMode="External"/><Relationship Id="rId182" Type="http://schemas.openxmlformats.org/officeDocument/2006/relationships/hyperlink" Target="https://www.facebook.com/ads/library/?active_status=active&amp;ad_type=all&amp;country=BR&amp;q=rosto%20da%20sua%20alma%20g&#234;mea&amp;search_type=keyword_unordered&amp;media_type=video" TargetMode="External"/><Relationship Id="rId183" Type="http://schemas.openxmlformats.org/officeDocument/2006/relationships/hyperlink" Target="https://www.facebook.com/ads/library/?active_status=active&amp;ad_type=all&amp;country=BR&amp;q=rotina%20infantil&amp;search_type=keyword_unordered&amp;media_type=all" TargetMode="External"/><Relationship Id="rId184" Type="http://schemas.openxmlformats.org/officeDocument/2006/relationships/hyperlink" Target="https://www.facebook.com/ads/library/?active_status=active&amp;ad_type=all&amp;country=BR&amp;q=rotina%20infantil&amp;search_type=keyword_unordered&amp;media_type=video" TargetMode="External"/><Relationship Id="rId185" Type="http://schemas.openxmlformats.org/officeDocument/2006/relationships/hyperlink" Target="https://www.facebook.com/ads/library/?active_status=active&amp;ad_type=all&amp;country=BR&amp;q=soulmate%20sketch&amp;search_type=keyword_unordered&amp;media_type=all" TargetMode="External"/><Relationship Id="rId186" Type="http://schemas.openxmlformats.org/officeDocument/2006/relationships/hyperlink" Target="https://www.facebook.com/ads/library/?active_status=active&amp;ad_type=all&amp;country=BR&amp;q=soulmate%20sketch&amp;search_type=keyword_unordered&amp;media_type=video" TargetMode="External"/><Relationship Id="rId187" Type="http://schemas.openxmlformats.org/officeDocument/2006/relationships/hyperlink" Target="https://www.facebook.com/ads/library/?active_status=active&amp;ad_type=all&amp;country=BR&amp;q=tribal%20fusion&amp;search_type=keyword_unordered&amp;media_type=all" TargetMode="External"/><Relationship Id="rId188" Type="http://schemas.openxmlformats.org/officeDocument/2006/relationships/hyperlink" Target="https://www.facebook.com/ads/library/?active_status=active&amp;ad_type=all&amp;country=BR&amp;q=tribal%20fusion&amp;search_type=keyword_unordered&amp;media_type=video" TargetMode="External"/><Relationship Id="rId189" Type="http://schemas.openxmlformats.org/officeDocument/2006/relationships/hyperlink" Target="https://www.facebook.com/ads/library/?active_status=active&amp;ad_type=all&amp;country=BR&amp;q=valores%20crist&#227;os%20kids&amp;search_type=keyword_unordered&amp;media_type=all" TargetMode="External"/><Relationship Id="rId190" Type="http://schemas.openxmlformats.org/officeDocument/2006/relationships/hyperlink" Target="https://www.facebook.com/ads/library/?active_status=active&amp;ad_type=all&amp;country=BR&amp;q=valores%20crist&#227;os%20kids&amp;search_type=keyword_unordered&amp;media_type=video" TargetMode="External"/><Relationship Id="rId191" Type="http://schemas.openxmlformats.org/officeDocument/2006/relationships/hyperlink" Target="https://www.facebook.com/ads/library/?active_status=active&amp;ad_type=all&amp;country=BR&amp;q=valsa%20dos%20noivos%20online&amp;search_type=keyword_unordered&amp;media_type=all" TargetMode="External"/><Relationship Id="rId192" Type="http://schemas.openxmlformats.org/officeDocument/2006/relationships/hyperlink" Target="https://www.facebook.com/ads/library/?active_status=active&amp;ad_type=all&amp;country=BR&amp;q=valsa%20dos%20noivos%20online&amp;search_type=keyword_unordered&amp;media_type=video" TargetMode="External"/><Relationship Id="rId193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facebook.com/ads/library/?active_status=active&amp;ad_type=all&amp;country=BR&amp;q=abrir%20mei%20online&amp;search_type=keyword_unordered&amp;media_type=all" TargetMode="External"/><Relationship Id="rId2" Type="http://schemas.openxmlformats.org/officeDocument/2006/relationships/hyperlink" Target="https://www.facebook.com/ads/library/?active_status=active&amp;ad_type=all&amp;country=BR&amp;q=cursos%20gratis%20online%20certificado&amp;search_type=keyword_unordered&amp;media_type=all" TargetMode="External"/><Relationship Id="rId3" Type="http://schemas.openxmlformats.org/officeDocument/2006/relationships/hyperlink" Target="https://www.facebook.com/ads/library/?active_status=active&amp;ad_type=all&amp;country=BR&amp;q=certificado%20curso%20online&amp;search_type=keyword_unordered&amp;media_type=all" TargetMode="External"/><Relationship Id="rId4" Type="http://schemas.openxmlformats.org/officeDocument/2006/relationships/hyperlink" Target="https://www.facebook.com/ads/library/?active_status=active&amp;ad_type=all&amp;country=BR&amp;q=assistir%20videos%20e%20ganhar%20dinheiro&amp;search_type=keyword_unordered&amp;media_type=all" TargetMode="External"/><Relationship Id="rId5" Type="http://schemas.openxmlformats.org/officeDocument/2006/relationships/hyperlink" Target="https://www.facebook.com/ads/library/?active_status=active&amp;ad_type=all&amp;country=BR&amp;q=Google%20Captcha%20ganhar%20dinheiro&amp;search_type=keyword_unordered&amp;media_type=all" TargetMode="External"/><Relationship Id="rId6" Type="http://schemas.openxmlformats.org/officeDocument/2006/relationships/hyperlink" Target="https://www.facebook.com/ads/library/?active_status=active&amp;ad_type=all&amp;country=BR&amp;q=Cash%20no%20Pix&amp;search_type=keyword_unordered&amp;media_type=all" TargetMode="External"/><Relationship Id="rId7" Type="http://schemas.openxmlformats.org/officeDocument/2006/relationships/hyperlink" Target="https://www.facebook.com/ads/library/?active_status=active&amp;ad_type=all&amp;country=BR&amp;q=Stalkea&amp;search_type=keyword_unordered&amp;media_type=all" TargetMode="External"/><Relationship Id="rId8" Type="http://schemas.openxmlformats.org/officeDocument/2006/relationships/hyperlink" Target="https://www.facebook.com/ads/library/?active_status=active&amp;ad_type=all&amp;country=BR&amp;q=Treino%20Trinca&amp;search_type=keyword_unordered&amp;media_type=all" TargetMode="External"/><Relationship Id="rId9" Type="http://schemas.openxmlformats.org/officeDocument/2006/relationships/hyperlink" Target="https://www.facebook.com/ads/library/?active_status=active&amp;ad_type=all&amp;country=BR&amp;q=unlovable&amp;search_type=keyword_unordered&amp;media_type=all" TargetMode="External"/><Relationship Id="rId10" Type="http://schemas.openxmlformats.org/officeDocument/2006/relationships/hyperlink" Target="https://www.facebook.com/ads/library/?active_status=active&amp;ad_type=all&amp;country=BR&amp;q=Gestor%20IA&amp;search_type=keyword_unordered&amp;media_type=al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40"/>
    <col collapsed="false" customWidth="true" hidden="false" outlineLevel="0" max="16" min="16" style="0" width="36"/>
    <col collapsed="false" customWidth="true" hidden="false" outlineLevel="0" max="18" min="17" style="0" width="22"/>
    <col collapsed="false" customWidth="true" hidden="false" outlineLevel="0" max="19" min="19" style="0" width="36"/>
    <col collapsed="false" customWidth="true" hidden="false" outlineLevel="0" max="20" min="20" style="0" width="30"/>
    <col collapsed="false" customWidth="true" hidden="false" outlineLevel="0" max="22" min="21" style="0" width="10"/>
    <col collapsed="false" customWidth="true" hidden="false" outlineLevel="0" max="23" min="23" style="0" width="12"/>
    <col collapsed="false" customWidth="true" hidden="false" outlineLevel="0" max="24" min="24" style="0" width="14"/>
    <col collapsed="false" customWidth="true" hidden="false" outlineLevel="0" max="25" min="25" style="0" width="60"/>
    <col collapsed="false" customWidth="true" hidden="false" outlineLevel="0" max="26" min="26" style="0" width="40"/>
    <col collapsed="false" customWidth="true" hidden="false" outlineLevel="0" max="27" min="27" style="0" width="2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90" hidden="false" customHeight="true" outlineLevel="0" collapsed="false">
      <c r="A2" s="2" t="n">
        <v>1</v>
      </c>
      <c r="B2" s="3" t="s">
        <v>27</v>
      </c>
      <c r="C2" s="3" t="s">
        <v>28</v>
      </c>
      <c r="D2" s="4" t="n">
        <v>5</v>
      </c>
      <c r="E2" s="4" t="n">
        <v>9</v>
      </c>
      <c r="F2" s="2" t="str">
        <f aca="false">IF(E2&gt;=9,"Muito fácil",IF(E2&gt;=7,"Fácil",IF(E2&gt;=5,"Média",IF(E2&gt;=3,"Difícil","Muito difícil"))))</f>
        <v>Muito fácil</v>
      </c>
      <c r="G2" s="5" t="n">
        <f aca="false">ROUND(D2*2*0.5+E2*0.5,1)</f>
        <v>9.5</v>
      </c>
      <c r="H2" s="3" t="s">
        <v>29</v>
      </c>
      <c r="I2" s="4" t="n">
        <v>14</v>
      </c>
      <c r="J2" s="4" t="n">
        <v>6</v>
      </c>
      <c r="K2" s="6" t="n">
        <v>46266</v>
      </c>
      <c r="L2" s="7" t="n">
        <f aca="false">IF(ISNUMBER(K2),DATE(2026,9,26)-K2,"—")</f>
        <v>25</v>
      </c>
      <c r="M2" s="4" t="n">
        <v>1826</v>
      </c>
      <c r="N2" s="4" t="n">
        <v>206</v>
      </c>
      <c r="O2" s="3" t="s">
        <v>30</v>
      </c>
      <c r="P2" s="8" t="s">
        <v>31</v>
      </c>
      <c r="Q2" s="9" t="s">
        <v>32</v>
      </c>
      <c r="R2" s="9" t="s">
        <v>33</v>
      </c>
      <c r="S2" s="3" t="s">
        <v>34</v>
      </c>
      <c r="T2" s="9" t="s">
        <v>35</v>
      </c>
      <c r="U2" s="10" t="n">
        <v>29</v>
      </c>
      <c r="V2" s="10" t="n">
        <v>45</v>
      </c>
      <c r="W2" s="2" t="s">
        <v>36</v>
      </c>
      <c r="X2" s="2" t="s">
        <v>37</v>
      </c>
      <c r="Y2" s="3" t="s">
        <v>38</v>
      </c>
      <c r="Z2" s="3" t="s">
        <v>39</v>
      </c>
      <c r="AA2" s="2" t="s">
        <v>40</v>
      </c>
    </row>
    <row r="3" customFormat="false" ht="90" hidden="false" customHeight="true" outlineLevel="0" collapsed="false">
      <c r="A3" s="2" t="n">
        <v>2</v>
      </c>
      <c r="B3" s="3" t="s">
        <v>41</v>
      </c>
      <c r="C3" s="3" t="s">
        <v>42</v>
      </c>
      <c r="D3" s="4" t="n">
        <v>5</v>
      </c>
      <c r="E3" s="4" t="n">
        <v>7</v>
      </c>
      <c r="F3" s="2" t="str">
        <f aca="false">IF(E3&gt;=9,"Muito fácil",IF(E3&gt;=7,"Fácil",IF(E3&gt;=5,"Média",IF(E3&gt;=3,"Difícil","Muito difícil"))))</f>
        <v>Fácil</v>
      </c>
      <c r="G3" s="5" t="n">
        <f aca="false">ROUND(D3*2*0.5+E3*0.5,1)</f>
        <v>8.5</v>
      </c>
      <c r="H3" s="3" t="s">
        <v>43</v>
      </c>
      <c r="I3" s="4" t="n">
        <v>9</v>
      </c>
      <c r="J3" s="4" t="n">
        <v>0</v>
      </c>
      <c r="K3" s="6" t="n">
        <v>46171</v>
      </c>
      <c r="L3" s="7" t="n">
        <f aca="false">IF(ISNUMBER(K3),DATE(2026,9,26)-K3,"—")</f>
        <v>120</v>
      </c>
      <c r="M3" s="4" t="s">
        <v>44</v>
      </c>
      <c r="N3" s="4" t="n">
        <v>177</v>
      </c>
      <c r="O3" s="3" t="s">
        <v>45</v>
      </c>
      <c r="P3" s="8" t="s">
        <v>46</v>
      </c>
      <c r="Q3" s="9" t="s">
        <v>32</v>
      </c>
      <c r="R3" s="9" t="s">
        <v>47</v>
      </c>
      <c r="S3" s="3" t="s">
        <v>48</v>
      </c>
      <c r="T3" s="9" t="s">
        <v>49</v>
      </c>
      <c r="U3" s="10"/>
      <c r="V3" s="10"/>
      <c r="W3" s="2" t="s">
        <v>44</v>
      </c>
      <c r="X3" s="2" t="s">
        <v>50</v>
      </c>
      <c r="Y3" s="3" t="s">
        <v>51</v>
      </c>
      <c r="Z3" s="3" t="s">
        <v>52</v>
      </c>
      <c r="AA3" s="2" t="s">
        <v>53</v>
      </c>
    </row>
    <row r="4" customFormat="false" ht="90" hidden="false" customHeight="true" outlineLevel="0" collapsed="false">
      <c r="A4" s="2" t="n">
        <v>3</v>
      </c>
      <c r="B4" s="3" t="s">
        <v>54</v>
      </c>
      <c r="C4" s="3" t="s">
        <v>55</v>
      </c>
      <c r="D4" s="4" t="n">
        <v>4</v>
      </c>
      <c r="E4" s="4" t="n">
        <v>9</v>
      </c>
      <c r="F4" s="2" t="str">
        <f aca="false">IF(E4&gt;=9,"Muito fácil",IF(E4&gt;=7,"Fácil",IF(E4&gt;=5,"Média",IF(E4&gt;=3,"Difícil","Muito difícil"))))</f>
        <v>Muito fácil</v>
      </c>
      <c r="G4" s="5" t="n">
        <f aca="false">ROUND(D4*2*0.5+E4*0.5,1)</f>
        <v>8.5</v>
      </c>
      <c r="H4" s="3" t="s">
        <v>43</v>
      </c>
      <c r="I4" s="4" t="n">
        <v>11</v>
      </c>
      <c r="J4" s="4" t="n">
        <v>0</v>
      </c>
      <c r="K4" s="6" t="n">
        <v>46153</v>
      </c>
      <c r="L4" s="7" t="n">
        <f aca="false">IF(ISNUMBER(K4),DATE(2026,9,26)-K4,"—")</f>
        <v>138</v>
      </c>
      <c r="M4" s="4" t="s">
        <v>44</v>
      </c>
      <c r="N4" s="4" t="n">
        <v>1</v>
      </c>
      <c r="O4" s="3" t="s">
        <v>56</v>
      </c>
      <c r="P4" s="8" t="s">
        <v>57</v>
      </c>
      <c r="Q4" s="9" t="s">
        <v>32</v>
      </c>
      <c r="R4" s="9" t="s">
        <v>58</v>
      </c>
      <c r="S4" s="3" t="s">
        <v>59</v>
      </c>
      <c r="T4" s="9" t="s">
        <v>60</v>
      </c>
      <c r="U4" s="10" t="n">
        <v>37</v>
      </c>
      <c r="V4" s="10" t="n">
        <v>37</v>
      </c>
      <c r="W4" s="2" t="s">
        <v>61</v>
      </c>
      <c r="X4" s="2" t="s">
        <v>62</v>
      </c>
      <c r="Y4" s="3" t="s">
        <v>63</v>
      </c>
      <c r="Z4" s="3" t="s">
        <v>64</v>
      </c>
      <c r="AA4" s="2" t="s">
        <v>65</v>
      </c>
    </row>
    <row r="5" customFormat="false" ht="90" hidden="false" customHeight="true" outlineLevel="0" collapsed="false">
      <c r="A5" s="2" t="n">
        <v>4</v>
      </c>
      <c r="B5" s="3" t="s">
        <v>66</v>
      </c>
      <c r="C5" s="3" t="s">
        <v>67</v>
      </c>
      <c r="D5" s="4" t="n">
        <v>4</v>
      </c>
      <c r="E5" s="4" t="n">
        <v>9</v>
      </c>
      <c r="F5" s="2" t="str">
        <f aca="false">IF(E5&gt;=9,"Muito fácil",IF(E5&gt;=7,"Fácil",IF(E5&gt;=5,"Média",IF(E5&gt;=3,"Difícil","Muito difícil"))))</f>
        <v>Muito fácil</v>
      </c>
      <c r="G5" s="5" t="n">
        <f aca="false">ROUND(D5*2*0.5+E5*0.5,1)</f>
        <v>8.5</v>
      </c>
      <c r="H5" s="3" t="s">
        <v>68</v>
      </c>
      <c r="I5" s="4" t="n">
        <v>23</v>
      </c>
      <c r="J5" s="4" t="n">
        <v>4</v>
      </c>
      <c r="K5" s="6" t="n">
        <v>46168</v>
      </c>
      <c r="L5" s="7" t="n">
        <f aca="false">IF(ISNUMBER(K5),DATE(2026,9,26)-K5,"—")</f>
        <v>123</v>
      </c>
      <c r="M5" s="4" t="s">
        <v>44</v>
      </c>
      <c r="N5" s="4" t="s">
        <v>44</v>
      </c>
      <c r="O5" s="3" t="s">
        <v>69</v>
      </c>
      <c r="P5" s="8" t="s">
        <v>70</v>
      </c>
      <c r="Q5" s="9" t="s">
        <v>32</v>
      </c>
      <c r="R5" s="9" t="s">
        <v>71</v>
      </c>
      <c r="S5" s="3" t="s">
        <v>72</v>
      </c>
      <c r="T5" s="9" t="s">
        <v>73</v>
      </c>
      <c r="U5" s="10" t="n">
        <v>37</v>
      </c>
      <c r="V5" s="10" t="n">
        <v>37</v>
      </c>
      <c r="W5" s="2" t="s">
        <v>61</v>
      </c>
      <c r="X5" s="2" t="s">
        <v>74</v>
      </c>
      <c r="Y5" s="3" t="s">
        <v>75</v>
      </c>
      <c r="Z5" s="3" t="s">
        <v>76</v>
      </c>
      <c r="AA5" s="2" t="s">
        <v>77</v>
      </c>
    </row>
    <row r="6" customFormat="false" ht="90" hidden="false" customHeight="true" outlineLevel="0" collapsed="false">
      <c r="A6" s="2" t="n">
        <v>5</v>
      </c>
      <c r="B6" s="3" t="s">
        <v>78</v>
      </c>
      <c r="C6" s="3" t="s">
        <v>79</v>
      </c>
      <c r="D6" s="4" t="n">
        <v>3</v>
      </c>
      <c r="E6" s="4" t="n">
        <v>10</v>
      </c>
      <c r="F6" s="2" t="str">
        <f aca="false">IF(E6&gt;=9,"Muito fácil",IF(E6&gt;=7,"Fácil",IF(E6&gt;=5,"Média",IF(E6&gt;=3,"Difícil","Muito difícil"))))</f>
        <v>Muito fácil</v>
      </c>
      <c r="G6" s="5" t="n">
        <f aca="false">ROUND(D6*2*0.5+E6*0.5,1)</f>
        <v>8</v>
      </c>
      <c r="H6" s="3" t="s">
        <v>43</v>
      </c>
      <c r="I6" s="4" t="n">
        <v>8</v>
      </c>
      <c r="J6" s="4" t="n">
        <v>0</v>
      </c>
      <c r="K6" s="6" t="n">
        <v>46229</v>
      </c>
      <c r="L6" s="7" t="n">
        <f aca="false">IF(ISNUMBER(K6),DATE(2026,9,26)-K6,"—")</f>
        <v>62</v>
      </c>
      <c r="M6" s="4" t="n">
        <v>54</v>
      </c>
      <c r="N6" s="4" t="s">
        <v>44</v>
      </c>
      <c r="O6" s="3" t="s">
        <v>80</v>
      </c>
      <c r="P6" s="8" t="s">
        <v>81</v>
      </c>
      <c r="Q6" s="9" t="s">
        <v>32</v>
      </c>
      <c r="R6" s="9" t="s">
        <v>82</v>
      </c>
      <c r="S6" s="3" t="s">
        <v>83</v>
      </c>
      <c r="T6" s="9" t="s">
        <v>84</v>
      </c>
      <c r="U6" s="10" t="n">
        <v>17.9</v>
      </c>
      <c r="V6" s="10" t="n">
        <v>24</v>
      </c>
      <c r="W6" s="2" t="s">
        <v>36</v>
      </c>
      <c r="X6" s="2" t="s">
        <v>85</v>
      </c>
      <c r="Y6" s="3" t="s">
        <v>86</v>
      </c>
      <c r="Z6" s="3" t="s">
        <v>87</v>
      </c>
      <c r="AA6" s="2" t="s">
        <v>88</v>
      </c>
    </row>
    <row r="7" customFormat="false" ht="90" hidden="false" customHeight="true" outlineLevel="0" collapsed="false">
      <c r="A7" s="2" t="n">
        <v>6</v>
      </c>
      <c r="B7" s="3" t="s">
        <v>89</v>
      </c>
      <c r="C7" s="3" t="s">
        <v>90</v>
      </c>
      <c r="D7" s="4" t="n">
        <v>4</v>
      </c>
      <c r="E7" s="4" t="n">
        <v>7</v>
      </c>
      <c r="F7" s="2" t="str">
        <f aca="false">IF(E7&gt;=9,"Muito fácil",IF(E7&gt;=7,"Fácil",IF(E7&gt;=5,"Média",IF(E7&gt;=3,"Difícil","Muito difícil"))))</f>
        <v>Fácil</v>
      </c>
      <c r="G7" s="5" t="n">
        <f aca="false">ROUND(D7*2*0.5+E7*0.5,1)</f>
        <v>7.5</v>
      </c>
      <c r="H7" s="3" t="s">
        <v>43</v>
      </c>
      <c r="I7" s="4" t="n">
        <v>28</v>
      </c>
      <c r="J7" s="4" t="n">
        <v>0</v>
      </c>
      <c r="K7" s="6" t="n">
        <v>46134</v>
      </c>
      <c r="L7" s="7" t="n">
        <f aca="false">IF(ISNUMBER(K7),DATE(2026,9,26)-K7,"—")</f>
        <v>157</v>
      </c>
      <c r="M7" s="4" t="s">
        <v>44</v>
      </c>
      <c r="N7" s="4" t="n">
        <v>1</v>
      </c>
      <c r="O7" s="3" t="s">
        <v>91</v>
      </c>
      <c r="P7" s="8" t="s">
        <v>92</v>
      </c>
      <c r="Q7" s="9" t="s">
        <v>32</v>
      </c>
      <c r="R7" s="9" t="s">
        <v>93</v>
      </c>
      <c r="S7" s="3" t="s">
        <v>94</v>
      </c>
      <c r="T7" s="9" t="s">
        <v>95</v>
      </c>
      <c r="U7" s="10" t="n">
        <v>39</v>
      </c>
      <c r="V7" s="10" t="n">
        <v>39</v>
      </c>
      <c r="W7" s="2" t="s">
        <v>61</v>
      </c>
      <c r="X7" s="2" t="s">
        <v>96</v>
      </c>
      <c r="Y7" s="3" t="s">
        <v>97</v>
      </c>
      <c r="Z7" s="3" t="s">
        <v>98</v>
      </c>
      <c r="AA7" s="2" t="s">
        <v>99</v>
      </c>
    </row>
    <row r="8" customFormat="false" ht="90" hidden="false" customHeight="true" outlineLevel="0" collapsed="false">
      <c r="A8" s="2" t="n">
        <v>7</v>
      </c>
      <c r="B8" s="3" t="s">
        <v>100</v>
      </c>
      <c r="C8" s="3" t="s">
        <v>101</v>
      </c>
      <c r="D8" s="4" t="n">
        <v>4</v>
      </c>
      <c r="E8" s="4" t="n">
        <v>7</v>
      </c>
      <c r="F8" s="2" t="str">
        <f aca="false">IF(E8&gt;=9,"Muito fácil",IF(E8&gt;=7,"Fácil",IF(E8&gt;=5,"Média",IF(E8&gt;=3,"Difícil","Muito difícil"))))</f>
        <v>Fácil</v>
      </c>
      <c r="G8" s="5" t="n">
        <f aca="false">ROUND(D8*2*0.5+E8*0.5,1)</f>
        <v>7.5</v>
      </c>
      <c r="H8" s="3" t="s">
        <v>29</v>
      </c>
      <c r="I8" s="4" t="n">
        <v>57</v>
      </c>
      <c r="J8" s="4" t="n">
        <v>16</v>
      </c>
      <c r="K8" s="6" t="n">
        <v>46089</v>
      </c>
      <c r="L8" s="7" t="n">
        <f aca="false">IF(ISNUMBER(K8),DATE(2026,9,26)-K8,"—")</f>
        <v>202</v>
      </c>
      <c r="M8" s="4" t="n">
        <v>10</v>
      </c>
      <c r="N8" s="4" t="s">
        <v>44</v>
      </c>
      <c r="O8" s="3" t="s">
        <v>102</v>
      </c>
      <c r="P8" s="8" t="s">
        <v>103</v>
      </c>
      <c r="Q8" s="9" t="s">
        <v>32</v>
      </c>
      <c r="R8" s="9" t="s">
        <v>104</v>
      </c>
      <c r="S8" s="3" t="s">
        <v>105</v>
      </c>
      <c r="T8" s="9" t="s">
        <v>106</v>
      </c>
      <c r="U8" s="10" t="n">
        <v>67</v>
      </c>
      <c r="V8" s="10" t="n">
        <v>67</v>
      </c>
      <c r="W8" s="2" t="s">
        <v>107</v>
      </c>
      <c r="X8" s="2" t="s">
        <v>108</v>
      </c>
      <c r="Y8" s="3" t="s">
        <v>109</v>
      </c>
      <c r="Z8" s="3" t="s">
        <v>110</v>
      </c>
      <c r="AA8" s="2" t="s">
        <v>111</v>
      </c>
    </row>
    <row r="9" customFormat="false" ht="90" hidden="false" customHeight="true" outlineLevel="0" collapsed="false">
      <c r="A9" s="2" t="n">
        <v>8</v>
      </c>
      <c r="B9" s="3" t="s">
        <v>112</v>
      </c>
      <c r="C9" s="3" t="s">
        <v>113</v>
      </c>
      <c r="D9" s="4" t="n">
        <v>3</v>
      </c>
      <c r="E9" s="4" t="n">
        <v>9</v>
      </c>
      <c r="F9" s="2" t="str">
        <f aca="false">IF(E9&gt;=9,"Muito fácil",IF(E9&gt;=7,"Fácil",IF(E9&gt;=5,"Média",IF(E9&gt;=3,"Difícil","Muito difícil"))))</f>
        <v>Muito fácil</v>
      </c>
      <c r="G9" s="5" t="n">
        <f aca="false">ROUND(D9*2*0.5+E9*0.5,1)</f>
        <v>7.5</v>
      </c>
      <c r="H9" s="3" t="s">
        <v>43</v>
      </c>
      <c r="I9" s="4" t="n">
        <v>1</v>
      </c>
      <c r="J9" s="4" t="n">
        <v>0</v>
      </c>
      <c r="K9" s="6" t="n">
        <v>46142</v>
      </c>
      <c r="L9" s="7" t="n">
        <f aca="false">IF(ISNUMBER(K9),DATE(2026,9,26)-K9,"—")</f>
        <v>149</v>
      </c>
      <c r="M9" s="4" t="n">
        <v>123</v>
      </c>
      <c r="N9" s="4" t="s">
        <v>44</v>
      </c>
      <c r="O9" s="3" t="s">
        <v>114</v>
      </c>
      <c r="P9" s="8" t="s">
        <v>115</v>
      </c>
      <c r="Q9" s="9" t="s">
        <v>32</v>
      </c>
      <c r="R9" s="9" t="s">
        <v>116</v>
      </c>
      <c r="S9" s="3" t="s">
        <v>117</v>
      </c>
      <c r="T9" s="9" t="s">
        <v>118</v>
      </c>
      <c r="U9" s="10" t="n">
        <v>12</v>
      </c>
      <c r="V9" s="10" t="n">
        <v>12</v>
      </c>
      <c r="W9" s="2" t="s">
        <v>119</v>
      </c>
      <c r="X9" s="2" t="s">
        <v>85</v>
      </c>
      <c r="Y9" s="3" t="s">
        <v>120</v>
      </c>
      <c r="Z9" s="3" t="s">
        <v>121</v>
      </c>
      <c r="AA9" s="2" t="s">
        <v>122</v>
      </c>
    </row>
    <row r="10" customFormat="false" ht="90" hidden="false" customHeight="true" outlineLevel="0" collapsed="false">
      <c r="A10" s="2" t="n">
        <v>9</v>
      </c>
      <c r="B10" s="3" t="s">
        <v>123</v>
      </c>
      <c r="C10" s="3" t="s">
        <v>113</v>
      </c>
      <c r="D10" s="4" t="n">
        <v>3</v>
      </c>
      <c r="E10" s="4" t="n">
        <v>9</v>
      </c>
      <c r="F10" s="2" t="str">
        <f aca="false">IF(E10&gt;=9,"Muito fácil",IF(E10&gt;=7,"Fácil",IF(E10&gt;=5,"Média",IF(E10&gt;=3,"Difícil","Muito difícil"))))</f>
        <v>Muito fácil</v>
      </c>
      <c r="G10" s="5" t="n">
        <f aca="false">ROUND(D10*2*0.5+E10*0.5,1)</f>
        <v>7.5</v>
      </c>
      <c r="H10" s="3" t="s">
        <v>29</v>
      </c>
      <c r="I10" s="4" t="n">
        <v>10</v>
      </c>
      <c r="J10" s="4" t="n">
        <v>7</v>
      </c>
      <c r="K10" s="6" t="n">
        <v>46218</v>
      </c>
      <c r="L10" s="7" t="n">
        <f aca="false">IF(ISNUMBER(K10),DATE(2026,9,26)-K10,"—")</f>
        <v>73</v>
      </c>
      <c r="M10" s="4" t="n">
        <v>47</v>
      </c>
      <c r="N10" s="4" t="s">
        <v>44</v>
      </c>
      <c r="O10" s="3" t="s">
        <v>124</v>
      </c>
      <c r="P10" s="8" t="s">
        <v>125</v>
      </c>
      <c r="Q10" s="9" t="s">
        <v>32</v>
      </c>
      <c r="R10" s="9" t="s">
        <v>126</v>
      </c>
      <c r="S10" s="3" t="s">
        <v>127</v>
      </c>
      <c r="T10" s="9" t="s">
        <v>118</v>
      </c>
      <c r="U10" s="10" t="n">
        <v>10</v>
      </c>
      <c r="V10" s="10" t="n">
        <v>10</v>
      </c>
      <c r="W10" s="2" t="s">
        <v>44</v>
      </c>
      <c r="X10" s="2" t="s">
        <v>85</v>
      </c>
      <c r="Y10" s="3" t="s">
        <v>128</v>
      </c>
      <c r="Z10" s="3" t="s">
        <v>129</v>
      </c>
      <c r="AA10" s="2" t="s">
        <v>130</v>
      </c>
    </row>
    <row r="11" customFormat="false" ht="90" hidden="false" customHeight="true" outlineLevel="0" collapsed="false">
      <c r="A11" s="2" t="n">
        <v>10</v>
      </c>
      <c r="B11" s="3" t="s">
        <v>131</v>
      </c>
      <c r="C11" s="3" t="s">
        <v>132</v>
      </c>
      <c r="D11" s="4" t="n">
        <v>3</v>
      </c>
      <c r="E11" s="4" t="n">
        <v>8</v>
      </c>
      <c r="F11" s="2" t="str">
        <f aca="false">IF(E11&gt;=9,"Muito fácil",IF(E11&gt;=7,"Fácil",IF(E11&gt;=5,"Média",IF(E11&gt;=3,"Difícil","Muito difícil"))))</f>
        <v>Fácil</v>
      </c>
      <c r="G11" s="5" t="n">
        <f aca="false">ROUND(D11*2*0.5+E11*0.5,1)</f>
        <v>7</v>
      </c>
      <c r="H11" s="3" t="s">
        <v>29</v>
      </c>
      <c r="I11" s="4" t="n">
        <v>70</v>
      </c>
      <c r="J11" s="4" t="n">
        <v>27</v>
      </c>
      <c r="K11" s="6" t="n">
        <v>46260</v>
      </c>
      <c r="L11" s="7" t="n">
        <f aca="false">IF(ISNUMBER(K11),DATE(2026,9,26)-K11,"—")</f>
        <v>31</v>
      </c>
      <c r="M11" s="4" t="n">
        <v>9</v>
      </c>
      <c r="N11" s="4" t="s">
        <v>44</v>
      </c>
      <c r="O11" s="3" t="s">
        <v>133</v>
      </c>
      <c r="P11" s="8" t="s">
        <v>134</v>
      </c>
      <c r="Q11" s="9" t="s">
        <v>32</v>
      </c>
      <c r="R11" s="9" t="s">
        <v>135</v>
      </c>
      <c r="S11" s="3" t="s">
        <v>136</v>
      </c>
      <c r="T11" s="9" t="s">
        <v>137</v>
      </c>
      <c r="U11" s="10" t="n">
        <v>19.9</v>
      </c>
      <c r="V11" s="10" t="n">
        <v>35</v>
      </c>
      <c r="W11" s="2" t="s">
        <v>138</v>
      </c>
      <c r="X11" s="2" t="s">
        <v>85</v>
      </c>
      <c r="Y11" s="3" t="s">
        <v>139</v>
      </c>
      <c r="Z11" s="3" t="s">
        <v>140</v>
      </c>
      <c r="AA11" s="2" t="s">
        <v>141</v>
      </c>
    </row>
    <row r="12" customFormat="false" ht="90" hidden="false" customHeight="true" outlineLevel="0" collapsed="false">
      <c r="A12" s="2" t="n">
        <v>11</v>
      </c>
      <c r="B12" s="3" t="s">
        <v>142</v>
      </c>
      <c r="C12" s="3" t="s">
        <v>143</v>
      </c>
      <c r="D12" s="4" t="n">
        <v>3</v>
      </c>
      <c r="E12" s="4" t="n">
        <v>7</v>
      </c>
      <c r="F12" s="2" t="str">
        <f aca="false">IF(E12&gt;=9,"Muito fácil",IF(E12&gt;=7,"Fácil",IF(E12&gt;=5,"Média",IF(E12&gt;=3,"Difícil","Muito difícil"))))</f>
        <v>Fácil</v>
      </c>
      <c r="G12" s="5" t="n">
        <f aca="false">ROUND(D12*2*0.5+E12*0.5,1)</f>
        <v>6.5</v>
      </c>
      <c r="H12" s="3" t="s">
        <v>29</v>
      </c>
      <c r="I12" s="4" t="n">
        <v>24</v>
      </c>
      <c r="J12" s="4" t="n">
        <v>17</v>
      </c>
      <c r="K12" s="6" t="n">
        <v>46189</v>
      </c>
      <c r="L12" s="7" t="n">
        <f aca="false">IF(ISNUMBER(K12),DATE(2026,9,26)-K12,"—")</f>
        <v>102</v>
      </c>
      <c r="M12" s="4" t="n">
        <v>76</v>
      </c>
      <c r="N12" s="4" t="s">
        <v>44</v>
      </c>
      <c r="O12" s="3" t="s">
        <v>144</v>
      </c>
      <c r="P12" s="8" t="s">
        <v>145</v>
      </c>
      <c r="Q12" s="9" t="s">
        <v>32</v>
      </c>
      <c r="R12" s="9" t="s">
        <v>146</v>
      </c>
      <c r="S12" s="3" t="s">
        <v>147</v>
      </c>
      <c r="T12" s="9" t="s">
        <v>148</v>
      </c>
      <c r="U12" s="10" t="n">
        <v>162</v>
      </c>
      <c r="V12" s="10" t="n">
        <v>162</v>
      </c>
      <c r="W12" s="2" t="s">
        <v>61</v>
      </c>
      <c r="X12" s="2" t="s">
        <v>85</v>
      </c>
      <c r="Y12" s="3" t="s">
        <v>149</v>
      </c>
      <c r="Z12" s="3" t="s">
        <v>150</v>
      </c>
      <c r="AA12" s="2" t="s">
        <v>151</v>
      </c>
    </row>
    <row r="13" customFormat="false" ht="90" hidden="false" customHeight="true" outlineLevel="0" collapsed="false">
      <c r="A13" s="2" t="n">
        <v>12</v>
      </c>
      <c r="B13" s="3" t="s">
        <v>152</v>
      </c>
      <c r="C13" s="3" t="s">
        <v>153</v>
      </c>
      <c r="D13" s="4" t="n">
        <v>3</v>
      </c>
      <c r="E13" s="4" t="n">
        <v>7</v>
      </c>
      <c r="F13" s="2" t="str">
        <f aca="false">IF(E13&gt;=9,"Muito fácil",IF(E13&gt;=7,"Fácil",IF(E13&gt;=5,"Média",IF(E13&gt;=3,"Difícil","Muito difícil"))))</f>
        <v>Fácil</v>
      </c>
      <c r="G13" s="5" t="n">
        <f aca="false">ROUND(D13*2*0.5+E13*0.5,1)</f>
        <v>6.5</v>
      </c>
      <c r="H13" s="3" t="s">
        <v>29</v>
      </c>
      <c r="I13" s="4" t="n">
        <v>14</v>
      </c>
      <c r="J13" s="4" t="n">
        <v>7</v>
      </c>
      <c r="K13" s="6" t="n">
        <v>46191</v>
      </c>
      <c r="L13" s="7" t="n">
        <f aca="false">IF(ISNUMBER(K13),DATE(2026,9,26)-K13,"—")</f>
        <v>100</v>
      </c>
      <c r="M13" s="4" t="n">
        <v>74</v>
      </c>
      <c r="N13" s="4" t="s">
        <v>44</v>
      </c>
      <c r="O13" s="3" t="s">
        <v>154</v>
      </c>
      <c r="P13" s="8" t="s">
        <v>155</v>
      </c>
      <c r="Q13" s="9" t="s">
        <v>32</v>
      </c>
      <c r="R13" s="9" t="s">
        <v>156</v>
      </c>
      <c r="S13" s="3" t="s">
        <v>157</v>
      </c>
      <c r="T13" s="9" t="s">
        <v>158</v>
      </c>
      <c r="U13" s="10" t="n">
        <v>20</v>
      </c>
      <c r="V13" s="10" t="n">
        <v>35</v>
      </c>
      <c r="W13" s="2" t="s">
        <v>138</v>
      </c>
      <c r="X13" s="2" t="s">
        <v>85</v>
      </c>
      <c r="Y13" s="3" t="s">
        <v>159</v>
      </c>
      <c r="Z13" s="3" t="s">
        <v>160</v>
      </c>
      <c r="AA13" s="2" t="s">
        <v>161</v>
      </c>
    </row>
    <row r="14" customFormat="false" ht="90" hidden="false" customHeight="true" outlineLevel="0" collapsed="false">
      <c r="A14" s="2" t="n">
        <v>13</v>
      </c>
      <c r="B14" s="3" t="s">
        <v>162</v>
      </c>
      <c r="C14" s="3" t="s">
        <v>163</v>
      </c>
      <c r="D14" s="4" t="n">
        <v>3</v>
      </c>
      <c r="E14" s="4" t="n">
        <v>7</v>
      </c>
      <c r="F14" s="2" t="str">
        <f aca="false">IF(E14&gt;=9,"Muito fácil",IF(E14&gt;=7,"Fácil",IF(E14&gt;=5,"Média",IF(E14&gt;=3,"Difícil","Muito difícil"))))</f>
        <v>Fácil</v>
      </c>
      <c r="G14" s="5" t="n">
        <f aca="false">ROUND(D14*2*0.5+E14*0.5,1)</f>
        <v>6.5</v>
      </c>
      <c r="H14" s="3" t="s">
        <v>29</v>
      </c>
      <c r="I14" s="4" t="n">
        <v>19</v>
      </c>
      <c r="J14" s="4" t="n">
        <v>6</v>
      </c>
      <c r="K14" s="6" t="n">
        <v>46259</v>
      </c>
      <c r="L14" s="7" t="n">
        <f aca="false">IF(ISNUMBER(K14),DATE(2026,9,26)-K14,"—")</f>
        <v>32</v>
      </c>
      <c r="M14" s="4" t="n">
        <v>50</v>
      </c>
      <c r="N14" s="4" t="s">
        <v>44</v>
      </c>
      <c r="O14" s="3" t="s">
        <v>164</v>
      </c>
      <c r="P14" s="8" t="s">
        <v>165</v>
      </c>
      <c r="Q14" s="9" t="s">
        <v>32</v>
      </c>
      <c r="R14" s="9" t="s">
        <v>166</v>
      </c>
      <c r="S14" s="3" t="s">
        <v>167</v>
      </c>
      <c r="T14" s="9" t="s">
        <v>168</v>
      </c>
      <c r="U14" s="10" t="n">
        <v>9.9</v>
      </c>
      <c r="V14" s="10" t="n">
        <v>25</v>
      </c>
      <c r="W14" s="2" t="s">
        <v>44</v>
      </c>
      <c r="X14" s="2" t="s">
        <v>85</v>
      </c>
      <c r="Y14" s="3" t="s">
        <v>169</v>
      </c>
      <c r="Z14" s="3" t="s">
        <v>170</v>
      </c>
      <c r="AA14" s="2" t="s">
        <v>171</v>
      </c>
    </row>
    <row r="15" customFormat="false" ht="90" hidden="false" customHeight="true" outlineLevel="0" collapsed="false">
      <c r="A15" s="2" t="n">
        <v>14</v>
      </c>
      <c r="B15" s="3" t="s">
        <v>172</v>
      </c>
      <c r="C15" s="3" t="s">
        <v>173</v>
      </c>
      <c r="D15" s="4" t="n">
        <v>2</v>
      </c>
      <c r="E15" s="4" t="n">
        <v>9</v>
      </c>
      <c r="F15" s="2" t="str">
        <f aca="false">IF(E15&gt;=9,"Muito fácil",IF(E15&gt;=7,"Fácil",IF(E15&gt;=5,"Média",IF(E15&gt;=3,"Difícil","Muito difícil"))))</f>
        <v>Muito fácil</v>
      </c>
      <c r="G15" s="5" t="n">
        <f aca="false">ROUND(D15*2*0.5+E15*0.5,1)</f>
        <v>6.5</v>
      </c>
      <c r="H15" s="3" t="s">
        <v>68</v>
      </c>
      <c r="I15" s="4" t="n">
        <v>14</v>
      </c>
      <c r="J15" s="4" t="n">
        <v>2</v>
      </c>
      <c r="K15" s="6" t="n">
        <v>46246</v>
      </c>
      <c r="L15" s="7" t="n">
        <f aca="false">IF(ISNUMBER(K15),DATE(2026,9,26)-K15,"—")</f>
        <v>45</v>
      </c>
      <c r="M15" s="4" t="n">
        <v>19</v>
      </c>
      <c r="N15" s="4" t="s">
        <v>44</v>
      </c>
      <c r="O15" s="3" t="s">
        <v>174</v>
      </c>
      <c r="P15" s="8" t="s">
        <v>175</v>
      </c>
      <c r="Q15" s="9" t="s">
        <v>32</v>
      </c>
      <c r="R15" s="9" t="s">
        <v>176</v>
      </c>
      <c r="S15" s="3" t="s">
        <v>177</v>
      </c>
      <c r="T15" s="9" t="s">
        <v>178</v>
      </c>
      <c r="U15" s="10" t="n">
        <v>27.9</v>
      </c>
      <c r="V15" s="10" t="n">
        <v>27.9</v>
      </c>
      <c r="W15" s="2" t="s">
        <v>107</v>
      </c>
      <c r="X15" s="2" t="s">
        <v>85</v>
      </c>
      <c r="Y15" s="3" t="s">
        <v>179</v>
      </c>
      <c r="Z15" s="3" t="s">
        <v>180</v>
      </c>
      <c r="AA15" s="2" t="s">
        <v>181</v>
      </c>
    </row>
    <row r="16" customFormat="false" ht="90" hidden="false" customHeight="true" outlineLevel="0" collapsed="false">
      <c r="A16" s="2" t="n">
        <v>15</v>
      </c>
      <c r="B16" s="3" t="s">
        <v>182</v>
      </c>
      <c r="C16" s="3" t="s">
        <v>101</v>
      </c>
      <c r="D16" s="4" t="n">
        <v>2</v>
      </c>
      <c r="E16" s="4" t="n">
        <v>9</v>
      </c>
      <c r="F16" s="2" t="str">
        <f aca="false">IF(E16&gt;=9,"Muito fácil",IF(E16&gt;=7,"Fácil",IF(E16&gt;=5,"Média",IF(E16&gt;=3,"Difícil","Muito difícil"))))</f>
        <v>Muito fácil</v>
      </c>
      <c r="G16" s="5" t="n">
        <f aca="false">ROUND(D16*2*0.5+E16*0.5,1)</f>
        <v>6.5</v>
      </c>
      <c r="H16" s="3" t="s">
        <v>29</v>
      </c>
      <c r="I16" s="4" t="n">
        <v>9</v>
      </c>
      <c r="J16" s="4" t="n">
        <v>9</v>
      </c>
      <c r="K16" s="6" t="n">
        <v>46285</v>
      </c>
      <c r="L16" s="7" t="n">
        <f aca="false">IF(ISNUMBER(K16),DATE(2026,9,26)-K16,"—")</f>
        <v>6</v>
      </c>
      <c r="M16" s="4" t="s">
        <v>44</v>
      </c>
      <c r="N16" s="4" t="s">
        <v>44</v>
      </c>
      <c r="O16" s="3" t="s">
        <v>183</v>
      </c>
      <c r="P16" s="8" t="s">
        <v>184</v>
      </c>
      <c r="Q16" s="9" t="s">
        <v>32</v>
      </c>
      <c r="R16" s="9" t="s">
        <v>185</v>
      </c>
      <c r="S16" s="3" t="s">
        <v>186</v>
      </c>
      <c r="T16" s="9" t="s">
        <v>187</v>
      </c>
      <c r="U16" s="10" t="n">
        <v>27.9</v>
      </c>
      <c r="V16" s="10" t="n">
        <v>40</v>
      </c>
      <c r="W16" s="2" t="s">
        <v>188</v>
      </c>
      <c r="X16" s="2" t="s">
        <v>189</v>
      </c>
      <c r="Y16" s="3" t="s">
        <v>190</v>
      </c>
      <c r="Z16" s="3" t="s">
        <v>191</v>
      </c>
      <c r="AA16" s="2" t="s">
        <v>192</v>
      </c>
    </row>
    <row r="17" customFormat="false" ht="90" hidden="false" customHeight="true" outlineLevel="0" collapsed="false">
      <c r="A17" s="2" t="n">
        <v>16</v>
      </c>
      <c r="B17" s="3" t="s">
        <v>193</v>
      </c>
      <c r="C17" s="3" t="s">
        <v>194</v>
      </c>
      <c r="D17" s="4" t="n">
        <v>2</v>
      </c>
      <c r="E17" s="4" t="n">
        <v>9</v>
      </c>
      <c r="F17" s="2" t="str">
        <f aca="false">IF(E17&gt;=9,"Muito fácil",IF(E17&gt;=7,"Fácil",IF(E17&gt;=5,"Média",IF(E17&gt;=3,"Difícil","Muito difícil"))))</f>
        <v>Muito fácil</v>
      </c>
      <c r="G17" s="5" t="n">
        <f aca="false">ROUND(D17*2*0.5+E17*0.5,1)</f>
        <v>6.5</v>
      </c>
      <c r="H17" s="3" t="s">
        <v>195</v>
      </c>
      <c r="I17" s="4" t="s">
        <v>44</v>
      </c>
      <c r="J17" s="4" t="s">
        <v>44</v>
      </c>
      <c r="K17" s="6" t="s">
        <v>44</v>
      </c>
      <c r="L17" s="7" t="str">
        <f aca="false">IF(ISNUMBER(K17),DATE(2026,9,26)-K17,"—")</f>
        <v>—</v>
      </c>
      <c r="M17" s="4" t="n">
        <v>35</v>
      </c>
      <c r="N17" s="4" t="s">
        <v>44</v>
      </c>
      <c r="O17" s="3" t="s">
        <v>196</v>
      </c>
      <c r="P17" s="3" t="s">
        <v>197</v>
      </c>
      <c r="Q17" s="9" t="s">
        <v>32</v>
      </c>
      <c r="R17" s="2" t="s">
        <v>44</v>
      </c>
      <c r="S17" s="3" t="s">
        <v>198</v>
      </c>
      <c r="T17" s="9" t="s">
        <v>199</v>
      </c>
      <c r="U17" s="10"/>
      <c r="V17" s="10"/>
      <c r="W17" s="2" t="s">
        <v>44</v>
      </c>
      <c r="X17" s="2" t="s">
        <v>85</v>
      </c>
      <c r="Y17" s="3" t="s">
        <v>200</v>
      </c>
      <c r="Z17" s="3" t="s">
        <v>201</v>
      </c>
      <c r="AA17" s="2" t="s">
        <v>202</v>
      </c>
    </row>
    <row r="18" customFormat="false" ht="90" hidden="false" customHeight="true" outlineLevel="0" collapsed="false">
      <c r="A18" s="2" t="n">
        <v>17</v>
      </c>
      <c r="B18" s="3" t="s">
        <v>203</v>
      </c>
      <c r="C18" s="3" t="s">
        <v>113</v>
      </c>
      <c r="D18" s="4" t="n">
        <v>2</v>
      </c>
      <c r="E18" s="4" t="n">
        <v>9</v>
      </c>
      <c r="F18" s="2" t="str">
        <f aca="false">IF(E18&gt;=9,"Muito fácil",IF(E18&gt;=7,"Fácil",IF(E18&gt;=5,"Média",IF(E18&gt;=3,"Difícil","Muito difícil"))))</f>
        <v>Muito fácil</v>
      </c>
      <c r="G18" s="5" t="n">
        <f aca="false">ROUND(D18*2*0.5+E18*0.5,1)</f>
        <v>6.5</v>
      </c>
      <c r="H18" s="3" t="s">
        <v>195</v>
      </c>
      <c r="I18" s="4" t="s">
        <v>44</v>
      </c>
      <c r="J18" s="4" t="s">
        <v>44</v>
      </c>
      <c r="K18" s="6" t="s">
        <v>44</v>
      </c>
      <c r="L18" s="7" t="str">
        <f aca="false">IF(ISNUMBER(K18),DATE(2026,9,26)-K18,"—")</f>
        <v>—</v>
      </c>
      <c r="M18" s="4" t="n">
        <v>32</v>
      </c>
      <c r="N18" s="4" t="s">
        <v>44</v>
      </c>
      <c r="O18" s="3" t="s">
        <v>204</v>
      </c>
      <c r="P18" s="3" t="s">
        <v>197</v>
      </c>
      <c r="Q18" s="9" t="s">
        <v>32</v>
      </c>
      <c r="R18" s="2" t="s">
        <v>44</v>
      </c>
      <c r="S18" s="3" t="s">
        <v>205</v>
      </c>
      <c r="T18" s="9" t="s">
        <v>206</v>
      </c>
      <c r="U18" s="10"/>
      <c r="V18" s="10"/>
      <c r="W18" s="2" t="s">
        <v>44</v>
      </c>
      <c r="X18" s="2" t="s">
        <v>85</v>
      </c>
      <c r="Y18" s="3" t="s">
        <v>207</v>
      </c>
      <c r="Z18" s="3" t="s">
        <v>208</v>
      </c>
      <c r="AA18" s="2" t="s">
        <v>209</v>
      </c>
    </row>
    <row r="19" customFormat="false" ht="90" hidden="false" customHeight="true" outlineLevel="0" collapsed="false">
      <c r="A19" s="2" t="n">
        <v>18</v>
      </c>
      <c r="B19" s="3" t="s">
        <v>210</v>
      </c>
      <c r="C19" s="3" t="s">
        <v>211</v>
      </c>
      <c r="D19" s="4" t="n">
        <v>2</v>
      </c>
      <c r="E19" s="4" t="n">
        <v>8</v>
      </c>
      <c r="F19" s="2" t="str">
        <f aca="false">IF(E19&gt;=9,"Muito fácil",IF(E19&gt;=7,"Fácil",IF(E19&gt;=5,"Média",IF(E19&gt;=3,"Difícil","Muito difícil"))))</f>
        <v>Fácil</v>
      </c>
      <c r="G19" s="5" t="n">
        <f aca="false">ROUND(D19*2*0.5+E19*0.5,1)</f>
        <v>6</v>
      </c>
      <c r="H19" s="3" t="s">
        <v>195</v>
      </c>
      <c r="I19" s="4" t="s">
        <v>44</v>
      </c>
      <c r="J19" s="4" t="s">
        <v>44</v>
      </c>
      <c r="K19" s="6" t="s">
        <v>44</v>
      </c>
      <c r="L19" s="7" t="str">
        <f aca="false">IF(ISNUMBER(K19),DATE(2026,9,26)-K19,"—")</f>
        <v>—</v>
      </c>
      <c r="M19" s="4" t="n">
        <v>107</v>
      </c>
      <c r="N19" s="4" t="s">
        <v>44</v>
      </c>
      <c r="O19" s="3" t="s">
        <v>212</v>
      </c>
      <c r="P19" s="3" t="s">
        <v>197</v>
      </c>
      <c r="Q19" s="9" t="s">
        <v>32</v>
      </c>
      <c r="R19" s="2" t="s">
        <v>44</v>
      </c>
      <c r="S19" s="3" t="s">
        <v>213</v>
      </c>
      <c r="T19" s="9" t="s">
        <v>214</v>
      </c>
      <c r="U19" s="10"/>
      <c r="V19" s="10"/>
      <c r="W19" s="2" t="s">
        <v>44</v>
      </c>
      <c r="X19" s="2" t="s">
        <v>85</v>
      </c>
      <c r="Y19" s="3" t="s">
        <v>215</v>
      </c>
      <c r="Z19" s="3" t="s">
        <v>216</v>
      </c>
      <c r="AA19" s="2" t="s">
        <v>217</v>
      </c>
    </row>
    <row r="20" customFormat="false" ht="90" hidden="false" customHeight="true" outlineLevel="0" collapsed="false">
      <c r="A20" s="2" t="n">
        <v>19</v>
      </c>
      <c r="B20" s="3" t="s">
        <v>218</v>
      </c>
      <c r="C20" s="3" t="s">
        <v>211</v>
      </c>
      <c r="D20" s="4" t="n">
        <v>2</v>
      </c>
      <c r="E20" s="4" t="n">
        <v>8</v>
      </c>
      <c r="F20" s="2" t="str">
        <f aca="false">IF(E20&gt;=9,"Muito fácil",IF(E20&gt;=7,"Fácil",IF(E20&gt;=5,"Média",IF(E20&gt;=3,"Difícil","Muito difícil"))))</f>
        <v>Fácil</v>
      </c>
      <c r="G20" s="5" t="n">
        <f aca="false">ROUND(D20*2*0.5+E20*0.5,1)</f>
        <v>6</v>
      </c>
      <c r="H20" s="3" t="s">
        <v>195</v>
      </c>
      <c r="I20" s="4" t="s">
        <v>44</v>
      </c>
      <c r="J20" s="4" t="s">
        <v>44</v>
      </c>
      <c r="K20" s="6" t="s">
        <v>44</v>
      </c>
      <c r="L20" s="7" t="str">
        <f aca="false">IF(ISNUMBER(K20),DATE(2026,9,26)-K20,"—")</f>
        <v>—</v>
      </c>
      <c r="M20" s="4" t="n">
        <v>39</v>
      </c>
      <c r="N20" s="4" t="s">
        <v>44</v>
      </c>
      <c r="O20" s="3" t="s">
        <v>219</v>
      </c>
      <c r="P20" s="3" t="s">
        <v>197</v>
      </c>
      <c r="Q20" s="9" t="s">
        <v>32</v>
      </c>
      <c r="R20" s="2" t="s">
        <v>44</v>
      </c>
      <c r="S20" s="3" t="s">
        <v>220</v>
      </c>
      <c r="T20" s="9" t="s">
        <v>221</v>
      </c>
      <c r="U20" s="10" t="n">
        <v>20</v>
      </c>
      <c r="V20" s="10" t="n">
        <v>20</v>
      </c>
      <c r="W20" s="2" t="s">
        <v>222</v>
      </c>
      <c r="X20" s="2" t="s">
        <v>85</v>
      </c>
      <c r="Y20" s="3" t="s">
        <v>223</v>
      </c>
      <c r="Z20" s="3" t="s">
        <v>224</v>
      </c>
      <c r="AA20" s="2" t="s">
        <v>225</v>
      </c>
    </row>
    <row r="21" customFormat="false" ht="90" hidden="false" customHeight="true" outlineLevel="0" collapsed="false">
      <c r="A21" s="2" t="n">
        <v>20</v>
      </c>
      <c r="B21" s="3" t="s">
        <v>226</v>
      </c>
      <c r="C21" s="3" t="s">
        <v>79</v>
      </c>
      <c r="D21" s="4" t="n">
        <v>1</v>
      </c>
      <c r="E21" s="4" t="n">
        <v>10</v>
      </c>
      <c r="F21" s="2" t="str">
        <f aca="false">IF(E21&gt;=9,"Muito fácil",IF(E21&gt;=7,"Fácil",IF(E21&gt;=5,"Média",IF(E21&gt;=3,"Difícil","Muito difícil"))))</f>
        <v>Muito fácil</v>
      </c>
      <c r="G21" s="5" t="n">
        <f aca="false">ROUND(D21*2*0.5+E21*0.5,1)</f>
        <v>6</v>
      </c>
      <c r="H21" s="3" t="s">
        <v>227</v>
      </c>
      <c r="I21" s="4" t="n">
        <v>0</v>
      </c>
      <c r="J21" s="4" t="n">
        <v>0</v>
      </c>
      <c r="K21" s="6" t="s">
        <v>44</v>
      </c>
      <c r="L21" s="7" t="str">
        <f aca="false">IF(ISNUMBER(K21),DATE(2026,9,26)-K21,"—")</f>
        <v>—</v>
      </c>
      <c r="M21" s="4" t="n">
        <v>54</v>
      </c>
      <c r="N21" s="4" t="s">
        <v>44</v>
      </c>
      <c r="O21" s="3" t="s">
        <v>228</v>
      </c>
      <c r="P21" s="8" t="s">
        <v>229</v>
      </c>
      <c r="Q21" s="9" t="s">
        <v>32</v>
      </c>
      <c r="R21" s="2" t="s">
        <v>44</v>
      </c>
      <c r="S21" s="3" t="s">
        <v>230</v>
      </c>
      <c r="T21" s="9" t="s">
        <v>231</v>
      </c>
      <c r="U21" s="10" t="n">
        <v>10</v>
      </c>
      <c r="V21" s="10" t="n">
        <v>10</v>
      </c>
      <c r="W21" s="2" t="s">
        <v>44</v>
      </c>
      <c r="X21" s="2" t="s">
        <v>85</v>
      </c>
      <c r="Y21" s="3" t="s">
        <v>232</v>
      </c>
      <c r="Z21" s="3" t="s">
        <v>233</v>
      </c>
      <c r="AA21" s="2" t="s">
        <v>234</v>
      </c>
    </row>
    <row r="22" customFormat="false" ht="90" hidden="false" customHeight="true" outlineLevel="0" collapsed="false">
      <c r="A22" s="2" t="n">
        <v>21</v>
      </c>
      <c r="B22" s="3" t="s">
        <v>235</v>
      </c>
      <c r="C22" s="3" t="s">
        <v>79</v>
      </c>
      <c r="D22" s="4" t="n">
        <v>1</v>
      </c>
      <c r="E22" s="4" t="n">
        <v>10</v>
      </c>
      <c r="F22" s="2" t="str">
        <f aca="false">IF(E22&gt;=9,"Muito fácil",IF(E22&gt;=7,"Fácil",IF(E22&gt;=5,"Média",IF(E22&gt;=3,"Difícil","Muito difícil"))))</f>
        <v>Muito fácil</v>
      </c>
      <c r="G22" s="5" t="n">
        <f aca="false">ROUND(D22*2*0.5+E22*0.5,1)</f>
        <v>6</v>
      </c>
      <c r="H22" s="3" t="s">
        <v>227</v>
      </c>
      <c r="I22" s="4" t="n">
        <v>0</v>
      </c>
      <c r="J22" s="4" t="n">
        <v>0</v>
      </c>
      <c r="K22" s="6" t="s">
        <v>44</v>
      </c>
      <c r="L22" s="7" t="str">
        <f aca="false">IF(ISNUMBER(K22),DATE(2026,9,26)-K22,"—")</f>
        <v>—</v>
      </c>
      <c r="M22" s="4" t="n">
        <v>42</v>
      </c>
      <c r="N22" s="4" t="s">
        <v>44</v>
      </c>
      <c r="O22" s="3" t="s">
        <v>236</v>
      </c>
      <c r="P22" s="8" t="s">
        <v>237</v>
      </c>
      <c r="Q22" s="9" t="s">
        <v>32</v>
      </c>
      <c r="R22" s="2" t="s">
        <v>44</v>
      </c>
      <c r="S22" s="3" t="s">
        <v>238</v>
      </c>
      <c r="T22" s="9" t="s">
        <v>239</v>
      </c>
      <c r="U22" s="10" t="n">
        <v>10</v>
      </c>
      <c r="V22" s="10" t="n">
        <v>10</v>
      </c>
      <c r="W22" s="2" t="s">
        <v>44</v>
      </c>
      <c r="X22" s="2" t="s">
        <v>85</v>
      </c>
      <c r="Y22" s="3" t="s">
        <v>240</v>
      </c>
      <c r="Z22" s="3" t="s">
        <v>233</v>
      </c>
      <c r="AA22" s="2" t="s">
        <v>241</v>
      </c>
    </row>
    <row r="23" customFormat="false" ht="90" hidden="false" customHeight="true" outlineLevel="0" collapsed="false">
      <c r="A23" s="2" t="n">
        <v>22</v>
      </c>
      <c r="B23" s="3" t="s">
        <v>242</v>
      </c>
      <c r="C23" s="3" t="s">
        <v>243</v>
      </c>
      <c r="D23" s="4" t="n">
        <v>4</v>
      </c>
      <c r="E23" s="4" t="n">
        <v>3</v>
      </c>
      <c r="F23" s="2" t="str">
        <f aca="false">IF(E23&gt;=9,"Muito fácil",IF(E23&gt;=7,"Fácil",IF(E23&gt;=5,"Média",IF(E23&gt;=3,"Difícil","Muito difícil"))))</f>
        <v>Difícil</v>
      </c>
      <c r="G23" s="5" t="n">
        <f aca="false">ROUND(D23*2*0.5+E23*0.5,1)</f>
        <v>5.5</v>
      </c>
      <c r="H23" s="3" t="s">
        <v>43</v>
      </c>
      <c r="I23" s="4" t="n">
        <v>3</v>
      </c>
      <c r="J23" s="4" t="n">
        <v>0</v>
      </c>
      <c r="K23" s="6" t="n">
        <v>45762</v>
      </c>
      <c r="L23" s="7" t="n">
        <f aca="false">IF(ISNUMBER(K23),DATE(2026,9,26)-K23,"—")</f>
        <v>529</v>
      </c>
      <c r="M23" s="4" t="n">
        <v>509</v>
      </c>
      <c r="N23" s="4" t="s">
        <v>44</v>
      </c>
      <c r="O23" s="3" t="s">
        <v>244</v>
      </c>
      <c r="P23" s="8" t="s">
        <v>245</v>
      </c>
      <c r="Q23" s="9" t="s">
        <v>32</v>
      </c>
      <c r="R23" s="9" t="s">
        <v>246</v>
      </c>
      <c r="S23" s="3" t="s">
        <v>247</v>
      </c>
      <c r="T23" s="9" t="s">
        <v>248</v>
      </c>
      <c r="U23" s="10" t="n">
        <v>97</v>
      </c>
      <c r="V23" s="10" t="n">
        <v>150</v>
      </c>
      <c r="W23" s="2" t="s">
        <v>107</v>
      </c>
      <c r="X23" s="2" t="s">
        <v>96</v>
      </c>
      <c r="Y23" s="3" t="s">
        <v>249</v>
      </c>
      <c r="Z23" s="3" t="s">
        <v>250</v>
      </c>
      <c r="AA23" s="2" t="s">
        <v>251</v>
      </c>
    </row>
    <row r="24" customFormat="false" ht="90" hidden="false" customHeight="true" outlineLevel="0" collapsed="false">
      <c r="A24" s="2" t="n">
        <v>23</v>
      </c>
      <c r="B24" s="3" t="s">
        <v>252</v>
      </c>
      <c r="C24" s="3" t="s">
        <v>253</v>
      </c>
      <c r="D24" s="4" t="n">
        <v>4</v>
      </c>
      <c r="E24" s="4" t="n">
        <v>2</v>
      </c>
      <c r="F24" s="2" t="str">
        <f aca="false">IF(E24&gt;=9,"Muito fácil",IF(E24&gt;=7,"Fácil",IF(E24&gt;=5,"Média",IF(E24&gt;=3,"Difícil","Muito difícil"))))</f>
        <v>Muito difícil</v>
      </c>
      <c r="G24" s="5" t="n">
        <f aca="false">ROUND(D24*2*0.5+E24*0.5,1)</f>
        <v>5</v>
      </c>
      <c r="H24" s="3" t="s">
        <v>43</v>
      </c>
      <c r="I24" s="4" t="n">
        <v>5</v>
      </c>
      <c r="J24" s="4" t="n">
        <v>0</v>
      </c>
      <c r="K24" s="6" t="n">
        <v>46171</v>
      </c>
      <c r="L24" s="7" t="n">
        <f aca="false">IF(ISNUMBER(K24),DATE(2026,9,26)-K24,"—")</f>
        <v>120</v>
      </c>
      <c r="M24" s="4" t="n">
        <v>584</v>
      </c>
      <c r="N24" s="4" t="s">
        <v>44</v>
      </c>
      <c r="O24" s="3" t="s">
        <v>254</v>
      </c>
      <c r="P24" s="8" t="s">
        <v>255</v>
      </c>
      <c r="Q24" s="9" t="s">
        <v>32</v>
      </c>
      <c r="R24" s="9" t="s">
        <v>256</v>
      </c>
      <c r="S24" s="3" t="s">
        <v>257</v>
      </c>
      <c r="T24" s="9" t="s">
        <v>258</v>
      </c>
      <c r="U24" s="10" t="n">
        <v>247</v>
      </c>
      <c r="V24" s="10" t="n">
        <v>247</v>
      </c>
      <c r="W24" s="2" t="s">
        <v>107</v>
      </c>
      <c r="X24" s="2" t="s">
        <v>96</v>
      </c>
      <c r="Y24" s="3" t="s">
        <v>259</v>
      </c>
      <c r="Z24" s="3" t="s">
        <v>260</v>
      </c>
      <c r="AA24" s="2" t="s">
        <v>261</v>
      </c>
    </row>
    <row r="25" customFormat="false" ht="90" hidden="false" customHeight="true" outlineLevel="0" collapsed="false">
      <c r="A25" s="2" t="n">
        <v>24</v>
      </c>
      <c r="B25" s="3" t="s">
        <v>262</v>
      </c>
      <c r="C25" s="3" t="s">
        <v>263</v>
      </c>
      <c r="D25" s="4" t="n">
        <v>4</v>
      </c>
      <c r="E25" s="4" t="n">
        <v>2</v>
      </c>
      <c r="F25" s="2" t="str">
        <f aca="false">IF(E25&gt;=9,"Muito fácil",IF(E25&gt;=7,"Fácil",IF(E25&gt;=5,"Média",IF(E25&gt;=3,"Difícil","Muito difícil"))))</f>
        <v>Muito difícil</v>
      </c>
      <c r="G25" s="5" t="n">
        <f aca="false">ROUND(D25*2*0.5+E25*0.5,1)</f>
        <v>5</v>
      </c>
      <c r="H25" s="3" t="s">
        <v>43</v>
      </c>
      <c r="I25" s="4" t="n">
        <v>41</v>
      </c>
      <c r="J25" s="4" t="n">
        <v>0</v>
      </c>
      <c r="K25" s="6" t="n">
        <v>46190</v>
      </c>
      <c r="L25" s="7" t="n">
        <f aca="false">IF(ISNUMBER(K25),DATE(2026,9,26)-K25,"—")</f>
        <v>101</v>
      </c>
      <c r="M25" s="4" t="n">
        <v>81</v>
      </c>
      <c r="N25" s="4" t="s">
        <v>44</v>
      </c>
      <c r="O25" s="3" t="s">
        <v>264</v>
      </c>
      <c r="P25" s="8" t="s">
        <v>265</v>
      </c>
      <c r="Q25" s="9" t="s">
        <v>32</v>
      </c>
      <c r="R25" s="9" t="s">
        <v>266</v>
      </c>
      <c r="S25" s="3" t="s">
        <v>267</v>
      </c>
      <c r="T25" s="9" t="s">
        <v>258</v>
      </c>
      <c r="U25" s="10" t="n">
        <v>97</v>
      </c>
      <c r="V25" s="10" t="n">
        <v>210</v>
      </c>
      <c r="W25" s="2" t="s">
        <v>61</v>
      </c>
      <c r="X25" s="2" t="s">
        <v>268</v>
      </c>
      <c r="Y25" s="3" t="s">
        <v>269</v>
      </c>
      <c r="Z25" s="3" t="s">
        <v>270</v>
      </c>
      <c r="AA25" s="2" t="s">
        <v>271</v>
      </c>
    </row>
    <row r="26" customFormat="false" ht="90" hidden="false" customHeight="true" outlineLevel="0" collapsed="false">
      <c r="A26" s="2" t="n">
        <v>25</v>
      </c>
      <c r="B26" s="3" t="s">
        <v>272</v>
      </c>
      <c r="C26" s="3" t="s">
        <v>273</v>
      </c>
      <c r="D26" s="4" t="n">
        <v>2</v>
      </c>
      <c r="E26" s="4" t="n">
        <v>6</v>
      </c>
      <c r="F26" s="2" t="str">
        <f aca="false">IF(E26&gt;=9,"Muito fácil",IF(E26&gt;=7,"Fácil",IF(E26&gt;=5,"Média",IF(E26&gt;=3,"Difícil","Muito difícil"))))</f>
        <v>Média</v>
      </c>
      <c r="G26" s="5" t="n">
        <f aca="false">ROUND(D26*2*0.5+E26*0.5,1)</f>
        <v>5</v>
      </c>
      <c r="H26" s="3" t="s">
        <v>29</v>
      </c>
      <c r="I26" s="4" t="n">
        <v>28</v>
      </c>
      <c r="J26" s="4" t="n">
        <v>8</v>
      </c>
      <c r="K26" s="6" t="n">
        <v>46263</v>
      </c>
      <c r="L26" s="7" t="n">
        <f aca="false">IF(ISNUMBER(K26),DATE(2026,9,26)-K26,"—")</f>
        <v>28</v>
      </c>
      <c r="M26" s="4" t="n">
        <v>8</v>
      </c>
      <c r="N26" s="4" t="s">
        <v>44</v>
      </c>
      <c r="O26" s="3" t="s">
        <v>274</v>
      </c>
      <c r="P26" s="8" t="s">
        <v>275</v>
      </c>
      <c r="Q26" s="9" t="s">
        <v>32</v>
      </c>
      <c r="R26" s="9" t="s">
        <v>276</v>
      </c>
      <c r="S26" s="3" t="s">
        <v>277</v>
      </c>
      <c r="T26" s="9" t="s">
        <v>278</v>
      </c>
      <c r="U26" s="10"/>
      <c r="V26" s="10"/>
      <c r="W26" s="2" t="s">
        <v>44</v>
      </c>
      <c r="X26" s="2" t="s">
        <v>96</v>
      </c>
      <c r="Y26" s="3" t="s">
        <v>279</v>
      </c>
      <c r="Z26" s="3" t="s">
        <v>280</v>
      </c>
      <c r="AA26" s="2" t="s">
        <v>281</v>
      </c>
    </row>
    <row r="27" customFormat="false" ht="90" hidden="false" customHeight="true" outlineLevel="0" collapsed="false">
      <c r="A27" s="2" t="n">
        <v>26</v>
      </c>
      <c r="B27" s="3" t="s">
        <v>282</v>
      </c>
      <c r="C27" s="3" t="s">
        <v>283</v>
      </c>
      <c r="D27" s="4" t="n">
        <v>3</v>
      </c>
      <c r="E27" s="4" t="n">
        <v>3</v>
      </c>
      <c r="F27" s="2" t="str">
        <f aca="false">IF(E27&gt;=9,"Muito fácil",IF(E27&gt;=7,"Fácil",IF(E27&gt;=5,"Média",IF(E27&gt;=3,"Difícil","Muito difícil"))))</f>
        <v>Difícil</v>
      </c>
      <c r="G27" s="5" t="n">
        <f aca="false">ROUND(D27*2*0.5+E27*0.5,1)</f>
        <v>4.5</v>
      </c>
      <c r="H27" s="3" t="s">
        <v>43</v>
      </c>
      <c r="I27" s="4" t="n">
        <v>4</v>
      </c>
      <c r="J27" s="4" t="n">
        <v>0</v>
      </c>
      <c r="K27" s="6" t="n">
        <v>46134</v>
      </c>
      <c r="L27" s="7" t="n">
        <f aca="false">IF(ISNUMBER(K27),DATE(2026,9,26)-K27,"—")</f>
        <v>157</v>
      </c>
      <c r="M27" s="4" t="n">
        <v>137</v>
      </c>
      <c r="N27" s="4" t="s">
        <v>44</v>
      </c>
      <c r="O27" s="3" t="s">
        <v>284</v>
      </c>
      <c r="P27" s="8" t="s">
        <v>285</v>
      </c>
      <c r="Q27" s="9" t="s">
        <v>32</v>
      </c>
      <c r="R27" s="9" t="s">
        <v>286</v>
      </c>
      <c r="S27" s="3" t="s">
        <v>287</v>
      </c>
      <c r="T27" s="9" t="s">
        <v>288</v>
      </c>
      <c r="U27" s="10" t="n">
        <v>50</v>
      </c>
      <c r="V27" s="10" t="n">
        <v>150</v>
      </c>
      <c r="W27" s="2" t="s">
        <v>107</v>
      </c>
      <c r="X27" s="2" t="s">
        <v>268</v>
      </c>
      <c r="Y27" s="3" t="s">
        <v>289</v>
      </c>
      <c r="Z27" s="3" t="s">
        <v>290</v>
      </c>
      <c r="AA27" s="2" t="s">
        <v>291</v>
      </c>
    </row>
    <row r="28" customFormat="false" ht="90" hidden="false" customHeight="true" outlineLevel="0" collapsed="false">
      <c r="A28" s="2" t="n">
        <v>27</v>
      </c>
      <c r="B28" s="3" t="s">
        <v>292</v>
      </c>
      <c r="C28" s="3" t="s">
        <v>273</v>
      </c>
      <c r="D28" s="4" t="n">
        <v>3</v>
      </c>
      <c r="E28" s="4" t="n">
        <v>3</v>
      </c>
      <c r="F28" s="2" t="str">
        <f aca="false">IF(E28&gt;=9,"Muito fácil",IF(E28&gt;=7,"Fácil",IF(E28&gt;=5,"Média",IF(E28&gt;=3,"Difícil","Muito difícil"))))</f>
        <v>Difícil</v>
      </c>
      <c r="G28" s="5" t="n">
        <f aca="false">ROUND(D28*2*0.5+E28*0.5,1)</f>
        <v>4.5</v>
      </c>
      <c r="H28" s="3" t="s">
        <v>43</v>
      </c>
      <c r="I28" s="4" t="n">
        <v>5</v>
      </c>
      <c r="J28" s="4" t="n">
        <v>0</v>
      </c>
      <c r="K28" s="6" t="n">
        <v>46185</v>
      </c>
      <c r="L28" s="7" t="n">
        <f aca="false">IF(ISNUMBER(K28),DATE(2026,9,26)-K28,"—")</f>
        <v>106</v>
      </c>
      <c r="M28" s="4" t="s">
        <v>44</v>
      </c>
      <c r="N28" s="4" t="s">
        <v>44</v>
      </c>
      <c r="O28" s="3" t="s">
        <v>293</v>
      </c>
      <c r="P28" s="8" t="s">
        <v>294</v>
      </c>
      <c r="Q28" s="9" t="s">
        <v>32</v>
      </c>
      <c r="R28" s="9" t="s">
        <v>295</v>
      </c>
      <c r="S28" s="3" t="s">
        <v>296</v>
      </c>
      <c r="T28" s="9" t="s">
        <v>278</v>
      </c>
      <c r="U28" s="10" t="n">
        <v>297</v>
      </c>
      <c r="V28" s="10" t="n">
        <v>297</v>
      </c>
      <c r="W28" s="2" t="s">
        <v>107</v>
      </c>
      <c r="X28" s="2" t="s">
        <v>96</v>
      </c>
      <c r="Y28" s="3" t="s">
        <v>297</v>
      </c>
      <c r="Z28" s="3" t="s">
        <v>298</v>
      </c>
      <c r="AA28" s="2" t="s">
        <v>299</v>
      </c>
    </row>
    <row r="29" customFormat="false" ht="90" hidden="false" customHeight="true" outlineLevel="0" collapsed="false">
      <c r="A29" s="2" t="n">
        <v>28</v>
      </c>
      <c r="B29" s="3" t="s">
        <v>300</v>
      </c>
      <c r="C29" s="3" t="s">
        <v>301</v>
      </c>
      <c r="D29" s="4" t="n">
        <v>1</v>
      </c>
      <c r="E29" s="4" t="n">
        <v>7</v>
      </c>
      <c r="F29" s="2" t="str">
        <f aca="false">IF(E29&gt;=9,"Muito fácil",IF(E29&gt;=7,"Fácil",IF(E29&gt;=5,"Média",IF(E29&gt;=3,"Difícil","Muito difícil"))))</f>
        <v>Fácil</v>
      </c>
      <c r="G29" s="5" t="n">
        <f aca="false">ROUND(D29*2*0.5+E29*0.5,1)</f>
        <v>4.5</v>
      </c>
      <c r="H29" s="3" t="s">
        <v>68</v>
      </c>
      <c r="I29" s="4" t="n">
        <v>4</v>
      </c>
      <c r="J29" s="4" t="n">
        <v>2</v>
      </c>
      <c r="K29" s="6" t="n">
        <v>46265</v>
      </c>
      <c r="L29" s="7" t="n">
        <f aca="false">IF(ISNUMBER(K29),DATE(2026,9,26)-K29,"—")</f>
        <v>26</v>
      </c>
      <c r="M29" s="4" t="n">
        <v>12</v>
      </c>
      <c r="N29" s="4" t="s">
        <v>44</v>
      </c>
      <c r="O29" s="3" t="s">
        <v>302</v>
      </c>
      <c r="P29" s="8" t="s">
        <v>303</v>
      </c>
      <c r="Q29" s="9" t="s">
        <v>32</v>
      </c>
      <c r="R29" s="9" t="s">
        <v>304</v>
      </c>
      <c r="S29" s="3" t="s">
        <v>305</v>
      </c>
      <c r="T29" s="9" t="s">
        <v>306</v>
      </c>
      <c r="U29" s="10" t="n">
        <v>67</v>
      </c>
      <c r="V29" s="10" t="n">
        <v>67</v>
      </c>
      <c r="W29" s="2" t="s">
        <v>307</v>
      </c>
      <c r="X29" s="2" t="s">
        <v>50</v>
      </c>
      <c r="Y29" s="3" t="s">
        <v>308</v>
      </c>
      <c r="Z29" s="3" t="s">
        <v>309</v>
      </c>
      <c r="AA29" s="2" t="s">
        <v>310</v>
      </c>
    </row>
    <row r="30" customFormat="false" ht="90" hidden="false" customHeight="true" outlineLevel="0" collapsed="false">
      <c r="A30" s="2" t="n">
        <v>29</v>
      </c>
      <c r="B30" s="3" t="s">
        <v>311</v>
      </c>
      <c r="C30" s="3" t="s">
        <v>301</v>
      </c>
      <c r="D30" s="4" t="n">
        <v>2</v>
      </c>
      <c r="E30" s="4" t="n">
        <v>3</v>
      </c>
      <c r="F30" s="2" t="str">
        <f aca="false">IF(E30&gt;=9,"Muito fácil",IF(E30&gt;=7,"Fácil",IF(E30&gt;=5,"Média",IF(E30&gt;=3,"Difícil","Muito difícil"))))</f>
        <v>Difícil</v>
      </c>
      <c r="G30" s="5" t="n">
        <f aca="false">ROUND(D30*2*0.5+E30*0.5,1)</f>
        <v>3.5</v>
      </c>
      <c r="H30" s="3" t="s">
        <v>43</v>
      </c>
      <c r="I30" s="4" t="n">
        <v>2</v>
      </c>
      <c r="J30" s="4" t="n">
        <v>0</v>
      </c>
      <c r="K30" s="6" t="n">
        <v>46268</v>
      </c>
      <c r="L30" s="7" t="n">
        <f aca="false">IF(ISNUMBER(K30),DATE(2026,9,26)-K30,"—")</f>
        <v>23</v>
      </c>
      <c r="M30" s="4" t="n">
        <v>30</v>
      </c>
      <c r="N30" s="4" t="s">
        <v>44</v>
      </c>
      <c r="O30" s="3" t="s">
        <v>312</v>
      </c>
      <c r="P30" s="8" t="s">
        <v>313</v>
      </c>
      <c r="Q30" s="9" t="s">
        <v>32</v>
      </c>
      <c r="R30" s="9" t="s">
        <v>314</v>
      </c>
      <c r="S30" s="3" t="s">
        <v>315</v>
      </c>
      <c r="T30" s="9" t="s">
        <v>306</v>
      </c>
      <c r="U30" s="10" t="n">
        <v>40</v>
      </c>
      <c r="V30" s="10" t="n">
        <v>120</v>
      </c>
      <c r="W30" s="2" t="s">
        <v>107</v>
      </c>
      <c r="X30" s="2" t="s">
        <v>96</v>
      </c>
      <c r="Y30" s="3" t="s">
        <v>316</v>
      </c>
      <c r="Z30" s="3" t="s">
        <v>317</v>
      </c>
      <c r="AA30" s="2" t="s">
        <v>318</v>
      </c>
    </row>
  </sheetData>
  <autoFilter ref="A1:AA30"/>
  <conditionalFormatting sqref="D2:D30">
    <cfRule type="colorScale" priority="2">
      <colorScale>
        <cfvo type="num" val="1"/>
        <cfvo type="num" val="5"/>
        <color rgb="FFF4F6F9"/>
        <color rgb="FF2E7D5B"/>
      </colorScale>
    </cfRule>
  </conditionalFormatting>
  <conditionalFormatting sqref="E2:E30">
    <cfRule type="colorScale" priority="3">
      <colorScale>
        <cfvo type="num" val="1"/>
        <cfvo type="num" val="10"/>
        <color rgb="FFF4F6F9"/>
        <color rgb="FF2E6FB7"/>
      </colorScale>
    </cfRule>
  </conditionalFormatting>
  <conditionalFormatting sqref="G2:G30">
    <cfRule type="colorScale" priority="4">
      <colorScale>
        <cfvo type="num" val="3"/>
        <cfvo type="num" val="6"/>
        <cfvo type="num" val="9"/>
        <color rgb="FFFDECEA"/>
        <color rgb="FFFFF6D6"/>
        <color rgb="FFCDEBD8"/>
      </colorScale>
    </cfRule>
  </conditionalFormatting>
  <hyperlinks>
    <hyperlink ref="P2" r:id="rId1" display="https://par-sketch.app/"/>
    <hyperlink ref="Q2" r:id="rId2" display="Abrir anúncios ativos"/>
    <hyperlink ref="R2" r:id="rId3" display="1637691644439783 (01/09/2026)"/>
    <hyperlink ref="T2" r:id="rId4" display="Buscar “retrato da alma gêmea”"/>
    <hyperlink ref="P3" r:id="rId5" display="https://alfabetinho.com.br/produtos2026"/>
    <hyperlink ref="Q3" r:id="rId6" display="Abrir anúncios ativos"/>
    <hyperlink ref="R3" r:id="rId7" display="970044505662581 (29/05/2026)"/>
    <hyperlink ref="T3" r:id="rId8" display="Buscar “alfabetinho”"/>
    <hyperlink ref="P4" r:id="rId9" display="https://parabolaskids.com.br/"/>
    <hyperlink ref="Q4" r:id="rId10" display="Abrir anúncios ativos"/>
    <hyperlink ref="R4" r:id="rId11" display="993503046348507 (11/05/2026)"/>
    <hyperlink ref="T4" r:id="rId12" display="Buscar “parábolas bíblicas para crianças”"/>
    <hyperlink ref="P5" r:id="rId13" display="https://comportamentopositivo.com/disciplina/"/>
    <hyperlink ref="Q5" r:id="rId14" display="Abrir anúncios ativos"/>
    <hyperlink ref="R5" r:id="rId15" display="2084315022150331 (26/05/2026)"/>
    <hyperlink ref="T5" r:id="rId16" display="Buscar “disciplina positiva”"/>
    <hyperlink ref="P6" r:id="rId17" display="https://bonecas-de-papel.vercel.app/"/>
    <hyperlink ref="Q6" r:id="rId18" display="Abrir anúncios ativos"/>
    <hyperlink ref="R6" r:id="rId19" display="2219073155603183 (26/07/2026)"/>
    <hyperlink ref="T6" r:id="rId20" display="Buscar “bonecas de papel”"/>
    <hyperlink ref="P7" r:id="rId21" display="https://teste.pipoeduca.com/"/>
    <hyperlink ref="Q7" r:id="rId22" display="Abrir anúncios ativos"/>
    <hyperlink ref="R7" r:id="rId23" display="1226637092640294 (22/04/2026)"/>
    <hyperlink ref="T7" r:id="rId24" display="Buscar “NeuroOctoMusical”"/>
    <hyperlink ref="P8" r:id="rId25" display="https://galeraindica.com.br/ritmado/"/>
    <hyperlink ref="Q8" r:id="rId26" display="Abrir anúncios ativos"/>
    <hyperlink ref="R8" r:id="rId27" display="2735190620155666 (08/03/2026)"/>
    <hyperlink ref="T8" r:id="rId28" display="Buscar “educação física ead”"/>
    <hyperlink ref="P9" r:id="rId29" display="https://atividade-cursiva.netlify.app"/>
    <hyperlink ref="Q9" r:id="rId30" display="Abrir anúncios ativos"/>
    <hyperlink ref="R9" r:id="rId31" display="2155571435280165 (30/04/2026)"/>
    <hyperlink ref="T9" r:id="rId32" display="Buscar “caligrafia”"/>
    <hyperlink ref="P10" r:id="rId33" display="https://mundocriativobr.shop"/>
    <hyperlink ref="Q10" r:id="rId34" display="Abrir anúncios ativos"/>
    <hyperlink ref="R10" r:id="rId35" display="4477216049201855 (15/07/2026)"/>
    <hyperlink ref="T10" r:id="rId36" display="Buscar “caligrafia”"/>
    <hyperlink ref="P11" r:id="rId37" display="https://ballerinalab.com.br/cantigas-da-bailarina"/>
    <hyperlink ref="Q11" r:id="rId38" display="Abrir anúncios ativos"/>
    <hyperlink ref="R11" r:id="rId39" display="1084074807856178 (26/08/2026)"/>
    <hyperlink ref="T11" r:id="rId40" display="Buscar “coreografias prontas”"/>
    <hyperlink ref="P12" r:id="rId41" display="https://www.thelittlegenius.com.br"/>
    <hyperlink ref="Q12" r:id="rId42" display="Abrir anúncios ativos"/>
    <hyperlink ref="R12" r:id="rId43" display="2025255935031779 (16/06/2026)"/>
    <hyperlink ref="T12" r:id="rId44" display="Buscar “little genius”"/>
    <hyperlink ref="P13" r:id="rId45" display="https://clubedapedagogia.com"/>
    <hyperlink ref="Q13" r:id="rId46" display="Abrir anúncios ativos"/>
    <hyperlink ref="R13" r:id="rId47" display="992686450320863 (18/06/2026)"/>
    <hyperlink ref="T13" r:id="rId48" display="Buscar “clube da pedagogia”"/>
    <hyperlink ref="P14" r:id="rId49" display="https://licaokids.com.br"/>
    <hyperlink ref="Q14" r:id="rId50" display="Abrir anúncios ativos"/>
    <hyperlink ref="R14" r:id="rId51" display="1105081868831679 (25/08/2026)"/>
    <hyperlink ref="T14" r:id="rId52" display="Buscar “licao kids”"/>
    <hyperlink ref="P15" r:id="rId53" display="https://pequenasestilistas.com"/>
    <hyperlink ref="Q15" r:id="rId54" display="Abrir anúncios ativos"/>
    <hyperlink ref="R15" r:id="rId55" display="1050552667832142 (12/08/2026)"/>
    <hyperlink ref="T15" r:id="rId56" display="Buscar “pequenas estilistas”"/>
    <hyperlink ref="P16" r:id="rId57" display="https://kit-300aulas-edfisica.netlify.app/"/>
    <hyperlink ref="Q16" r:id="rId58" display="Abrir anúncios ativos"/>
    <hyperlink ref="R16" r:id="rId59" display="1060059023314947 (20/09/2026)"/>
    <hyperlink ref="T16" r:id="rId60" display="Buscar “aulas prontas educação física”"/>
    <hyperlink ref="Q17" r:id="rId61" display="Abrir anúncios ativos"/>
    <hyperlink ref="T17" r:id="rId62" display="Buscar “missa em atividades”"/>
    <hyperlink ref="Q18" r:id="rId63" display="Abrir anúncios ativos"/>
    <hyperlink ref="T18" r:id="rId64" display="Buscar “do rabisco à letra bonita”"/>
    <hyperlink ref="Q19" r:id="rId65" display="Abrir anúncios ativos"/>
    <hyperlink ref="T19" r:id="rId66" display="Buscar “alfa kids”"/>
    <hyperlink ref="Q20" r:id="rId67" display="Abrir anúncios ativos"/>
    <hyperlink ref="T20" r:id="rId68" display="Buscar “grafismo fonético”"/>
    <hyperlink ref="P21" r:id="rId69" display="https://bibliotecainterativa.com"/>
    <hyperlink ref="Q21" r:id="rId70" display="Abrir anúncios ativos"/>
    <hyperlink ref="T21" r:id="rId71" display="Buscar “mundinho de papel”"/>
    <hyperlink ref="P22" r:id="rId72" display="https://casinhadossonhos.com.br"/>
    <hyperlink ref="Q22" r:id="rId73" display="Abrir anúncios ativos"/>
    <hyperlink ref="T22" r:id="rId74" display="Buscar “casinha dos sonhos”"/>
    <hyperlink ref="P23" r:id="rId75" display="https://dancadosnoivosonline.com/"/>
    <hyperlink ref="Q23" r:id="rId76" display="Abrir anúncios ativos"/>
    <hyperlink ref="R23" r:id="rId77" display="1709135547148649 (15/04/2025)"/>
    <hyperlink ref="T23" r:id="rId78" display="Buscar “dança dos noivos”"/>
    <hyperlink ref="P24" r:id="rId79" display="https://patriciacavalcante.com.br/combo-10-cursos-de-danca-do-ventre2"/>
    <hyperlink ref="Q24" r:id="rId80" display="Abrir anúncios ativos"/>
    <hyperlink ref="R24" r:id="rId81" display="1023550673675761 (29/05/2026)"/>
    <hyperlink ref="T24" r:id="rId82" display="Buscar “dança do ventre”"/>
    <hyperlink ref="P25" r:id="rId83" display="https://shaktistudioonline.com/portal-shakti-club"/>
    <hyperlink ref="Q25" r:id="rId84" display="Abrir anúncios ativos"/>
    <hyperlink ref="R25" r:id="rId85" display="1481713799929612 (17/06/2026)"/>
    <hyperlink ref="T25" r:id="rId86" display="Buscar “dança do ventre”"/>
    <hyperlink ref="P26" r:id="rId87" display="https://quiz.forrozeirodozero.com.br/"/>
    <hyperlink ref="Q26" r:id="rId88" display="Abrir anúncios ativos"/>
    <hyperlink ref="R26" r:id="rId89" display="1064507922644275 (29/08/2026)"/>
    <hyperlink ref="T26" r:id="rId90" display="Buscar “aprender forró”"/>
    <hyperlink ref="P27" r:id="rId91" display="https://conteudos.tutudaju.com/assinatura-de-aulas-tutu-da-ju"/>
    <hyperlink ref="Q27" r:id="rId92" display="Abrir anúncios ativos"/>
    <hyperlink ref="R27" r:id="rId93" display="1354322349865514 (22/04/2026)"/>
    <hyperlink ref="T27" r:id="rId94" display="Buscar “aulas de ballet”"/>
    <hyperlink ref="P28" r:id="rId95" display="https://pedescalcomkt.com.br/forro-zero/"/>
    <hyperlink ref="Q28" r:id="rId96" display="Abrir anúncios ativos"/>
    <hyperlink ref="R28" r:id="rId97" display="1707449480261174 (12/06/2026)"/>
    <hyperlink ref="T28" r:id="rId98" display="Buscar “aprender forró”"/>
    <hyperlink ref="P29" r:id="rId99" display="https://dicionarioemmovimento.site/"/>
    <hyperlink ref="Q29" r:id="rId100" display="Abrir anúncios ativos"/>
    <hyperlink ref="R29" r:id="rId101" display="3577644852403387 (31/08/2026)"/>
    <hyperlink ref="T29" r:id="rId102" display="Buscar “ministério de dança”"/>
    <hyperlink ref="P30" r:id="rId103" display="https://brumdance.com.br/3em1/"/>
    <hyperlink ref="Q30" r:id="rId104" display="Abrir anúncios ativos"/>
    <hyperlink ref="R30" r:id="rId105" display="28673785225560791 (03/09/2026)"/>
    <hyperlink ref="T30" r:id="rId106" display="Buscar “ministério de dança”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30"/>
    <col collapsed="false" customWidth="true" hidden="false" outlineLevel="0" max="7" min="7" style="0" width="60"/>
  </cols>
  <sheetData>
    <row r="1" customFormat="false" ht="31.5" hidden="false" customHeight="true" outlineLevel="0" collapsed="false">
      <c r="A1" s="1" t="s">
        <v>1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</row>
    <row r="2" customFormat="false" ht="15" hidden="false" customHeight="false" outlineLevel="0" collapsed="false">
      <c r="A2" s="2" t="s">
        <v>41</v>
      </c>
      <c r="B2" s="9" t="s">
        <v>325</v>
      </c>
      <c r="C2" s="6" t="n">
        <v>46171</v>
      </c>
      <c r="D2" s="11" t="n">
        <f aca="false">DATE(2026,9,26)-C2</f>
        <v>120</v>
      </c>
      <c r="E2" s="2" t="s">
        <v>326</v>
      </c>
      <c r="F2" s="2" t="s">
        <v>327</v>
      </c>
      <c r="G2" s="9" t="s">
        <v>46</v>
      </c>
    </row>
    <row r="3" customFormat="false" ht="15" hidden="false" customHeight="false" outlineLevel="0" collapsed="false">
      <c r="A3" s="2" t="s">
        <v>41</v>
      </c>
      <c r="B3" s="9" t="s">
        <v>328</v>
      </c>
      <c r="C3" s="6" t="n">
        <v>46171</v>
      </c>
      <c r="D3" s="11" t="n">
        <f aca="false">DATE(2026,9,26)-C3</f>
        <v>120</v>
      </c>
      <c r="E3" s="2" t="s">
        <v>329</v>
      </c>
      <c r="F3" s="2" t="s">
        <v>327</v>
      </c>
      <c r="G3" s="9" t="s">
        <v>46</v>
      </c>
    </row>
    <row r="4" customFormat="false" ht="15" hidden="false" customHeight="false" outlineLevel="0" collapsed="false">
      <c r="A4" s="2" t="s">
        <v>41</v>
      </c>
      <c r="B4" s="9" t="s">
        <v>330</v>
      </c>
      <c r="C4" s="6" t="n">
        <v>46171</v>
      </c>
      <c r="D4" s="11" t="n">
        <f aca="false">DATE(2026,9,26)-C4</f>
        <v>120</v>
      </c>
      <c r="E4" s="2" t="s">
        <v>329</v>
      </c>
      <c r="F4" s="2" t="s">
        <v>327</v>
      </c>
      <c r="G4" s="9" t="s">
        <v>46</v>
      </c>
    </row>
    <row r="5" customFormat="false" ht="15" hidden="false" customHeight="false" outlineLevel="0" collapsed="false">
      <c r="A5" s="2" t="s">
        <v>41</v>
      </c>
      <c r="B5" s="9" t="s">
        <v>331</v>
      </c>
      <c r="C5" s="6" t="n">
        <v>46171</v>
      </c>
      <c r="D5" s="11" t="n">
        <f aca="false">DATE(2026,9,26)-C5</f>
        <v>120</v>
      </c>
      <c r="E5" s="2" t="s">
        <v>326</v>
      </c>
      <c r="F5" s="2" t="s">
        <v>327</v>
      </c>
      <c r="G5" s="9" t="s">
        <v>46</v>
      </c>
    </row>
    <row r="6" customFormat="false" ht="15" hidden="false" customHeight="false" outlineLevel="0" collapsed="false">
      <c r="A6" s="2" t="s">
        <v>41</v>
      </c>
      <c r="B6" s="9" t="s">
        <v>332</v>
      </c>
      <c r="C6" s="6" t="n">
        <v>46171</v>
      </c>
      <c r="D6" s="11" t="n">
        <f aca="false">DATE(2026,9,26)-C6</f>
        <v>120</v>
      </c>
      <c r="E6" s="2" t="s">
        <v>333</v>
      </c>
      <c r="F6" s="2" t="s">
        <v>327</v>
      </c>
      <c r="G6" s="9" t="s">
        <v>46</v>
      </c>
    </row>
    <row r="7" customFormat="false" ht="15" hidden="false" customHeight="false" outlineLevel="0" collapsed="false">
      <c r="A7" s="2" t="s">
        <v>41</v>
      </c>
      <c r="B7" s="9" t="s">
        <v>334</v>
      </c>
      <c r="C7" s="6" t="n">
        <v>46171</v>
      </c>
      <c r="D7" s="11" t="n">
        <f aca="false">DATE(2026,9,26)-C7</f>
        <v>120</v>
      </c>
      <c r="E7" s="2" t="s">
        <v>333</v>
      </c>
      <c r="F7" s="2" t="s">
        <v>327</v>
      </c>
      <c r="G7" s="9" t="s">
        <v>46</v>
      </c>
    </row>
    <row r="8" customFormat="false" ht="15" hidden="false" customHeight="false" outlineLevel="0" collapsed="false">
      <c r="A8" s="2" t="s">
        <v>41</v>
      </c>
      <c r="B8" s="9" t="s">
        <v>335</v>
      </c>
      <c r="C8" s="6" t="n">
        <v>46171</v>
      </c>
      <c r="D8" s="11" t="n">
        <f aca="false">DATE(2026,9,26)-C8</f>
        <v>120</v>
      </c>
      <c r="E8" s="2" t="s">
        <v>333</v>
      </c>
      <c r="F8" s="2" t="s">
        <v>327</v>
      </c>
      <c r="G8" s="9" t="s">
        <v>46</v>
      </c>
    </row>
    <row r="9" customFormat="false" ht="15" hidden="false" customHeight="false" outlineLevel="0" collapsed="false">
      <c r="A9" s="2" t="s">
        <v>41</v>
      </c>
      <c r="B9" s="9" t="s">
        <v>336</v>
      </c>
      <c r="C9" s="6" t="n">
        <v>46173</v>
      </c>
      <c r="D9" s="11" t="n">
        <f aca="false">DATE(2026,9,26)-C9</f>
        <v>118</v>
      </c>
      <c r="E9" s="2" t="s">
        <v>337</v>
      </c>
      <c r="F9" s="2" t="s">
        <v>338</v>
      </c>
      <c r="G9" s="9" t="s">
        <v>339</v>
      </c>
    </row>
    <row r="10" customFormat="false" ht="15" hidden="false" customHeight="false" outlineLevel="0" collapsed="false">
      <c r="A10" s="2" t="s">
        <v>41</v>
      </c>
      <c r="B10" s="9" t="s">
        <v>340</v>
      </c>
      <c r="C10" s="6" t="n">
        <v>46235</v>
      </c>
      <c r="D10" s="11" t="n">
        <f aca="false">DATE(2026,9,26)-C10</f>
        <v>56</v>
      </c>
      <c r="E10" s="2" t="s">
        <v>337</v>
      </c>
      <c r="F10" s="2" t="s">
        <v>338</v>
      </c>
      <c r="G10" s="9" t="s">
        <v>341</v>
      </c>
    </row>
    <row r="11" customFormat="false" ht="15" hidden="false" customHeight="false" outlineLevel="0" collapsed="false">
      <c r="A11" s="2" t="s">
        <v>131</v>
      </c>
      <c r="B11" s="9" t="s">
        <v>342</v>
      </c>
      <c r="C11" s="6" t="n">
        <v>46260</v>
      </c>
      <c r="D11" s="11" t="n">
        <f aca="false">DATE(2026,9,26)-C11</f>
        <v>31</v>
      </c>
      <c r="E11" s="2" t="s">
        <v>337</v>
      </c>
      <c r="F11" s="2" t="s">
        <v>343</v>
      </c>
      <c r="G11" s="9" t="s">
        <v>344</v>
      </c>
    </row>
    <row r="12" customFormat="false" ht="15" hidden="false" customHeight="false" outlineLevel="0" collapsed="false">
      <c r="A12" s="2" t="s">
        <v>131</v>
      </c>
      <c r="B12" s="9" t="s">
        <v>345</v>
      </c>
      <c r="C12" s="6" t="n">
        <v>46260</v>
      </c>
      <c r="D12" s="11" t="n">
        <f aca="false">DATE(2026,9,26)-C12</f>
        <v>31</v>
      </c>
      <c r="E12" s="2" t="s">
        <v>337</v>
      </c>
      <c r="F12" s="2" t="s">
        <v>343</v>
      </c>
      <c r="G12" s="9" t="s">
        <v>344</v>
      </c>
    </row>
    <row r="13" customFormat="false" ht="15" hidden="false" customHeight="false" outlineLevel="0" collapsed="false">
      <c r="A13" s="2" t="s">
        <v>131</v>
      </c>
      <c r="B13" s="9" t="s">
        <v>346</v>
      </c>
      <c r="C13" s="6" t="n">
        <v>46260</v>
      </c>
      <c r="D13" s="11" t="n">
        <f aca="false">DATE(2026,9,26)-C13</f>
        <v>31</v>
      </c>
      <c r="E13" s="2" t="s">
        <v>337</v>
      </c>
      <c r="F13" s="2" t="s">
        <v>343</v>
      </c>
      <c r="G13" s="9" t="s">
        <v>347</v>
      </c>
    </row>
    <row r="14" customFormat="false" ht="15" hidden="false" customHeight="false" outlineLevel="0" collapsed="false">
      <c r="A14" s="2" t="s">
        <v>131</v>
      </c>
      <c r="B14" s="9" t="s">
        <v>348</v>
      </c>
      <c r="C14" s="6" t="n">
        <v>46260</v>
      </c>
      <c r="D14" s="11" t="n">
        <f aca="false">DATE(2026,9,26)-C14</f>
        <v>31</v>
      </c>
      <c r="E14" s="2" t="s">
        <v>337</v>
      </c>
      <c r="F14" s="2" t="s">
        <v>343</v>
      </c>
      <c r="G14" s="9" t="s">
        <v>347</v>
      </c>
    </row>
    <row r="15" customFormat="false" ht="15" hidden="false" customHeight="false" outlineLevel="0" collapsed="false">
      <c r="A15" s="2" t="s">
        <v>131</v>
      </c>
      <c r="B15" s="9" t="s">
        <v>349</v>
      </c>
      <c r="C15" s="6" t="n">
        <v>46260</v>
      </c>
      <c r="D15" s="11" t="n">
        <f aca="false">DATE(2026,9,26)-C15</f>
        <v>31</v>
      </c>
      <c r="E15" s="2" t="s">
        <v>337</v>
      </c>
      <c r="F15" s="2" t="s">
        <v>343</v>
      </c>
      <c r="G15" s="9" t="s">
        <v>344</v>
      </c>
    </row>
    <row r="16" customFormat="false" ht="15" hidden="false" customHeight="false" outlineLevel="0" collapsed="false">
      <c r="A16" s="2" t="s">
        <v>131</v>
      </c>
      <c r="B16" s="9" t="s">
        <v>350</v>
      </c>
      <c r="C16" s="6" t="n">
        <v>46260</v>
      </c>
      <c r="D16" s="11" t="n">
        <f aca="false">DATE(2026,9,26)-C16</f>
        <v>31</v>
      </c>
      <c r="E16" s="2" t="s">
        <v>329</v>
      </c>
      <c r="F16" s="2" t="s">
        <v>343</v>
      </c>
      <c r="G16" s="9" t="s">
        <v>344</v>
      </c>
    </row>
    <row r="17" customFormat="false" ht="15" hidden="false" customHeight="false" outlineLevel="0" collapsed="false">
      <c r="A17" s="2" t="s">
        <v>131</v>
      </c>
      <c r="B17" s="9" t="s">
        <v>351</v>
      </c>
      <c r="C17" s="6" t="n">
        <v>46260</v>
      </c>
      <c r="D17" s="11" t="n">
        <f aca="false">DATE(2026,9,26)-C17</f>
        <v>31</v>
      </c>
      <c r="E17" s="2" t="s">
        <v>337</v>
      </c>
      <c r="F17" s="2" t="s">
        <v>343</v>
      </c>
      <c r="G17" s="9" t="s">
        <v>347</v>
      </c>
    </row>
    <row r="18" customFormat="false" ht="15" hidden="false" customHeight="false" outlineLevel="0" collapsed="false">
      <c r="A18" s="2" t="s">
        <v>131</v>
      </c>
      <c r="B18" s="9" t="s">
        <v>352</v>
      </c>
      <c r="C18" s="6" t="n">
        <v>46260</v>
      </c>
      <c r="D18" s="11" t="n">
        <f aca="false">DATE(2026,9,26)-C18</f>
        <v>31</v>
      </c>
      <c r="E18" s="2" t="s">
        <v>329</v>
      </c>
      <c r="F18" s="2" t="s">
        <v>343</v>
      </c>
      <c r="G18" s="9" t="s">
        <v>344</v>
      </c>
    </row>
    <row r="19" customFormat="false" ht="15" hidden="false" customHeight="false" outlineLevel="0" collapsed="false">
      <c r="A19" s="2" t="s">
        <v>131</v>
      </c>
      <c r="B19" s="9" t="s">
        <v>353</v>
      </c>
      <c r="C19" s="6" t="n">
        <v>46260</v>
      </c>
      <c r="D19" s="11" t="n">
        <f aca="false">DATE(2026,9,26)-C19</f>
        <v>31</v>
      </c>
      <c r="E19" s="2" t="s">
        <v>329</v>
      </c>
      <c r="F19" s="2" t="s">
        <v>343</v>
      </c>
      <c r="G19" s="9" t="s">
        <v>344</v>
      </c>
    </row>
    <row r="20" customFormat="false" ht="15" hidden="false" customHeight="false" outlineLevel="0" collapsed="false">
      <c r="A20" s="2" t="s">
        <v>131</v>
      </c>
      <c r="B20" s="9" t="s">
        <v>354</v>
      </c>
      <c r="C20" s="6" t="n">
        <v>46260</v>
      </c>
      <c r="D20" s="11" t="n">
        <f aca="false">DATE(2026,9,26)-C20</f>
        <v>31</v>
      </c>
      <c r="E20" s="2" t="s">
        <v>337</v>
      </c>
      <c r="F20" s="2" t="s">
        <v>343</v>
      </c>
      <c r="G20" s="9" t="s">
        <v>347</v>
      </c>
    </row>
    <row r="21" customFormat="false" ht="15" hidden="false" customHeight="false" outlineLevel="0" collapsed="false">
      <c r="A21" s="2" t="s">
        <v>131</v>
      </c>
      <c r="B21" s="9" t="s">
        <v>355</v>
      </c>
      <c r="C21" s="6" t="n">
        <v>46261</v>
      </c>
      <c r="D21" s="11" t="n">
        <f aca="false">DATE(2026,9,26)-C21</f>
        <v>30</v>
      </c>
      <c r="E21" s="2" t="s">
        <v>337</v>
      </c>
      <c r="F21" s="2" t="s">
        <v>343</v>
      </c>
      <c r="G21" s="9" t="s">
        <v>344</v>
      </c>
    </row>
    <row r="22" customFormat="false" ht="15" hidden="false" customHeight="false" outlineLevel="0" collapsed="false">
      <c r="A22" s="2" t="s">
        <v>131</v>
      </c>
      <c r="B22" s="9" t="s">
        <v>356</v>
      </c>
      <c r="C22" s="6" t="n">
        <v>46261</v>
      </c>
      <c r="D22" s="11" t="n">
        <f aca="false">DATE(2026,9,26)-C22</f>
        <v>30</v>
      </c>
      <c r="E22" s="2" t="s">
        <v>337</v>
      </c>
      <c r="F22" s="2" t="s">
        <v>343</v>
      </c>
      <c r="G22" s="9" t="s">
        <v>344</v>
      </c>
    </row>
    <row r="23" customFormat="false" ht="15" hidden="false" customHeight="false" outlineLevel="0" collapsed="false">
      <c r="A23" s="2" t="s">
        <v>131</v>
      </c>
      <c r="B23" s="9" t="s">
        <v>357</v>
      </c>
      <c r="C23" s="6" t="n">
        <v>46261</v>
      </c>
      <c r="D23" s="11" t="n">
        <f aca="false">DATE(2026,9,26)-C23</f>
        <v>30</v>
      </c>
      <c r="E23" s="2" t="s">
        <v>337</v>
      </c>
      <c r="F23" s="2" t="s">
        <v>343</v>
      </c>
      <c r="G23" s="9" t="s">
        <v>347</v>
      </c>
    </row>
    <row r="24" customFormat="false" ht="15" hidden="false" customHeight="false" outlineLevel="0" collapsed="false">
      <c r="A24" s="2" t="s">
        <v>131</v>
      </c>
      <c r="B24" s="9" t="s">
        <v>358</v>
      </c>
      <c r="C24" s="6" t="n">
        <v>46262</v>
      </c>
      <c r="D24" s="11" t="n">
        <f aca="false">DATE(2026,9,26)-C24</f>
        <v>29</v>
      </c>
      <c r="E24" s="2" t="s">
        <v>337</v>
      </c>
      <c r="F24" s="2" t="s">
        <v>343</v>
      </c>
      <c r="G24" s="9" t="s">
        <v>347</v>
      </c>
    </row>
    <row r="25" customFormat="false" ht="15" hidden="false" customHeight="false" outlineLevel="0" collapsed="false">
      <c r="A25" s="2" t="s">
        <v>131</v>
      </c>
      <c r="B25" s="9" t="s">
        <v>359</v>
      </c>
      <c r="C25" s="6" t="n">
        <v>46262</v>
      </c>
      <c r="D25" s="11" t="n">
        <f aca="false">DATE(2026,9,26)-C25</f>
        <v>29</v>
      </c>
      <c r="E25" s="2" t="s">
        <v>337</v>
      </c>
      <c r="F25" s="2" t="s">
        <v>343</v>
      </c>
      <c r="G25" s="9" t="s">
        <v>347</v>
      </c>
    </row>
    <row r="26" customFormat="false" ht="15" hidden="false" customHeight="false" outlineLevel="0" collapsed="false">
      <c r="A26" s="2" t="s">
        <v>131</v>
      </c>
      <c r="B26" s="9" t="s">
        <v>360</v>
      </c>
      <c r="C26" s="6" t="n">
        <v>46262</v>
      </c>
      <c r="D26" s="11" t="n">
        <f aca="false">DATE(2026,9,26)-C26</f>
        <v>29</v>
      </c>
      <c r="E26" s="2" t="s">
        <v>337</v>
      </c>
      <c r="F26" s="2" t="s">
        <v>343</v>
      </c>
      <c r="G26" s="9" t="s">
        <v>134</v>
      </c>
    </row>
    <row r="27" customFormat="false" ht="15" hidden="false" customHeight="false" outlineLevel="0" collapsed="false">
      <c r="A27" s="2" t="s">
        <v>131</v>
      </c>
      <c r="B27" s="9" t="s">
        <v>361</v>
      </c>
      <c r="C27" s="6" t="n">
        <v>46262</v>
      </c>
      <c r="D27" s="11" t="n">
        <f aca="false">DATE(2026,9,26)-C27</f>
        <v>29</v>
      </c>
      <c r="E27" s="2" t="s">
        <v>337</v>
      </c>
      <c r="F27" s="2" t="s">
        <v>343</v>
      </c>
      <c r="G27" s="9" t="s">
        <v>344</v>
      </c>
    </row>
    <row r="28" customFormat="false" ht="15" hidden="false" customHeight="false" outlineLevel="0" collapsed="false">
      <c r="A28" s="2" t="s">
        <v>131</v>
      </c>
      <c r="B28" s="9" t="s">
        <v>362</v>
      </c>
      <c r="C28" s="6" t="n">
        <v>46262</v>
      </c>
      <c r="D28" s="11" t="n">
        <f aca="false">DATE(2026,9,26)-C28</f>
        <v>29</v>
      </c>
      <c r="E28" s="2" t="s">
        <v>337</v>
      </c>
      <c r="F28" s="2" t="s">
        <v>343</v>
      </c>
      <c r="G28" s="9" t="s">
        <v>134</v>
      </c>
    </row>
    <row r="29" customFormat="false" ht="15" hidden="false" customHeight="false" outlineLevel="0" collapsed="false">
      <c r="A29" s="2" t="s">
        <v>131</v>
      </c>
      <c r="B29" s="9" t="s">
        <v>363</v>
      </c>
      <c r="C29" s="6" t="n">
        <v>46262</v>
      </c>
      <c r="D29" s="11" t="n">
        <f aca="false">DATE(2026,9,26)-C29</f>
        <v>29</v>
      </c>
      <c r="E29" s="2" t="s">
        <v>337</v>
      </c>
      <c r="F29" s="2" t="s">
        <v>343</v>
      </c>
      <c r="G29" s="9" t="s">
        <v>134</v>
      </c>
    </row>
    <row r="30" customFormat="false" ht="15" hidden="false" customHeight="false" outlineLevel="0" collapsed="false">
      <c r="A30" s="2" t="s">
        <v>131</v>
      </c>
      <c r="B30" s="9" t="s">
        <v>364</v>
      </c>
      <c r="C30" s="6" t="n">
        <v>46262</v>
      </c>
      <c r="D30" s="11" t="n">
        <f aca="false">DATE(2026,9,26)-C30</f>
        <v>29</v>
      </c>
      <c r="E30" s="2" t="s">
        <v>337</v>
      </c>
      <c r="F30" s="2" t="s">
        <v>343</v>
      </c>
      <c r="G30" s="9" t="s">
        <v>134</v>
      </c>
    </row>
    <row r="31" customFormat="false" ht="15" hidden="false" customHeight="false" outlineLevel="0" collapsed="false">
      <c r="A31" s="2" t="s">
        <v>131</v>
      </c>
      <c r="B31" s="9" t="s">
        <v>365</v>
      </c>
      <c r="C31" s="6" t="n">
        <v>46262</v>
      </c>
      <c r="D31" s="11" t="n">
        <f aca="false">DATE(2026,9,26)-C31</f>
        <v>29</v>
      </c>
      <c r="E31" s="2" t="s">
        <v>337</v>
      </c>
      <c r="F31" s="2" t="s">
        <v>343</v>
      </c>
      <c r="G31" s="9" t="s">
        <v>344</v>
      </c>
    </row>
    <row r="32" customFormat="false" ht="15" hidden="false" customHeight="false" outlineLevel="0" collapsed="false">
      <c r="A32" s="2" t="s">
        <v>131</v>
      </c>
      <c r="B32" s="9" t="s">
        <v>366</v>
      </c>
      <c r="C32" s="6" t="n">
        <v>46262</v>
      </c>
      <c r="D32" s="11" t="n">
        <f aca="false">DATE(2026,9,26)-C32</f>
        <v>29</v>
      </c>
      <c r="E32" s="2" t="s">
        <v>337</v>
      </c>
      <c r="F32" s="2" t="s">
        <v>343</v>
      </c>
      <c r="G32" s="9" t="s">
        <v>344</v>
      </c>
    </row>
    <row r="33" customFormat="false" ht="15" hidden="false" customHeight="false" outlineLevel="0" collapsed="false">
      <c r="A33" s="2" t="s">
        <v>131</v>
      </c>
      <c r="B33" s="9" t="s">
        <v>367</v>
      </c>
      <c r="C33" s="6" t="n">
        <v>46262</v>
      </c>
      <c r="D33" s="11" t="n">
        <f aca="false">DATE(2026,9,26)-C33</f>
        <v>29</v>
      </c>
      <c r="E33" s="2" t="s">
        <v>337</v>
      </c>
      <c r="F33" s="2" t="s">
        <v>343</v>
      </c>
      <c r="G33" s="9" t="s">
        <v>134</v>
      </c>
    </row>
    <row r="34" customFormat="false" ht="15" hidden="false" customHeight="false" outlineLevel="0" collapsed="false">
      <c r="A34" s="2" t="s">
        <v>131</v>
      </c>
      <c r="B34" s="9" t="s">
        <v>368</v>
      </c>
      <c r="C34" s="6" t="n">
        <v>46262</v>
      </c>
      <c r="D34" s="11" t="n">
        <f aca="false">DATE(2026,9,26)-C34</f>
        <v>29</v>
      </c>
      <c r="E34" s="2" t="s">
        <v>337</v>
      </c>
      <c r="F34" s="2" t="s">
        <v>343</v>
      </c>
      <c r="G34" s="9" t="s">
        <v>344</v>
      </c>
    </row>
    <row r="35" customFormat="false" ht="15" hidden="false" customHeight="false" outlineLevel="0" collapsed="false">
      <c r="A35" s="2" t="s">
        <v>131</v>
      </c>
      <c r="B35" s="9" t="s">
        <v>369</v>
      </c>
      <c r="C35" s="6" t="n">
        <v>46262</v>
      </c>
      <c r="D35" s="11" t="n">
        <f aca="false">DATE(2026,9,26)-C35</f>
        <v>29</v>
      </c>
      <c r="E35" s="2" t="s">
        <v>337</v>
      </c>
      <c r="F35" s="2" t="s">
        <v>343</v>
      </c>
      <c r="G35" s="9" t="s">
        <v>344</v>
      </c>
    </row>
    <row r="36" customFormat="false" ht="15" hidden="false" customHeight="false" outlineLevel="0" collapsed="false">
      <c r="A36" s="2" t="s">
        <v>131</v>
      </c>
      <c r="B36" s="9" t="s">
        <v>370</v>
      </c>
      <c r="C36" s="6" t="n">
        <v>46262</v>
      </c>
      <c r="D36" s="11" t="n">
        <f aca="false">DATE(2026,9,26)-C36</f>
        <v>29</v>
      </c>
      <c r="E36" s="2" t="s">
        <v>337</v>
      </c>
      <c r="F36" s="2" t="s">
        <v>343</v>
      </c>
      <c r="G36" s="9" t="s">
        <v>344</v>
      </c>
    </row>
    <row r="37" customFormat="false" ht="15" hidden="false" customHeight="false" outlineLevel="0" collapsed="false">
      <c r="A37" s="2" t="s">
        <v>131</v>
      </c>
      <c r="B37" s="9" t="s">
        <v>371</v>
      </c>
      <c r="C37" s="6" t="n">
        <v>46262</v>
      </c>
      <c r="D37" s="11" t="n">
        <f aca="false">DATE(2026,9,26)-C37</f>
        <v>29</v>
      </c>
      <c r="E37" s="2" t="s">
        <v>337</v>
      </c>
      <c r="F37" s="2" t="s">
        <v>343</v>
      </c>
      <c r="G37" s="9" t="s">
        <v>347</v>
      </c>
    </row>
    <row r="38" customFormat="false" ht="15" hidden="false" customHeight="false" outlineLevel="0" collapsed="false">
      <c r="A38" s="2" t="s">
        <v>131</v>
      </c>
      <c r="B38" s="9" t="s">
        <v>372</v>
      </c>
      <c r="C38" s="6" t="n">
        <v>46262</v>
      </c>
      <c r="D38" s="11" t="n">
        <f aca="false">DATE(2026,9,26)-C38</f>
        <v>29</v>
      </c>
      <c r="E38" s="2" t="s">
        <v>337</v>
      </c>
      <c r="F38" s="2" t="s">
        <v>343</v>
      </c>
      <c r="G38" s="9" t="s">
        <v>344</v>
      </c>
    </row>
    <row r="39" customFormat="false" ht="15" hidden="false" customHeight="false" outlineLevel="0" collapsed="false">
      <c r="A39" s="2" t="s">
        <v>131</v>
      </c>
      <c r="B39" s="9" t="s">
        <v>373</v>
      </c>
      <c r="C39" s="6" t="n">
        <v>46262</v>
      </c>
      <c r="D39" s="11" t="n">
        <f aca="false">DATE(2026,9,26)-C39</f>
        <v>29</v>
      </c>
      <c r="E39" s="2" t="s">
        <v>337</v>
      </c>
      <c r="F39" s="2" t="s">
        <v>343</v>
      </c>
      <c r="G39" s="9" t="s">
        <v>134</v>
      </c>
    </row>
    <row r="40" customFormat="false" ht="15" hidden="false" customHeight="false" outlineLevel="0" collapsed="false">
      <c r="A40" s="2" t="s">
        <v>131</v>
      </c>
      <c r="B40" s="9" t="s">
        <v>374</v>
      </c>
      <c r="C40" s="6" t="n">
        <v>46262</v>
      </c>
      <c r="D40" s="11" t="n">
        <f aca="false">DATE(2026,9,26)-C40</f>
        <v>29</v>
      </c>
      <c r="E40" s="2" t="s">
        <v>337</v>
      </c>
      <c r="F40" s="2" t="s">
        <v>343</v>
      </c>
      <c r="G40" s="9" t="s">
        <v>134</v>
      </c>
    </row>
    <row r="41" customFormat="false" ht="15" hidden="false" customHeight="false" outlineLevel="0" collapsed="false">
      <c r="A41" s="2" t="s">
        <v>131</v>
      </c>
      <c r="B41" s="9" t="s">
        <v>375</v>
      </c>
      <c r="C41" s="6" t="n">
        <v>46262</v>
      </c>
      <c r="D41" s="11" t="n">
        <f aca="false">DATE(2026,9,26)-C41</f>
        <v>29</v>
      </c>
      <c r="E41" s="2" t="s">
        <v>337</v>
      </c>
      <c r="F41" s="2" t="s">
        <v>343</v>
      </c>
      <c r="G41" s="9" t="s">
        <v>134</v>
      </c>
    </row>
    <row r="42" customFormat="false" ht="15" hidden="false" customHeight="false" outlineLevel="0" collapsed="false">
      <c r="A42" s="2" t="s">
        <v>131</v>
      </c>
      <c r="B42" s="9" t="s">
        <v>376</v>
      </c>
      <c r="C42" s="6" t="n">
        <v>46262</v>
      </c>
      <c r="D42" s="11" t="n">
        <f aca="false">DATE(2026,9,26)-C42</f>
        <v>29</v>
      </c>
      <c r="E42" s="2" t="s">
        <v>337</v>
      </c>
      <c r="F42" s="2" t="s">
        <v>343</v>
      </c>
      <c r="G42" s="9" t="s">
        <v>344</v>
      </c>
    </row>
    <row r="43" customFormat="false" ht="15" hidden="false" customHeight="false" outlineLevel="0" collapsed="false">
      <c r="A43" s="2" t="s">
        <v>131</v>
      </c>
      <c r="B43" s="9" t="s">
        <v>377</v>
      </c>
      <c r="C43" s="6" t="n">
        <v>46265</v>
      </c>
      <c r="D43" s="11" t="n">
        <f aca="false">DATE(2026,9,26)-C43</f>
        <v>26</v>
      </c>
      <c r="E43" s="2" t="s">
        <v>337</v>
      </c>
      <c r="F43" s="2" t="s">
        <v>343</v>
      </c>
      <c r="G43" s="9" t="s">
        <v>134</v>
      </c>
    </row>
    <row r="44" customFormat="false" ht="15" hidden="false" customHeight="false" outlineLevel="0" collapsed="false">
      <c r="A44" s="2" t="s">
        <v>131</v>
      </c>
      <c r="B44" s="9" t="s">
        <v>378</v>
      </c>
      <c r="C44" s="6" t="n">
        <v>46265</v>
      </c>
      <c r="D44" s="11" t="n">
        <f aca="false">DATE(2026,9,26)-C44</f>
        <v>26</v>
      </c>
      <c r="E44" s="2" t="s">
        <v>337</v>
      </c>
      <c r="F44" s="2" t="s">
        <v>343</v>
      </c>
      <c r="G44" s="9" t="s">
        <v>134</v>
      </c>
    </row>
    <row r="45" customFormat="false" ht="15" hidden="false" customHeight="false" outlineLevel="0" collapsed="false">
      <c r="A45" s="2" t="s">
        <v>131</v>
      </c>
      <c r="B45" s="9" t="s">
        <v>379</v>
      </c>
      <c r="C45" s="6" t="n">
        <v>46265</v>
      </c>
      <c r="D45" s="11" t="n">
        <f aca="false">DATE(2026,9,26)-C45</f>
        <v>26</v>
      </c>
      <c r="E45" s="2" t="s">
        <v>337</v>
      </c>
      <c r="F45" s="2" t="s">
        <v>343</v>
      </c>
      <c r="G45" s="9" t="s">
        <v>134</v>
      </c>
    </row>
    <row r="46" customFormat="false" ht="15" hidden="false" customHeight="false" outlineLevel="0" collapsed="false">
      <c r="A46" s="2" t="s">
        <v>131</v>
      </c>
      <c r="B46" s="9" t="s">
        <v>380</v>
      </c>
      <c r="C46" s="6" t="n">
        <v>46265</v>
      </c>
      <c r="D46" s="11" t="n">
        <f aca="false">DATE(2026,9,26)-C46</f>
        <v>26</v>
      </c>
      <c r="E46" s="2" t="s">
        <v>337</v>
      </c>
      <c r="F46" s="2" t="s">
        <v>343</v>
      </c>
      <c r="G46" s="9" t="s">
        <v>134</v>
      </c>
    </row>
    <row r="47" customFormat="false" ht="15" hidden="false" customHeight="false" outlineLevel="0" collapsed="false">
      <c r="A47" s="2" t="s">
        <v>131</v>
      </c>
      <c r="B47" s="9" t="s">
        <v>381</v>
      </c>
      <c r="C47" s="6" t="n">
        <v>46265</v>
      </c>
      <c r="D47" s="11" t="n">
        <f aca="false">DATE(2026,9,26)-C47</f>
        <v>26</v>
      </c>
      <c r="E47" s="2" t="s">
        <v>337</v>
      </c>
      <c r="F47" s="2" t="s">
        <v>343</v>
      </c>
      <c r="G47" s="9" t="s">
        <v>134</v>
      </c>
    </row>
    <row r="48" customFormat="false" ht="15" hidden="false" customHeight="false" outlineLevel="0" collapsed="false">
      <c r="A48" s="2" t="s">
        <v>131</v>
      </c>
      <c r="B48" s="9" t="s">
        <v>382</v>
      </c>
      <c r="C48" s="6" t="n">
        <v>46266</v>
      </c>
      <c r="D48" s="11" t="n">
        <f aca="false">DATE(2026,9,26)-C48</f>
        <v>25</v>
      </c>
      <c r="E48" s="2" t="s">
        <v>337</v>
      </c>
      <c r="F48" s="2" t="s">
        <v>343</v>
      </c>
      <c r="G48" s="9" t="s">
        <v>134</v>
      </c>
    </row>
    <row r="49" customFormat="false" ht="15" hidden="false" customHeight="false" outlineLevel="0" collapsed="false">
      <c r="A49" s="2" t="s">
        <v>131</v>
      </c>
      <c r="B49" s="9" t="s">
        <v>383</v>
      </c>
      <c r="C49" s="6" t="n">
        <v>46266</v>
      </c>
      <c r="D49" s="11" t="n">
        <f aca="false">DATE(2026,9,26)-C49</f>
        <v>25</v>
      </c>
      <c r="E49" s="2" t="s">
        <v>337</v>
      </c>
      <c r="F49" s="2" t="s">
        <v>343</v>
      </c>
      <c r="G49" s="9" t="s">
        <v>134</v>
      </c>
    </row>
    <row r="50" customFormat="false" ht="15" hidden="false" customHeight="false" outlineLevel="0" collapsed="false">
      <c r="A50" s="2" t="s">
        <v>131</v>
      </c>
      <c r="B50" s="9" t="s">
        <v>384</v>
      </c>
      <c r="C50" s="6" t="n">
        <v>46266</v>
      </c>
      <c r="D50" s="11" t="n">
        <f aca="false">DATE(2026,9,26)-C50</f>
        <v>25</v>
      </c>
      <c r="E50" s="2" t="s">
        <v>337</v>
      </c>
      <c r="F50" s="2" t="s">
        <v>343</v>
      </c>
      <c r="G50" s="9" t="s">
        <v>134</v>
      </c>
    </row>
    <row r="51" customFormat="false" ht="15" hidden="false" customHeight="false" outlineLevel="0" collapsed="false">
      <c r="A51" s="2" t="s">
        <v>131</v>
      </c>
      <c r="B51" s="9" t="s">
        <v>385</v>
      </c>
      <c r="C51" s="6" t="n">
        <v>46266</v>
      </c>
      <c r="D51" s="11" t="n">
        <f aca="false">DATE(2026,9,26)-C51</f>
        <v>25</v>
      </c>
      <c r="E51" s="2" t="s">
        <v>337</v>
      </c>
      <c r="F51" s="2" t="s">
        <v>343</v>
      </c>
      <c r="G51" s="9" t="s">
        <v>134</v>
      </c>
    </row>
    <row r="52" customFormat="false" ht="15" hidden="false" customHeight="false" outlineLevel="0" collapsed="false">
      <c r="A52" s="2" t="s">
        <v>131</v>
      </c>
      <c r="B52" s="9" t="s">
        <v>386</v>
      </c>
      <c r="C52" s="6" t="n">
        <v>46266</v>
      </c>
      <c r="D52" s="11" t="n">
        <f aca="false">DATE(2026,9,26)-C52</f>
        <v>25</v>
      </c>
      <c r="E52" s="2" t="s">
        <v>337</v>
      </c>
      <c r="F52" s="2" t="s">
        <v>343</v>
      </c>
      <c r="G52" s="9" t="s">
        <v>134</v>
      </c>
    </row>
    <row r="53" customFormat="false" ht="15" hidden="false" customHeight="false" outlineLevel="0" collapsed="false">
      <c r="A53" s="2" t="s">
        <v>131</v>
      </c>
      <c r="B53" s="9" t="s">
        <v>387</v>
      </c>
      <c r="C53" s="6" t="n">
        <v>46267</v>
      </c>
      <c r="D53" s="11" t="n">
        <f aca="false">DATE(2026,9,26)-C53</f>
        <v>24</v>
      </c>
      <c r="E53" s="2" t="s">
        <v>337</v>
      </c>
      <c r="F53" s="2" t="s">
        <v>343</v>
      </c>
      <c r="G53" s="9" t="s">
        <v>134</v>
      </c>
    </row>
    <row r="54" customFormat="false" ht="15" hidden="false" customHeight="false" outlineLevel="0" collapsed="false">
      <c r="A54" s="2" t="s">
        <v>131</v>
      </c>
      <c r="B54" s="9" t="s">
        <v>388</v>
      </c>
      <c r="C54" s="6" t="n">
        <v>46279</v>
      </c>
      <c r="D54" s="11" t="n">
        <f aca="false">DATE(2026,9,26)-C54</f>
        <v>12</v>
      </c>
      <c r="E54" s="2" t="s">
        <v>326</v>
      </c>
      <c r="F54" s="2" t="s">
        <v>343</v>
      </c>
      <c r="G54" s="9" t="s">
        <v>344</v>
      </c>
    </row>
    <row r="55" customFormat="false" ht="15" hidden="false" customHeight="false" outlineLevel="0" collapsed="false">
      <c r="A55" s="2" t="s">
        <v>131</v>
      </c>
      <c r="B55" s="9" t="s">
        <v>389</v>
      </c>
      <c r="C55" s="6" t="n">
        <v>46279</v>
      </c>
      <c r="D55" s="11" t="n">
        <f aca="false">DATE(2026,9,26)-C55</f>
        <v>12</v>
      </c>
      <c r="E55" s="2" t="s">
        <v>329</v>
      </c>
      <c r="F55" s="2" t="s">
        <v>343</v>
      </c>
      <c r="G55" s="9" t="s">
        <v>134</v>
      </c>
    </row>
    <row r="56" customFormat="false" ht="15" hidden="false" customHeight="false" outlineLevel="0" collapsed="false">
      <c r="A56" s="2" t="s">
        <v>131</v>
      </c>
      <c r="B56" s="9" t="s">
        <v>390</v>
      </c>
      <c r="C56" s="6" t="n">
        <v>46279</v>
      </c>
      <c r="D56" s="11" t="n">
        <f aca="false">DATE(2026,9,26)-C56</f>
        <v>12</v>
      </c>
      <c r="E56" s="2" t="s">
        <v>329</v>
      </c>
      <c r="F56" s="2" t="s">
        <v>343</v>
      </c>
      <c r="G56" s="9" t="s">
        <v>347</v>
      </c>
    </row>
    <row r="57" customFormat="false" ht="15" hidden="false" customHeight="false" outlineLevel="0" collapsed="false">
      <c r="A57" s="2" t="s">
        <v>131</v>
      </c>
      <c r="B57" s="9" t="s">
        <v>391</v>
      </c>
      <c r="C57" s="6" t="n">
        <v>46280</v>
      </c>
      <c r="D57" s="11" t="n">
        <f aca="false">DATE(2026,9,26)-C57</f>
        <v>11</v>
      </c>
      <c r="E57" s="2" t="s">
        <v>329</v>
      </c>
      <c r="F57" s="2" t="s">
        <v>343</v>
      </c>
      <c r="G57" s="9" t="s">
        <v>344</v>
      </c>
    </row>
    <row r="58" customFormat="false" ht="15" hidden="false" customHeight="false" outlineLevel="0" collapsed="false">
      <c r="A58" s="2" t="s">
        <v>131</v>
      </c>
      <c r="B58" s="9" t="s">
        <v>392</v>
      </c>
      <c r="C58" s="6" t="n">
        <v>46280</v>
      </c>
      <c r="D58" s="11" t="n">
        <f aca="false">DATE(2026,9,26)-C58</f>
        <v>11</v>
      </c>
      <c r="E58" s="2" t="s">
        <v>329</v>
      </c>
      <c r="F58" s="2" t="s">
        <v>343</v>
      </c>
      <c r="G58" s="9" t="s">
        <v>134</v>
      </c>
    </row>
    <row r="59" customFormat="false" ht="15" hidden="false" customHeight="false" outlineLevel="0" collapsed="false">
      <c r="A59" s="2" t="s">
        <v>131</v>
      </c>
      <c r="B59" s="9" t="s">
        <v>393</v>
      </c>
      <c r="C59" s="6" t="n">
        <v>46280</v>
      </c>
      <c r="D59" s="11" t="n">
        <f aca="false">DATE(2026,9,26)-C59</f>
        <v>11</v>
      </c>
      <c r="E59" s="2" t="s">
        <v>329</v>
      </c>
      <c r="F59" s="2" t="s">
        <v>343</v>
      </c>
      <c r="G59" s="9" t="s">
        <v>344</v>
      </c>
    </row>
    <row r="60" customFormat="false" ht="15" hidden="false" customHeight="false" outlineLevel="0" collapsed="false">
      <c r="A60" s="2" t="s">
        <v>131</v>
      </c>
      <c r="B60" s="9" t="s">
        <v>394</v>
      </c>
      <c r="C60" s="6" t="n">
        <v>46280</v>
      </c>
      <c r="D60" s="11" t="n">
        <f aca="false">DATE(2026,9,26)-C60</f>
        <v>11</v>
      </c>
      <c r="E60" s="2" t="s">
        <v>329</v>
      </c>
      <c r="F60" s="2" t="s">
        <v>343</v>
      </c>
      <c r="G60" s="9" t="s">
        <v>344</v>
      </c>
    </row>
    <row r="61" customFormat="false" ht="15" hidden="false" customHeight="false" outlineLevel="0" collapsed="false">
      <c r="A61" s="2" t="s">
        <v>131</v>
      </c>
      <c r="B61" s="9" t="s">
        <v>395</v>
      </c>
      <c r="C61" s="6" t="n">
        <v>46280</v>
      </c>
      <c r="D61" s="11" t="n">
        <f aca="false">DATE(2026,9,26)-C61</f>
        <v>11</v>
      </c>
      <c r="E61" s="2" t="s">
        <v>329</v>
      </c>
      <c r="F61" s="2" t="s">
        <v>343</v>
      </c>
      <c r="G61" s="9" t="s">
        <v>347</v>
      </c>
    </row>
    <row r="62" customFormat="false" ht="15" hidden="false" customHeight="false" outlineLevel="0" collapsed="false">
      <c r="A62" s="2" t="s">
        <v>131</v>
      </c>
      <c r="B62" s="9" t="s">
        <v>396</v>
      </c>
      <c r="C62" s="6" t="n">
        <v>46280</v>
      </c>
      <c r="D62" s="11" t="n">
        <f aca="false">DATE(2026,9,26)-C62</f>
        <v>11</v>
      </c>
      <c r="E62" s="2" t="s">
        <v>329</v>
      </c>
      <c r="F62" s="2" t="s">
        <v>343</v>
      </c>
      <c r="G62" s="9" t="s">
        <v>344</v>
      </c>
    </row>
    <row r="63" customFormat="false" ht="15" hidden="false" customHeight="false" outlineLevel="0" collapsed="false">
      <c r="A63" s="2" t="s">
        <v>131</v>
      </c>
      <c r="B63" s="9" t="s">
        <v>397</v>
      </c>
      <c r="C63" s="6" t="n">
        <v>46280</v>
      </c>
      <c r="D63" s="11" t="n">
        <f aca="false">DATE(2026,9,26)-C63</f>
        <v>11</v>
      </c>
      <c r="E63" s="2" t="s">
        <v>326</v>
      </c>
      <c r="F63" s="2" t="s">
        <v>343</v>
      </c>
      <c r="G63" s="9" t="s">
        <v>344</v>
      </c>
    </row>
    <row r="64" customFormat="false" ht="15" hidden="false" customHeight="false" outlineLevel="0" collapsed="false">
      <c r="A64" s="2" t="s">
        <v>131</v>
      </c>
      <c r="B64" s="9" t="s">
        <v>398</v>
      </c>
      <c r="C64" s="6" t="n">
        <v>46280</v>
      </c>
      <c r="D64" s="11" t="n">
        <f aca="false">DATE(2026,9,26)-C64</f>
        <v>11</v>
      </c>
      <c r="E64" s="2" t="s">
        <v>329</v>
      </c>
      <c r="F64" s="2" t="s">
        <v>343</v>
      </c>
      <c r="G64" s="9" t="s">
        <v>134</v>
      </c>
    </row>
    <row r="65" customFormat="false" ht="15" hidden="false" customHeight="false" outlineLevel="0" collapsed="false">
      <c r="A65" s="2" t="s">
        <v>131</v>
      </c>
      <c r="B65" s="9" t="s">
        <v>399</v>
      </c>
      <c r="C65" s="6" t="n">
        <v>46280</v>
      </c>
      <c r="D65" s="11" t="n">
        <f aca="false">DATE(2026,9,26)-C65</f>
        <v>11</v>
      </c>
      <c r="E65" s="2" t="s">
        <v>329</v>
      </c>
      <c r="F65" s="2" t="s">
        <v>343</v>
      </c>
      <c r="G65" s="9" t="s">
        <v>347</v>
      </c>
    </row>
    <row r="66" customFormat="false" ht="15" hidden="false" customHeight="false" outlineLevel="0" collapsed="false">
      <c r="A66" s="2" t="s">
        <v>131</v>
      </c>
      <c r="B66" s="9" t="s">
        <v>400</v>
      </c>
      <c r="C66" s="6" t="n">
        <v>46280</v>
      </c>
      <c r="D66" s="11" t="n">
        <f aca="false">DATE(2026,9,26)-C66</f>
        <v>11</v>
      </c>
      <c r="E66" s="2" t="s">
        <v>329</v>
      </c>
      <c r="F66" s="2" t="s">
        <v>343</v>
      </c>
      <c r="G66" s="9" t="s">
        <v>134</v>
      </c>
    </row>
    <row r="67" customFormat="false" ht="15" hidden="false" customHeight="false" outlineLevel="0" collapsed="false">
      <c r="A67" s="2" t="s">
        <v>131</v>
      </c>
      <c r="B67" s="9" t="s">
        <v>401</v>
      </c>
      <c r="C67" s="6" t="n">
        <v>46280</v>
      </c>
      <c r="D67" s="11" t="n">
        <f aca="false">DATE(2026,9,26)-C67</f>
        <v>11</v>
      </c>
      <c r="E67" s="2" t="s">
        <v>329</v>
      </c>
      <c r="F67" s="2" t="s">
        <v>343</v>
      </c>
      <c r="G67" s="9" t="s">
        <v>134</v>
      </c>
    </row>
    <row r="68" customFormat="false" ht="15" hidden="false" customHeight="false" outlineLevel="0" collapsed="false">
      <c r="A68" s="2" t="s">
        <v>131</v>
      </c>
      <c r="B68" s="9" t="s">
        <v>402</v>
      </c>
      <c r="C68" s="6" t="n">
        <v>46280</v>
      </c>
      <c r="D68" s="11" t="n">
        <f aca="false">DATE(2026,9,26)-C68</f>
        <v>11</v>
      </c>
      <c r="E68" s="2" t="s">
        <v>329</v>
      </c>
      <c r="F68" s="2" t="s">
        <v>343</v>
      </c>
      <c r="G68" s="9" t="s">
        <v>347</v>
      </c>
    </row>
    <row r="69" customFormat="false" ht="15" hidden="false" customHeight="false" outlineLevel="0" collapsed="false">
      <c r="A69" s="2" t="s">
        <v>131</v>
      </c>
      <c r="B69" s="9" t="s">
        <v>403</v>
      </c>
      <c r="C69" s="6" t="n">
        <v>46280</v>
      </c>
      <c r="D69" s="11" t="n">
        <f aca="false">DATE(2026,9,26)-C69</f>
        <v>11</v>
      </c>
      <c r="E69" s="2" t="s">
        <v>329</v>
      </c>
      <c r="F69" s="2" t="s">
        <v>343</v>
      </c>
      <c r="G69" s="9" t="s">
        <v>134</v>
      </c>
    </row>
    <row r="70" customFormat="false" ht="15" hidden="false" customHeight="false" outlineLevel="0" collapsed="false">
      <c r="A70" s="2" t="s">
        <v>131</v>
      </c>
      <c r="B70" s="9" t="s">
        <v>404</v>
      </c>
      <c r="C70" s="6" t="n">
        <v>46280</v>
      </c>
      <c r="D70" s="11" t="n">
        <f aca="false">DATE(2026,9,26)-C70</f>
        <v>11</v>
      </c>
      <c r="E70" s="2" t="s">
        <v>329</v>
      </c>
      <c r="F70" s="2" t="s">
        <v>343</v>
      </c>
      <c r="G70" s="9" t="s">
        <v>347</v>
      </c>
    </row>
    <row r="71" customFormat="false" ht="15" hidden="false" customHeight="false" outlineLevel="0" collapsed="false">
      <c r="A71" s="2" t="s">
        <v>131</v>
      </c>
      <c r="B71" s="9" t="s">
        <v>405</v>
      </c>
      <c r="C71" s="6" t="n">
        <v>46281</v>
      </c>
      <c r="D71" s="11" t="n">
        <f aca="false">DATE(2026,9,26)-C71</f>
        <v>10</v>
      </c>
      <c r="E71" s="2" t="s">
        <v>329</v>
      </c>
      <c r="F71" s="2" t="s">
        <v>343</v>
      </c>
      <c r="G71" s="9" t="s">
        <v>347</v>
      </c>
    </row>
    <row r="72" customFormat="false" ht="15" hidden="false" customHeight="false" outlineLevel="0" collapsed="false">
      <c r="A72" s="2" t="s">
        <v>131</v>
      </c>
      <c r="B72" s="9" t="s">
        <v>406</v>
      </c>
      <c r="C72" s="6" t="n">
        <v>46286</v>
      </c>
      <c r="D72" s="11" t="n">
        <f aca="false">DATE(2026,9,26)-C72</f>
        <v>5</v>
      </c>
      <c r="E72" s="2" t="s">
        <v>329</v>
      </c>
      <c r="F72" s="2" t="s">
        <v>343</v>
      </c>
      <c r="G72" s="9" t="s">
        <v>407</v>
      </c>
    </row>
    <row r="73" customFormat="false" ht="15" hidden="false" customHeight="false" outlineLevel="0" collapsed="false">
      <c r="A73" s="2" t="s">
        <v>131</v>
      </c>
      <c r="B73" s="9" t="s">
        <v>408</v>
      </c>
      <c r="C73" s="6" t="n">
        <v>46286</v>
      </c>
      <c r="D73" s="11" t="n">
        <f aca="false">DATE(2026,9,26)-C73</f>
        <v>5</v>
      </c>
      <c r="E73" s="2" t="s">
        <v>337</v>
      </c>
      <c r="F73" s="2" t="s">
        <v>343</v>
      </c>
      <c r="G73" s="9" t="s">
        <v>409</v>
      </c>
    </row>
    <row r="74" customFormat="false" ht="15" hidden="false" customHeight="false" outlineLevel="0" collapsed="false">
      <c r="A74" s="2" t="s">
        <v>131</v>
      </c>
      <c r="B74" s="9" t="s">
        <v>410</v>
      </c>
      <c r="C74" s="6" t="n">
        <v>46286</v>
      </c>
      <c r="D74" s="11" t="n">
        <f aca="false">DATE(2026,9,26)-C74</f>
        <v>5</v>
      </c>
      <c r="E74" s="2" t="s">
        <v>337</v>
      </c>
      <c r="F74" s="2" t="s">
        <v>343</v>
      </c>
      <c r="G74" s="9" t="s">
        <v>409</v>
      </c>
    </row>
    <row r="75" customFormat="false" ht="15" hidden="false" customHeight="false" outlineLevel="0" collapsed="false">
      <c r="A75" s="2" t="s">
        <v>131</v>
      </c>
      <c r="B75" s="9" t="s">
        <v>411</v>
      </c>
      <c r="C75" s="6" t="n">
        <v>46286</v>
      </c>
      <c r="D75" s="11" t="n">
        <f aca="false">DATE(2026,9,26)-C75</f>
        <v>5</v>
      </c>
      <c r="E75" s="2" t="s">
        <v>329</v>
      </c>
      <c r="F75" s="2" t="s">
        <v>343</v>
      </c>
      <c r="G75" s="9" t="s">
        <v>407</v>
      </c>
    </row>
    <row r="76" customFormat="false" ht="15" hidden="false" customHeight="false" outlineLevel="0" collapsed="false">
      <c r="A76" s="2" t="s">
        <v>131</v>
      </c>
      <c r="B76" s="9" t="s">
        <v>412</v>
      </c>
      <c r="C76" s="6" t="n">
        <v>46286</v>
      </c>
      <c r="D76" s="11" t="n">
        <f aca="false">DATE(2026,9,26)-C76</f>
        <v>5</v>
      </c>
      <c r="E76" s="2" t="s">
        <v>329</v>
      </c>
      <c r="F76" s="2" t="s">
        <v>343</v>
      </c>
      <c r="G76" s="9" t="s">
        <v>407</v>
      </c>
    </row>
    <row r="77" customFormat="false" ht="15" hidden="false" customHeight="false" outlineLevel="0" collapsed="false">
      <c r="A77" s="2" t="s">
        <v>131</v>
      </c>
      <c r="B77" s="9" t="s">
        <v>413</v>
      </c>
      <c r="C77" s="6" t="n">
        <v>46286</v>
      </c>
      <c r="D77" s="11" t="n">
        <f aca="false">DATE(2026,9,26)-C77</f>
        <v>5</v>
      </c>
      <c r="E77" s="2" t="s">
        <v>329</v>
      </c>
      <c r="F77" s="2" t="s">
        <v>343</v>
      </c>
      <c r="G77" s="9" t="s">
        <v>407</v>
      </c>
    </row>
    <row r="78" customFormat="false" ht="15" hidden="false" customHeight="false" outlineLevel="0" collapsed="false">
      <c r="A78" s="2" t="s">
        <v>131</v>
      </c>
      <c r="B78" s="9" t="s">
        <v>414</v>
      </c>
      <c r="C78" s="6" t="n">
        <v>46286</v>
      </c>
      <c r="D78" s="11" t="n">
        <f aca="false">DATE(2026,9,26)-C78</f>
        <v>5</v>
      </c>
      <c r="E78" s="2" t="s">
        <v>329</v>
      </c>
      <c r="F78" s="2" t="s">
        <v>343</v>
      </c>
      <c r="G78" s="9" t="s">
        <v>407</v>
      </c>
    </row>
    <row r="79" customFormat="false" ht="15" hidden="false" customHeight="false" outlineLevel="0" collapsed="false">
      <c r="A79" s="2" t="s">
        <v>131</v>
      </c>
      <c r="B79" s="9" t="s">
        <v>415</v>
      </c>
      <c r="C79" s="6" t="n">
        <v>46286</v>
      </c>
      <c r="D79" s="11" t="n">
        <f aca="false">DATE(2026,9,26)-C79</f>
        <v>5</v>
      </c>
      <c r="E79" s="2" t="s">
        <v>329</v>
      </c>
      <c r="F79" s="2" t="s">
        <v>343</v>
      </c>
      <c r="G79" s="9" t="s">
        <v>407</v>
      </c>
    </row>
    <row r="80" customFormat="false" ht="15" hidden="false" customHeight="false" outlineLevel="0" collapsed="false">
      <c r="A80" s="2" t="s">
        <v>131</v>
      </c>
      <c r="B80" s="9" t="s">
        <v>416</v>
      </c>
      <c r="C80" s="6" t="n">
        <v>46286</v>
      </c>
      <c r="D80" s="11" t="n">
        <f aca="false">DATE(2026,9,26)-C80</f>
        <v>5</v>
      </c>
      <c r="E80" s="2" t="s">
        <v>329</v>
      </c>
      <c r="F80" s="2" t="s">
        <v>343</v>
      </c>
      <c r="G80" s="9" t="s">
        <v>407</v>
      </c>
    </row>
    <row r="81" customFormat="false" ht="15" hidden="false" customHeight="false" outlineLevel="0" collapsed="false">
      <c r="A81" s="2" t="s">
        <v>78</v>
      </c>
      <c r="B81" s="9" t="s">
        <v>417</v>
      </c>
      <c r="C81" s="6" t="n">
        <v>46229</v>
      </c>
      <c r="D81" s="11" t="n">
        <f aca="false">DATE(2026,9,26)-C81</f>
        <v>62</v>
      </c>
      <c r="E81" s="2" t="s">
        <v>337</v>
      </c>
      <c r="F81" s="2" t="s">
        <v>418</v>
      </c>
      <c r="G81" s="9" t="s">
        <v>81</v>
      </c>
    </row>
    <row r="82" customFormat="false" ht="15" hidden="false" customHeight="false" outlineLevel="0" collapsed="false">
      <c r="A82" s="2" t="s">
        <v>78</v>
      </c>
      <c r="B82" s="9" t="s">
        <v>419</v>
      </c>
      <c r="C82" s="6" t="n">
        <v>46229</v>
      </c>
      <c r="D82" s="11" t="n">
        <f aca="false">DATE(2026,9,26)-C82</f>
        <v>62</v>
      </c>
      <c r="E82" s="2" t="s">
        <v>337</v>
      </c>
      <c r="F82" s="2" t="s">
        <v>418</v>
      </c>
      <c r="G82" s="9" t="s">
        <v>81</v>
      </c>
    </row>
    <row r="83" customFormat="false" ht="15" hidden="false" customHeight="false" outlineLevel="0" collapsed="false">
      <c r="A83" s="2" t="s">
        <v>78</v>
      </c>
      <c r="B83" s="9" t="s">
        <v>420</v>
      </c>
      <c r="C83" s="6" t="n">
        <v>46229</v>
      </c>
      <c r="D83" s="11" t="n">
        <f aca="false">DATE(2026,9,26)-C83</f>
        <v>62</v>
      </c>
      <c r="E83" s="2" t="s">
        <v>337</v>
      </c>
      <c r="F83" s="2" t="s">
        <v>418</v>
      </c>
      <c r="G83" s="9" t="s">
        <v>81</v>
      </c>
    </row>
    <row r="84" customFormat="false" ht="15" hidden="false" customHeight="false" outlineLevel="0" collapsed="false">
      <c r="A84" s="2" t="s">
        <v>78</v>
      </c>
      <c r="B84" s="9" t="s">
        <v>421</v>
      </c>
      <c r="C84" s="6" t="n">
        <v>46237</v>
      </c>
      <c r="D84" s="11" t="n">
        <f aca="false">DATE(2026,9,26)-C84</f>
        <v>54</v>
      </c>
      <c r="E84" s="2" t="s">
        <v>337</v>
      </c>
      <c r="F84" s="2" t="s">
        <v>418</v>
      </c>
      <c r="G84" s="9" t="s">
        <v>81</v>
      </c>
    </row>
    <row r="85" customFormat="false" ht="15" hidden="false" customHeight="false" outlineLevel="0" collapsed="false">
      <c r="A85" s="2" t="s">
        <v>78</v>
      </c>
      <c r="B85" s="9" t="s">
        <v>422</v>
      </c>
      <c r="C85" s="6" t="n">
        <v>46237</v>
      </c>
      <c r="D85" s="11" t="n">
        <f aca="false">DATE(2026,9,26)-C85</f>
        <v>54</v>
      </c>
      <c r="E85" s="2" t="s">
        <v>337</v>
      </c>
      <c r="F85" s="2" t="s">
        <v>418</v>
      </c>
      <c r="G85" s="9" t="s">
        <v>81</v>
      </c>
    </row>
    <row r="86" customFormat="false" ht="15" hidden="false" customHeight="false" outlineLevel="0" collapsed="false">
      <c r="A86" s="2" t="s">
        <v>78</v>
      </c>
      <c r="B86" s="9" t="s">
        <v>423</v>
      </c>
      <c r="C86" s="6" t="n">
        <v>46237</v>
      </c>
      <c r="D86" s="11" t="n">
        <f aca="false">DATE(2026,9,26)-C86</f>
        <v>54</v>
      </c>
      <c r="E86" s="2" t="s">
        <v>337</v>
      </c>
      <c r="F86" s="2" t="s">
        <v>418</v>
      </c>
      <c r="G86" s="9" t="s">
        <v>81</v>
      </c>
    </row>
    <row r="87" customFormat="false" ht="15" hidden="false" customHeight="false" outlineLevel="0" collapsed="false">
      <c r="A87" s="2" t="s">
        <v>78</v>
      </c>
      <c r="B87" s="9" t="s">
        <v>424</v>
      </c>
      <c r="C87" s="6" t="n">
        <v>46237</v>
      </c>
      <c r="D87" s="11" t="n">
        <f aca="false">DATE(2026,9,26)-C87</f>
        <v>54</v>
      </c>
      <c r="E87" s="2" t="s">
        <v>337</v>
      </c>
      <c r="F87" s="2" t="s">
        <v>418</v>
      </c>
      <c r="G87" s="9" t="s">
        <v>81</v>
      </c>
    </row>
    <row r="88" customFormat="false" ht="15" hidden="false" customHeight="false" outlineLevel="0" collapsed="false">
      <c r="A88" s="2" t="s">
        <v>78</v>
      </c>
      <c r="B88" s="9" t="s">
        <v>425</v>
      </c>
      <c r="C88" s="6" t="n">
        <v>46237</v>
      </c>
      <c r="D88" s="11" t="n">
        <f aca="false">DATE(2026,9,26)-C88</f>
        <v>54</v>
      </c>
      <c r="E88" s="2" t="s">
        <v>337</v>
      </c>
      <c r="F88" s="2" t="s">
        <v>418</v>
      </c>
      <c r="G88" s="9" t="s">
        <v>81</v>
      </c>
    </row>
    <row r="89" customFormat="false" ht="15" hidden="false" customHeight="false" outlineLevel="0" collapsed="false">
      <c r="A89" s="2" t="s">
        <v>311</v>
      </c>
      <c r="B89" s="9" t="s">
        <v>426</v>
      </c>
      <c r="C89" s="6" t="n">
        <v>46268</v>
      </c>
      <c r="D89" s="11" t="n">
        <f aca="false">DATE(2026,9,26)-C89</f>
        <v>23</v>
      </c>
      <c r="E89" s="2" t="s">
        <v>337</v>
      </c>
      <c r="F89" s="2" t="s">
        <v>427</v>
      </c>
      <c r="G89" s="9" t="s">
        <v>313</v>
      </c>
    </row>
    <row r="90" customFormat="false" ht="15" hidden="false" customHeight="false" outlineLevel="0" collapsed="false">
      <c r="A90" s="2" t="s">
        <v>311</v>
      </c>
      <c r="B90" s="9" t="s">
        <v>428</v>
      </c>
      <c r="C90" s="6" t="n">
        <v>46268</v>
      </c>
      <c r="D90" s="11" t="n">
        <f aca="false">DATE(2026,9,26)-C90</f>
        <v>23</v>
      </c>
      <c r="E90" s="2" t="s">
        <v>337</v>
      </c>
      <c r="F90" s="2" t="s">
        <v>427</v>
      </c>
      <c r="G90" s="9" t="s">
        <v>313</v>
      </c>
    </row>
    <row r="91" customFormat="false" ht="15" hidden="false" customHeight="false" outlineLevel="0" collapsed="false">
      <c r="A91" s="2" t="s">
        <v>152</v>
      </c>
      <c r="B91" s="9" t="s">
        <v>429</v>
      </c>
      <c r="C91" s="6" t="n">
        <v>46191</v>
      </c>
      <c r="D91" s="11" t="n">
        <f aca="false">DATE(2026,9,26)-C91</f>
        <v>100</v>
      </c>
      <c r="E91" s="2" t="s">
        <v>337</v>
      </c>
      <c r="F91" s="2" t="s">
        <v>152</v>
      </c>
      <c r="G91" s="9" t="s">
        <v>430</v>
      </c>
    </row>
    <row r="92" customFormat="false" ht="15" hidden="false" customHeight="false" outlineLevel="0" collapsed="false">
      <c r="A92" s="2" t="s">
        <v>152</v>
      </c>
      <c r="B92" s="9" t="s">
        <v>431</v>
      </c>
      <c r="C92" s="6" t="n">
        <v>46207</v>
      </c>
      <c r="D92" s="11" t="n">
        <f aca="false">DATE(2026,9,26)-C92</f>
        <v>84</v>
      </c>
      <c r="E92" s="2" t="s">
        <v>337</v>
      </c>
      <c r="F92" s="2" t="s">
        <v>152</v>
      </c>
      <c r="G92" s="9" t="s">
        <v>430</v>
      </c>
    </row>
    <row r="93" customFormat="false" ht="15" hidden="false" customHeight="false" outlineLevel="0" collapsed="false">
      <c r="A93" s="2" t="s">
        <v>152</v>
      </c>
      <c r="B93" s="9" t="s">
        <v>432</v>
      </c>
      <c r="C93" s="6" t="n">
        <v>46218</v>
      </c>
      <c r="D93" s="11" t="n">
        <f aca="false">DATE(2026,9,26)-C93</f>
        <v>73</v>
      </c>
      <c r="E93" s="2" t="s">
        <v>337</v>
      </c>
      <c r="F93" s="2" t="s">
        <v>152</v>
      </c>
      <c r="G93" s="9" t="s">
        <v>430</v>
      </c>
    </row>
    <row r="94" customFormat="false" ht="15" hidden="false" customHeight="false" outlineLevel="0" collapsed="false">
      <c r="A94" s="2" t="s">
        <v>152</v>
      </c>
      <c r="B94" s="9" t="s">
        <v>433</v>
      </c>
      <c r="C94" s="6" t="n">
        <v>46240</v>
      </c>
      <c r="D94" s="11" t="n">
        <f aca="false">DATE(2026,9,26)-C94</f>
        <v>51</v>
      </c>
      <c r="E94" s="2" t="s">
        <v>337</v>
      </c>
      <c r="F94" s="2" t="s">
        <v>152</v>
      </c>
      <c r="G94" s="9" t="s">
        <v>430</v>
      </c>
    </row>
    <row r="95" customFormat="false" ht="15" hidden="false" customHeight="false" outlineLevel="0" collapsed="false">
      <c r="A95" s="2" t="s">
        <v>152</v>
      </c>
      <c r="B95" s="9" t="s">
        <v>434</v>
      </c>
      <c r="C95" s="6" t="n">
        <v>46255</v>
      </c>
      <c r="D95" s="11" t="n">
        <f aca="false">DATE(2026,9,26)-C95</f>
        <v>36</v>
      </c>
      <c r="E95" s="2" t="s">
        <v>337</v>
      </c>
      <c r="F95" s="2" t="s">
        <v>152</v>
      </c>
      <c r="G95" s="9" t="s">
        <v>430</v>
      </c>
    </row>
    <row r="96" customFormat="false" ht="15" hidden="false" customHeight="false" outlineLevel="0" collapsed="false">
      <c r="A96" s="2" t="s">
        <v>152</v>
      </c>
      <c r="B96" s="9" t="s">
        <v>435</v>
      </c>
      <c r="C96" s="6" t="n">
        <v>46255</v>
      </c>
      <c r="D96" s="11" t="n">
        <f aca="false">DATE(2026,9,26)-C96</f>
        <v>36</v>
      </c>
      <c r="E96" s="2" t="s">
        <v>337</v>
      </c>
      <c r="F96" s="2" t="s">
        <v>152</v>
      </c>
      <c r="G96" s="9" t="s">
        <v>430</v>
      </c>
    </row>
    <row r="97" customFormat="false" ht="15" hidden="false" customHeight="false" outlineLevel="0" collapsed="false">
      <c r="A97" s="2" t="s">
        <v>152</v>
      </c>
      <c r="B97" s="9" t="s">
        <v>436</v>
      </c>
      <c r="C97" s="6" t="n">
        <v>46275</v>
      </c>
      <c r="D97" s="11" t="n">
        <f aca="false">DATE(2026,9,26)-C97</f>
        <v>16</v>
      </c>
      <c r="E97" s="2" t="s">
        <v>337</v>
      </c>
      <c r="F97" s="2" t="s">
        <v>152</v>
      </c>
      <c r="G97" s="9" t="s">
        <v>430</v>
      </c>
    </row>
    <row r="98" customFormat="false" ht="15" hidden="false" customHeight="false" outlineLevel="0" collapsed="false">
      <c r="A98" s="2" t="s">
        <v>152</v>
      </c>
      <c r="B98" s="9" t="s">
        <v>437</v>
      </c>
      <c r="C98" s="6" t="n">
        <v>46285</v>
      </c>
      <c r="D98" s="11" t="n">
        <f aca="false">DATE(2026,9,26)-C98</f>
        <v>6</v>
      </c>
      <c r="E98" s="2" t="s">
        <v>337</v>
      </c>
      <c r="F98" s="2" t="s">
        <v>152</v>
      </c>
      <c r="G98" s="9" t="s">
        <v>430</v>
      </c>
    </row>
    <row r="99" customFormat="false" ht="15" hidden="false" customHeight="false" outlineLevel="0" collapsed="false">
      <c r="A99" s="2" t="s">
        <v>152</v>
      </c>
      <c r="B99" s="9" t="s">
        <v>438</v>
      </c>
      <c r="C99" s="6" t="n">
        <v>46285</v>
      </c>
      <c r="D99" s="11" t="n">
        <f aca="false">DATE(2026,9,26)-C99</f>
        <v>6</v>
      </c>
      <c r="E99" s="2" t="s">
        <v>337</v>
      </c>
      <c r="F99" s="2" t="s">
        <v>152</v>
      </c>
      <c r="G99" s="9" t="s">
        <v>430</v>
      </c>
    </row>
    <row r="100" customFormat="false" ht="15" hidden="false" customHeight="false" outlineLevel="0" collapsed="false">
      <c r="A100" s="2" t="s">
        <v>152</v>
      </c>
      <c r="B100" s="9" t="s">
        <v>439</v>
      </c>
      <c r="C100" s="6" t="n">
        <v>46288</v>
      </c>
      <c r="D100" s="11" t="n">
        <f aca="false">DATE(2026,9,26)-C100</f>
        <v>3</v>
      </c>
      <c r="E100" s="2" t="s">
        <v>337</v>
      </c>
      <c r="F100" s="2" t="s">
        <v>152</v>
      </c>
      <c r="G100" s="9" t="s">
        <v>430</v>
      </c>
    </row>
    <row r="101" customFormat="false" ht="15" hidden="false" customHeight="false" outlineLevel="0" collapsed="false">
      <c r="A101" s="2" t="s">
        <v>152</v>
      </c>
      <c r="B101" s="9" t="s">
        <v>440</v>
      </c>
      <c r="C101" s="6" t="n">
        <v>46288</v>
      </c>
      <c r="D101" s="11" t="n">
        <f aca="false">DATE(2026,9,26)-C101</f>
        <v>3</v>
      </c>
      <c r="E101" s="2" t="s">
        <v>337</v>
      </c>
      <c r="F101" s="2" t="s">
        <v>152</v>
      </c>
      <c r="G101" s="9" t="s">
        <v>430</v>
      </c>
    </row>
    <row r="102" customFormat="false" ht="15" hidden="false" customHeight="false" outlineLevel="0" collapsed="false">
      <c r="A102" s="2" t="s">
        <v>152</v>
      </c>
      <c r="B102" s="9" t="s">
        <v>441</v>
      </c>
      <c r="C102" s="6" t="n">
        <v>46289</v>
      </c>
      <c r="D102" s="11" t="n">
        <f aca="false">DATE(2026,9,26)-C102</f>
        <v>2</v>
      </c>
      <c r="E102" s="2" t="s">
        <v>337</v>
      </c>
      <c r="F102" s="2" t="s">
        <v>152</v>
      </c>
      <c r="G102" s="9" t="s">
        <v>430</v>
      </c>
    </row>
    <row r="103" customFormat="false" ht="15" hidden="false" customHeight="false" outlineLevel="0" collapsed="false">
      <c r="A103" s="2" t="s">
        <v>152</v>
      </c>
      <c r="B103" s="9" t="s">
        <v>442</v>
      </c>
      <c r="C103" s="6" t="n">
        <v>46290</v>
      </c>
      <c r="D103" s="11" t="n">
        <f aca="false">DATE(2026,9,26)-C103</f>
        <v>1</v>
      </c>
      <c r="E103" s="2" t="s">
        <v>337</v>
      </c>
      <c r="F103" s="2" t="s">
        <v>152</v>
      </c>
      <c r="G103" s="9" t="s">
        <v>430</v>
      </c>
    </row>
    <row r="104" customFormat="false" ht="15" hidden="false" customHeight="false" outlineLevel="0" collapsed="false">
      <c r="A104" s="2" t="s">
        <v>152</v>
      </c>
      <c r="B104" s="9" t="s">
        <v>443</v>
      </c>
      <c r="C104" s="6" t="n">
        <v>46290</v>
      </c>
      <c r="D104" s="11" t="n">
        <f aca="false">DATE(2026,9,26)-C104</f>
        <v>1</v>
      </c>
      <c r="E104" s="2" t="s">
        <v>337</v>
      </c>
      <c r="F104" s="2" t="s">
        <v>152</v>
      </c>
      <c r="G104" s="9" t="s">
        <v>430</v>
      </c>
    </row>
    <row r="105" customFormat="false" ht="15" hidden="false" customHeight="false" outlineLevel="0" collapsed="false">
      <c r="A105" s="2" t="s">
        <v>112</v>
      </c>
      <c r="B105" s="9" t="s">
        <v>444</v>
      </c>
      <c r="C105" s="6" t="n">
        <v>46142</v>
      </c>
      <c r="D105" s="11" t="n">
        <f aca="false">DATE(2026,9,26)-C105</f>
        <v>149</v>
      </c>
      <c r="E105" s="2" t="s">
        <v>337</v>
      </c>
      <c r="F105" s="2" t="s">
        <v>445</v>
      </c>
      <c r="G105" s="9" t="s">
        <v>446</v>
      </c>
    </row>
    <row r="106" customFormat="false" ht="15" hidden="false" customHeight="false" outlineLevel="0" collapsed="false">
      <c r="A106" s="2" t="s">
        <v>252</v>
      </c>
      <c r="B106" s="9" t="s">
        <v>447</v>
      </c>
      <c r="C106" s="6" t="n">
        <v>46171</v>
      </c>
      <c r="D106" s="11" t="n">
        <f aca="false">DATE(2026,9,26)-C106</f>
        <v>120</v>
      </c>
      <c r="E106" s="2" t="s">
        <v>329</v>
      </c>
      <c r="F106" s="2" t="s">
        <v>448</v>
      </c>
      <c r="G106" s="9" t="s">
        <v>255</v>
      </c>
    </row>
    <row r="107" customFormat="false" ht="15" hidden="false" customHeight="false" outlineLevel="0" collapsed="false">
      <c r="A107" s="2" t="s">
        <v>252</v>
      </c>
      <c r="B107" s="9" t="s">
        <v>449</v>
      </c>
      <c r="C107" s="6" t="n">
        <v>46171</v>
      </c>
      <c r="D107" s="11" t="n">
        <f aca="false">DATE(2026,9,26)-C107</f>
        <v>120</v>
      </c>
      <c r="E107" s="2" t="s">
        <v>337</v>
      </c>
      <c r="F107" s="2" t="s">
        <v>448</v>
      </c>
      <c r="G107" s="9" t="s">
        <v>255</v>
      </c>
    </row>
    <row r="108" customFormat="false" ht="15" hidden="false" customHeight="false" outlineLevel="0" collapsed="false">
      <c r="A108" s="2" t="s">
        <v>252</v>
      </c>
      <c r="B108" s="9" t="s">
        <v>450</v>
      </c>
      <c r="C108" s="6" t="n">
        <v>46171</v>
      </c>
      <c r="D108" s="11" t="n">
        <f aca="false">DATE(2026,9,26)-C108</f>
        <v>120</v>
      </c>
      <c r="E108" s="2" t="s">
        <v>337</v>
      </c>
      <c r="F108" s="2" t="s">
        <v>448</v>
      </c>
      <c r="G108" s="9" t="s">
        <v>255</v>
      </c>
    </row>
    <row r="109" customFormat="false" ht="15" hidden="false" customHeight="false" outlineLevel="0" collapsed="false">
      <c r="A109" s="2" t="s">
        <v>252</v>
      </c>
      <c r="B109" s="9" t="s">
        <v>451</v>
      </c>
      <c r="C109" s="6" t="n">
        <v>46171</v>
      </c>
      <c r="D109" s="11" t="n">
        <f aca="false">DATE(2026,9,26)-C109</f>
        <v>120</v>
      </c>
      <c r="E109" s="2" t="s">
        <v>337</v>
      </c>
      <c r="F109" s="2" t="s">
        <v>448</v>
      </c>
      <c r="G109" s="9" t="s">
        <v>255</v>
      </c>
    </row>
    <row r="110" customFormat="false" ht="15" hidden="false" customHeight="false" outlineLevel="0" collapsed="false">
      <c r="A110" s="2" t="s">
        <v>252</v>
      </c>
      <c r="B110" s="9" t="s">
        <v>452</v>
      </c>
      <c r="C110" s="6" t="n">
        <v>46171</v>
      </c>
      <c r="D110" s="11" t="n">
        <f aca="false">DATE(2026,9,26)-C110</f>
        <v>120</v>
      </c>
      <c r="E110" s="2" t="s">
        <v>326</v>
      </c>
      <c r="F110" s="2" t="s">
        <v>448</v>
      </c>
      <c r="G110" s="9" t="s">
        <v>255</v>
      </c>
    </row>
    <row r="111" customFormat="false" ht="15" hidden="false" customHeight="false" outlineLevel="0" collapsed="false">
      <c r="A111" s="2" t="s">
        <v>242</v>
      </c>
      <c r="B111" s="9" t="s">
        <v>453</v>
      </c>
      <c r="C111" s="6" t="n">
        <v>45762</v>
      </c>
      <c r="D111" s="11" t="n">
        <f aca="false">DATE(2026,9,26)-C111</f>
        <v>529</v>
      </c>
      <c r="E111" s="2" t="s">
        <v>326</v>
      </c>
      <c r="F111" s="2" t="s">
        <v>454</v>
      </c>
      <c r="G111" s="9" t="s">
        <v>245</v>
      </c>
    </row>
    <row r="112" customFormat="false" ht="15" hidden="false" customHeight="false" outlineLevel="0" collapsed="false">
      <c r="A112" s="2" t="s">
        <v>242</v>
      </c>
      <c r="B112" s="9" t="s">
        <v>455</v>
      </c>
      <c r="C112" s="6" t="n">
        <v>45762</v>
      </c>
      <c r="D112" s="11" t="n">
        <f aca="false">DATE(2026,9,26)-C112</f>
        <v>529</v>
      </c>
      <c r="E112" s="2" t="s">
        <v>326</v>
      </c>
      <c r="F112" s="2" t="s">
        <v>454</v>
      </c>
      <c r="G112" s="9" t="s">
        <v>245</v>
      </c>
    </row>
    <row r="113" customFormat="false" ht="15" hidden="false" customHeight="false" outlineLevel="0" collapsed="false">
      <c r="A113" s="2" t="s">
        <v>242</v>
      </c>
      <c r="B113" s="9" t="s">
        <v>456</v>
      </c>
      <c r="C113" s="6" t="n">
        <v>45762</v>
      </c>
      <c r="D113" s="11" t="n">
        <f aca="false">DATE(2026,9,26)-C113</f>
        <v>529</v>
      </c>
      <c r="E113" s="2" t="s">
        <v>326</v>
      </c>
      <c r="F113" s="2" t="s">
        <v>454</v>
      </c>
      <c r="G113" s="9" t="s">
        <v>245</v>
      </c>
    </row>
    <row r="114" customFormat="false" ht="15" hidden="false" customHeight="false" outlineLevel="0" collapsed="false">
      <c r="A114" s="2" t="s">
        <v>300</v>
      </c>
      <c r="B114" s="9" t="s">
        <v>457</v>
      </c>
      <c r="C114" s="6" t="n">
        <v>46265</v>
      </c>
      <c r="D114" s="11" t="n">
        <f aca="false">DATE(2026,9,26)-C114</f>
        <v>26</v>
      </c>
      <c r="E114" s="2" t="s">
        <v>337</v>
      </c>
      <c r="F114" s="2" t="s">
        <v>458</v>
      </c>
      <c r="G114" s="9" t="s">
        <v>303</v>
      </c>
    </row>
    <row r="115" customFormat="false" ht="15" hidden="false" customHeight="false" outlineLevel="0" collapsed="false">
      <c r="A115" s="2" t="s">
        <v>300</v>
      </c>
      <c r="B115" s="9" t="s">
        <v>459</v>
      </c>
      <c r="C115" s="6" t="n">
        <v>46265</v>
      </c>
      <c r="D115" s="11" t="n">
        <f aca="false">DATE(2026,9,26)-C115</f>
        <v>26</v>
      </c>
      <c r="E115" s="2" t="s">
        <v>326</v>
      </c>
      <c r="F115" s="2" t="s">
        <v>458</v>
      </c>
      <c r="G115" s="9" t="s">
        <v>303</v>
      </c>
    </row>
    <row r="116" customFormat="false" ht="15" hidden="false" customHeight="false" outlineLevel="0" collapsed="false">
      <c r="A116" s="2" t="s">
        <v>300</v>
      </c>
      <c r="B116" s="9" t="s">
        <v>460</v>
      </c>
      <c r="C116" s="6" t="n">
        <v>46279</v>
      </c>
      <c r="D116" s="11" t="n">
        <f aca="false">DATE(2026,9,26)-C116</f>
        <v>12</v>
      </c>
      <c r="E116" s="2" t="s">
        <v>337</v>
      </c>
      <c r="F116" s="2" t="s">
        <v>458</v>
      </c>
      <c r="G116" s="9" t="s">
        <v>303</v>
      </c>
    </row>
    <row r="117" customFormat="false" ht="15" hidden="false" customHeight="false" outlineLevel="0" collapsed="false">
      <c r="A117" s="2" t="s">
        <v>300</v>
      </c>
      <c r="B117" s="9" t="s">
        <v>461</v>
      </c>
      <c r="C117" s="6" t="n">
        <v>46279</v>
      </c>
      <c r="D117" s="11" t="n">
        <f aca="false">DATE(2026,9,26)-C117</f>
        <v>12</v>
      </c>
      <c r="E117" s="2" t="s">
        <v>326</v>
      </c>
      <c r="F117" s="2" t="s">
        <v>458</v>
      </c>
      <c r="G117" s="9" t="s">
        <v>303</v>
      </c>
    </row>
    <row r="118" customFormat="false" ht="15" hidden="false" customHeight="false" outlineLevel="0" collapsed="false">
      <c r="A118" s="2" t="s">
        <v>66</v>
      </c>
      <c r="B118" s="9" t="s">
        <v>462</v>
      </c>
      <c r="C118" s="6" t="n">
        <v>46168</v>
      </c>
      <c r="D118" s="11" t="n">
        <f aca="false">DATE(2026,9,26)-C118</f>
        <v>123</v>
      </c>
      <c r="E118" s="2" t="s">
        <v>337</v>
      </c>
      <c r="F118" s="2" t="s">
        <v>463</v>
      </c>
      <c r="G118" s="9" t="s">
        <v>464</v>
      </c>
    </row>
    <row r="119" customFormat="false" ht="15" hidden="false" customHeight="false" outlineLevel="0" collapsed="false">
      <c r="A119" s="2" t="s">
        <v>66</v>
      </c>
      <c r="B119" s="9" t="s">
        <v>465</v>
      </c>
      <c r="C119" s="6" t="n">
        <v>46168</v>
      </c>
      <c r="D119" s="11" t="n">
        <f aca="false">DATE(2026,9,26)-C119</f>
        <v>123</v>
      </c>
      <c r="E119" s="2" t="s">
        <v>337</v>
      </c>
      <c r="F119" s="2" t="s">
        <v>463</v>
      </c>
      <c r="G119" s="9" t="s">
        <v>464</v>
      </c>
    </row>
    <row r="120" customFormat="false" ht="15" hidden="false" customHeight="false" outlineLevel="0" collapsed="false">
      <c r="A120" s="2" t="s">
        <v>66</v>
      </c>
      <c r="B120" s="9" t="s">
        <v>466</v>
      </c>
      <c r="C120" s="6" t="n">
        <v>46168</v>
      </c>
      <c r="D120" s="11" t="n">
        <f aca="false">DATE(2026,9,26)-C120</f>
        <v>123</v>
      </c>
      <c r="E120" s="2" t="s">
        <v>337</v>
      </c>
      <c r="F120" s="2" t="s">
        <v>463</v>
      </c>
      <c r="G120" s="9" t="s">
        <v>464</v>
      </c>
    </row>
    <row r="121" customFormat="false" ht="15" hidden="false" customHeight="false" outlineLevel="0" collapsed="false">
      <c r="A121" s="2" t="s">
        <v>66</v>
      </c>
      <c r="B121" s="9" t="s">
        <v>467</v>
      </c>
      <c r="C121" s="6" t="n">
        <v>46171</v>
      </c>
      <c r="D121" s="11" t="n">
        <f aca="false">DATE(2026,9,26)-C121</f>
        <v>120</v>
      </c>
      <c r="E121" s="2" t="s">
        <v>337</v>
      </c>
      <c r="F121" s="2" t="s">
        <v>463</v>
      </c>
      <c r="G121" s="9" t="s">
        <v>70</v>
      </c>
    </row>
    <row r="122" customFormat="false" ht="15" hidden="false" customHeight="false" outlineLevel="0" collapsed="false">
      <c r="A122" s="2" t="s">
        <v>66</v>
      </c>
      <c r="B122" s="9" t="s">
        <v>468</v>
      </c>
      <c r="C122" s="6" t="n">
        <v>46171</v>
      </c>
      <c r="D122" s="11" t="n">
        <f aca="false">DATE(2026,9,26)-C122</f>
        <v>120</v>
      </c>
      <c r="E122" s="2" t="s">
        <v>337</v>
      </c>
      <c r="F122" s="2" t="s">
        <v>463</v>
      </c>
      <c r="G122" s="9" t="s">
        <v>70</v>
      </c>
    </row>
    <row r="123" customFormat="false" ht="15" hidden="false" customHeight="false" outlineLevel="0" collapsed="false">
      <c r="A123" s="2" t="s">
        <v>66</v>
      </c>
      <c r="B123" s="9" t="s">
        <v>469</v>
      </c>
      <c r="C123" s="6" t="n">
        <v>46172</v>
      </c>
      <c r="D123" s="11" t="n">
        <f aca="false">DATE(2026,9,26)-C123</f>
        <v>119</v>
      </c>
      <c r="E123" s="2" t="s">
        <v>337</v>
      </c>
      <c r="F123" s="2" t="s">
        <v>463</v>
      </c>
      <c r="G123" s="9" t="s">
        <v>464</v>
      </c>
    </row>
    <row r="124" customFormat="false" ht="15" hidden="false" customHeight="false" outlineLevel="0" collapsed="false">
      <c r="A124" s="2" t="s">
        <v>66</v>
      </c>
      <c r="B124" s="9" t="s">
        <v>470</v>
      </c>
      <c r="C124" s="6" t="n">
        <v>46172</v>
      </c>
      <c r="D124" s="11" t="n">
        <f aca="false">DATE(2026,9,26)-C124</f>
        <v>119</v>
      </c>
      <c r="E124" s="2" t="s">
        <v>337</v>
      </c>
      <c r="F124" s="2" t="s">
        <v>463</v>
      </c>
      <c r="G124" s="9" t="s">
        <v>464</v>
      </c>
    </row>
    <row r="125" customFormat="false" ht="15" hidden="false" customHeight="false" outlineLevel="0" collapsed="false">
      <c r="A125" s="2" t="s">
        <v>66</v>
      </c>
      <c r="B125" s="9" t="s">
        <v>471</v>
      </c>
      <c r="C125" s="6" t="n">
        <v>46172</v>
      </c>
      <c r="D125" s="11" t="n">
        <f aca="false">DATE(2026,9,26)-C125</f>
        <v>119</v>
      </c>
      <c r="E125" s="2" t="s">
        <v>337</v>
      </c>
      <c r="F125" s="2" t="s">
        <v>463</v>
      </c>
      <c r="G125" s="9" t="s">
        <v>464</v>
      </c>
    </row>
    <row r="126" customFormat="false" ht="15" hidden="false" customHeight="false" outlineLevel="0" collapsed="false">
      <c r="A126" s="2" t="s">
        <v>66</v>
      </c>
      <c r="B126" s="9" t="s">
        <v>472</v>
      </c>
      <c r="C126" s="6" t="n">
        <v>46181</v>
      </c>
      <c r="D126" s="11" t="n">
        <f aca="false">DATE(2026,9,26)-C126</f>
        <v>110</v>
      </c>
      <c r="E126" s="2" t="s">
        <v>337</v>
      </c>
      <c r="F126" s="2" t="s">
        <v>463</v>
      </c>
      <c r="G126" s="9" t="s">
        <v>473</v>
      </c>
    </row>
    <row r="127" customFormat="false" ht="15" hidden="false" customHeight="false" outlineLevel="0" collapsed="false">
      <c r="A127" s="2" t="s">
        <v>66</v>
      </c>
      <c r="B127" s="9" t="s">
        <v>474</v>
      </c>
      <c r="C127" s="6" t="n">
        <v>46181</v>
      </c>
      <c r="D127" s="11" t="n">
        <f aca="false">DATE(2026,9,26)-C127</f>
        <v>110</v>
      </c>
      <c r="E127" s="2" t="s">
        <v>337</v>
      </c>
      <c r="F127" s="2" t="s">
        <v>463</v>
      </c>
      <c r="G127" s="9" t="s">
        <v>473</v>
      </c>
    </row>
    <row r="128" customFormat="false" ht="15" hidden="false" customHeight="false" outlineLevel="0" collapsed="false">
      <c r="A128" s="2" t="s">
        <v>66</v>
      </c>
      <c r="B128" s="9" t="s">
        <v>475</v>
      </c>
      <c r="C128" s="6" t="n">
        <v>46181</v>
      </c>
      <c r="D128" s="11" t="n">
        <f aca="false">DATE(2026,9,26)-C128</f>
        <v>110</v>
      </c>
      <c r="E128" s="2" t="s">
        <v>337</v>
      </c>
      <c r="F128" s="2" t="s">
        <v>463</v>
      </c>
      <c r="G128" s="9" t="s">
        <v>473</v>
      </c>
    </row>
    <row r="129" customFormat="false" ht="15" hidden="false" customHeight="false" outlineLevel="0" collapsed="false">
      <c r="A129" s="2" t="s">
        <v>66</v>
      </c>
      <c r="B129" s="9" t="s">
        <v>476</v>
      </c>
      <c r="C129" s="6" t="n">
        <v>46181</v>
      </c>
      <c r="D129" s="11" t="n">
        <f aca="false">DATE(2026,9,26)-C129</f>
        <v>110</v>
      </c>
      <c r="E129" s="2" t="s">
        <v>329</v>
      </c>
      <c r="F129" s="2" t="s">
        <v>463</v>
      </c>
      <c r="G129" s="9" t="s">
        <v>473</v>
      </c>
    </row>
    <row r="130" customFormat="false" ht="15" hidden="false" customHeight="false" outlineLevel="0" collapsed="false">
      <c r="A130" s="2" t="s">
        <v>66</v>
      </c>
      <c r="B130" s="9" t="s">
        <v>477</v>
      </c>
      <c r="C130" s="6" t="n">
        <v>46200</v>
      </c>
      <c r="D130" s="11" t="n">
        <f aca="false">DATE(2026,9,26)-C130</f>
        <v>91</v>
      </c>
      <c r="E130" s="2" t="s">
        <v>337</v>
      </c>
      <c r="F130" s="2" t="s">
        <v>463</v>
      </c>
      <c r="G130" s="9" t="s">
        <v>70</v>
      </c>
    </row>
    <row r="131" customFormat="false" ht="15" hidden="false" customHeight="false" outlineLevel="0" collapsed="false">
      <c r="A131" s="2" t="s">
        <v>66</v>
      </c>
      <c r="B131" s="9" t="s">
        <v>478</v>
      </c>
      <c r="C131" s="6" t="n">
        <v>46200</v>
      </c>
      <c r="D131" s="11" t="n">
        <f aca="false">DATE(2026,9,26)-C131</f>
        <v>91</v>
      </c>
      <c r="E131" s="2" t="s">
        <v>337</v>
      </c>
      <c r="F131" s="2" t="s">
        <v>463</v>
      </c>
      <c r="G131" s="9" t="s">
        <v>70</v>
      </c>
    </row>
    <row r="132" customFormat="false" ht="15" hidden="false" customHeight="false" outlineLevel="0" collapsed="false">
      <c r="A132" s="2" t="s">
        <v>66</v>
      </c>
      <c r="B132" s="9" t="s">
        <v>479</v>
      </c>
      <c r="C132" s="6" t="n">
        <v>46200</v>
      </c>
      <c r="D132" s="11" t="n">
        <f aca="false">DATE(2026,9,26)-C132</f>
        <v>91</v>
      </c>
      <c r="E132" s="2" t="s">
        <v>337</v>
      </c>
      <c r="F132" s="2" t="s">
        <v>463</v>
      </c>
      <c r="G132" s="9" t="s">
        <v>70</v>
      </c>
    </row>
    <row r="133" customFormat="false" ht="15" hidden="false" customHeight="false" outlineLevel="0" collapsed="false">
      <c r="A133" s="2" t="s">
        <v>66</v>
      </c>
      <c r="B133" s="9" t="s">
        <v>480</v>
      </c>
      <c r="C133" s="6" t="n">
        <v>46201</v>
      </c>
      <c r="D133" s="11" t="n">
        <f aca="false">DATE(2026,9,26)-C133</f>
        <v>90</v>
      </c>
      <c r="E133" s="2" t="s">
        <v>337</v>
      </c>
      <c r="F133" s="2" t="s">
        <v>463</v>
      </c>
      <c r="G133" s="9" t="s">
        <v>70</v>
      </c>
    </row>
    <row r="134" customFormat="false" ht="15" hidden="false" customHeight="false" outlineLevel="0" collapsed="false">
      <c r="A134" s="2" t="s">
        <v>66</v>
      </c>
      <c r="B134" s="9" t="s">
        <v>481</v>
      </c>
      <c r="C134" s="6" t="n">
        <v>46201</v>
      </c>
      <c r="D134" s="11" t="n">
        <f aca="false">DATE(2026,9,26)-C134</f>
        <v>90</v>
      </c>
      <c r="E134" s="2" t="s">
        <v>337</v>
      </c>
      <c r="F134" s="2" t="s">
        <v>463</v>
      </c>
      <c r="G134" s="9" t="s">
        <v>70</v>
      </c>
    </row>
    <row r="135" customFormat="false" ht="15" hidden="false" customHeight="false" outlineLevel="0" collapsed="false">
      <c r="A135" s="2" t="s">
        <v>66</v>
      </c>
      <c r="B135" s="9" t="s">
        <v>482</v>
      </c>
      <c r="C135" s="6" t="n">
        <v>46239</v>
      </c>
      <c r="D135" s="11" t="n">
        <f aca="false">DATE(2026,9,26)-C135</f>
        <v>52</v>
      </c>
      <c r="E135" s="2" t="s">
        <v>337</v>
      </c>
      <c r="F135" s="2" t="s">
        <v>463</v>
      </c>
      <c r="G135" s="9" t="s">
        <v>70</v>
      </c>
    </row>
    <row r="136" customFormat="false" ht="15" hidden="false" customHeight="false" outlineLevel="0" collapsed="false">
      <c r="A136" s="2" t="s">
        <v>66</v>
      </c>
      <c r="B136" s="9" t="s">
        <v>483</v>
      </c>
      <c r="C136" s="6" t="n">
        <v>46267</v>
      </c>
      <c r="D136" s="11" t="n">
        <f aca="false">DATE(2026,9,26)-C136</f>
        <v>24</v>
      </c>
      <c r="E136" s="2" t="s">
        <v>337</v>
      </c>
      <c r="F136" s="2" t="s">
        <v>463</v>
      </c>
      <c r="G136" s="9" t="s">
        <v>70</v>
      </c>
    </row>
    <row r="137" customFormat="false" ht="15" hidden="false" customHeight="false" outlineLevel="0" collapsed="false">
      <c r="A137" s="2" t="s">
        <v>66</v>
      </c>
      <c r="B137" s="9" t="s">
        <v>484</v>
      </c>
      <c r="C137" s="6" t="n">
        <v>46282</v>
      </c>
      <c r="D137" s="11" t="n">
        <f aca="false">DATE(2026,9,26)-C137</f>
        <v>9</v>
      </c>
      <c r="E137" s="2" t="s">
        <v>337</v>
      </c>
      <c r="F137" s="2" t="s">
        <v>463</v>
      </c>
      <c r="G137" s="9" t="s">
        <v>70</v>
      </c>
    </row>
    <row r="138" customFormat="false" ht="15" hidden="false" customHeight="false" outlineLevel="0" collapsed="false">
      <c r="A138" s="2" t="s">
        <v>66</v>
      </c>
      <c r="B138" s="9" t="s">
        <v>485</v>
      </c>
      <c r="C138" s="6" t="n">
        <v>46282</v>
      </c>
      <c r="D138" s="11" t="n">
        <f aca="false">DATE(2026,9,26)-C138</f>
        <v>9</v>
      </c>
      <c r="E138" s="2" t="s">
        <v>337</v>
      </c>
      <c r="F138" s="2" t="s">
        <v>463</v>
      </c>
      <c r="G138" s="9" t="s">
        <v>70</v>
      </c>
    </row>
    <row r="139" customFormat="false" ht="15" hidden="false" customHeight="false" outlineLevel="0" collapsed="false">
      <c r="A139" s="2" t="s">
        <v>66</v>
      </c>
      <c r="B139" s="9" t="s">
        <v>486</v>
      </c>
      <c r="C139" s="6" t="n">
        <v>46285</v>
      </c>
      <c r="D139" s="11" t="n">
        <f aca="false">DATE(2026,9,26)-C139</f>
        <v>6</v>
      </c>
      <c r="E139" s="2" t="s">
        <v>337</v>
      </c>
      <c r="F139" s="2" t="s">
        <v>463</v>
      </c>
      <c r="G139" s="9" t="s">
        <v>70</v>
      </c>
    </row>
    <row r="140" customFormat="false" ht="15" hidden="false" customHeight="false" outlineLevel="0" collapsed="false">
      <c r="A140" s="2" t="s">
        <v>66</v>
      </c>
      <c r="B140" s="9" t="s">
        <v>487</v>
      </c>
      <c r="C140" s="6" t="n">
        <v>46285</v>
      </c>
      <c r="D140" s="11" t="n">
        <f aca="false">DATE(2026,9,26)-C140</f>
        <v>6</v>
      </c>
      <c r="E140" s="2" t="s">
        <v>337</v>
      </c>
      <c r="F140" s="2" t="s">
        <v>463</v>
      </c>
      <c r="G140" s="9" t="s">
        <v>70</v>
      </c>
    </row>
    <row r="141" customFormat="false" ht="15" hidden="false" customHeight="false" outlineLevel="0" collapsed="false">
      <c r="A141" s="2" t="s">
        <v>272</v>
      </c>
      <c r="B141" s="9" t="s">
        <v>488</v>
      </c>
      <c r="C141" s="6" t="n">
        <v>46263</v>
      </c>
      <c r="D141" s="11" t="n">
        <f aca="false">DATE(2026,9,26)-C141</f>
        <v>28</v>
      </c>
      <c r="E141" s="2" t="s">
        <v>326</v>
      </c>
      <c r="F141" s="2" t="s">
        <v>489</v>
      </c>
      <c r="G141" s="9" t="s">
        <v>275</v>
      </c>
    </row>
    <row r="142" customFormat="false" ht="15" hidden="false" customHeight="false" outlineLevel="0" collapsed="false">
      <c r="A142" s="2" t="s">
        <v>272</v>
      </c>
      <c r="B142" s="9" t="s">
        <v>490</v>
      </c>
      <c r="C142" s="6" t="n">
        <v>46263</v>
      </c>
      <c r="D142" s="11" t="n">
        <f aca="false">DATE(2026,9,26)-C142</f>
        <v>28</v>
      </c>
      <c r="E142" s="2" t="s">
        <v>326</v>
      </c>
      <c r="F142" s="2" t="s">
        <v>489</v>
      </c>
      <c r="G142" s="9" t="s">
        <v>275</v>
      </c>
    </row>
    <row r="143" customFormat="false" ht="15" hidden="false" customHeight="false" outlineLevel="0" collapsed="false">
      <c r="A143" s="2" t="s">
        <v>272</v>
      </c>
      <c r="B143" s="9" t="s">
        <v>491</v>
      </c>
      <c r="C143" s="6" t="n">
        <v>46263</v>
      </c>
      <c r="D143" s="11" t="n">
        <f aca="false">DATE(2026,9,26)-C143</f>
        <v>28</v>
      </c>
      <c r="E143" s="2" t="s">
        <v>326</v>
      </c>
      <c r="F143" s="2" t="s">
        <v>489</v>
      </c>
      <c r="G143" s="9" t="s">
        <v>275</v>
      </c>
    </row>
    <row r="144" customFormat="false" ht="15" hidden="false" customHeight="false" outlineLevel="0" collapsed="false">
      <c r="A144" s="2" t="s">
        <v>272</v>
      </c>
      <c r="B144" s="9" t="s">
        <v>492</v>
      </c>
      <c r="C144" s="6" t="n">
        <v>46263</v>
      </c>
      <c r="D144" s="11" t="n">
        <f aca="false">DATE(2026,9,26)-C144</f>
        <v>28</v>
      </c>
      <c r="E144" s="2" t="s">
        <v>326</v>
      </c>
      <c r="F144" s="2" t="s">
        <v>489</v>
      </c>
      <c r="G144" s="9" t="s">
        <v>275</v>
      </c>
    </row>
    <row r="145" customFormat="false" ht="15" hidden="false" customHeight="false" outlineLevel="0" collapsed="false">
      <c r="A145" s="2" t="s">
        <v>272</v>
      </c>
      <c r="B145" s="9" t="s">
        <v>493</v>
      </c>
      <c r="C145" s="6" t="n">
        <v>46263</v>
      </c>
      <c r="D145" s="11" t="n">
        <f aca="false">DATE(2026,9,26)-C145</f>
        <v>28</v>
      </c>
      <c r="E145" s="2" t="s">
        <v>326</v>
      </c>
      <c r="F145" s="2" t="s">
        <v>489</v>
      </c>
      <c r="G145" s="9" t="s">
        <v>275</v>
      </c>
    </row>
    <row r="146" customFormat="false" ht="15" hidden="false" customHeight="false" outlineLevel="0" collapsed="false">
      <c r="A146" s="2" t="s">
        <v>272</v>
      </c>
      <c r="B146" s="9" t="s">
        <v>494</v>
      </c>
      <c r="C146" s="6" t="n">
        <v>46263</v>
      </c>
      <c r="D146" s="11" t="n">
        <f aca="false">DATE(2026,9,26)-C146</f>
        <v>28</v>
      </c>
      <c r="E146" s="2" t="s">
        <v>326</v>
      </c>
      <c r="F146" s="2" t="s">
        <v>489</v>
      </c>
      <c r="G146" s="9" t="s">
        <v>275</v>
      </c>
    </row>
    <row r="147" customFormat="false" ht="15" hidden="false" customHeight="false" outlineLevel="0" collapsed="false">
      <c r="A147" s="2" t="s">
        <v>272</v>
      </c>
      <c r="B147" s="9" t="s">
        <v>495</v>
      </c>
      <c r="C147" s="6" t="n">
        <v>46263</v>
      </c>
      <c r="D147" s="11" t="n">
        <f aca="false">DATE(2026,9,26)-C147</f>
        <v>28</v>
      </c>
      <c r="E147" s="2" t="s">
        <v>326</v>
      </c>
      <c r="F147" s="2" t="s">
        <v>489</v>
      </c>
      <c r="G147" s="9" t="s">
        <v>275</v>
      </c>
    </row>
    <row r="148" customFormat="false" ht="15" hidden="false" customHeight="false" outlineLevel="0" collapsed="false">
      <c r="A148" s="2" t="s">
        <v>272</v>
      </c>
      <c r="B148" s="9" t="s">
        <v>496</v>
      </c>
      <c r="C148" s="6" t="n">
        <v>46263</v>
      </c>
      <c r="D148" s="11" t="n">
        <f aca="false">DATE(2026,9,26)-C148</f>
        <v>28</v>
      </c>
      <c r="E148" s="2" t="s">
        <v>337</v>
      </c>
      <c r="F148" s="2" t="s">
        <v>489</v>
      </c>
      <c r="G148" s="9" t="s">
        <v>275</v>
      </c>
    </row>
    <row r="149" customFormat="false" ht="15" hidden="false" customHeight="false" outlineLevel="0" collapsed="false">
      <c r="A149" s="2" t="s">
        <v>272</v>
      </c>
      <c r="B149" s="9" t="s">
        <v>497</v>
      </c>
      <c r="C149" s="6" t="n">
        <v>46263</v>
      </c>
      <c r="D149" s="11" t="n">
        <f aca="false">DATE(2026,9,26)-C149</f>
        <v>28</v>
      </c>
      <c r="E149" s="2" t="s">
        <v>326</v>
      </c>
      <c r="F149" s="2" t="s">
        <v>489</v>
      </c>
      <c r="G149" s="9" t="s">
        <v>275</v>
      </c>
    </row>
    <row r="150" customFormat="false" ht="15" hidden="false" customHeight="false" outlineLevel="0" collapsed="false">
      <c r="A150" s="2" t="s">
        <v>272</v>
      </c>
      <c r="B150" s="9" t="s">
        <v>498</v>
      </c>
      <c r="C150" s="6" t="n">
        <v>46263</v>
      </c>
      <c r="D150" s="11" t="n">
        <f aca="false">DATE(2026,9,26)-C150</f>
        <v>28</v>
      </c>
      <c r="E150" s="2" t="s">
        <v>337</v>
      </c>
      <c r="F150" s="2" t="s">
        <v>489</v>
      </c>
      <c r="G150" s="9" t="s">
        <v>275</v>
      </c>
    </row>
    <row r="151" customFormat="false" ht="15" hidden="false" customHeight="false" outlineLevel="0" collapsed="false">
      <c r="A151" s="2" t="s">
        <v>272</v>
      </c>
      <c r="B151" s="9" t="s">
        <v>499</v>
      </c>
      <c r="C151" s="6" t="n">
        <v>46263</v>
      </c>
      <c r="D151" s="11" t="n">
        <f aca="false">DATE(2026,9,26)-C151</f>
        <v>28</v>
      </c>
      <c r="E151" s="2" t="s">
        <v>326</v>
      </c>
      <c r="F151" s="2" t="s">
        <v>489</v>
      </c>
      <c r="G151" s="9" t="s">
        <v>275</v>
      </c>
    </row>
    <row r="152" customFormat="false" ht="15" hidden="false" customHeight="false" outlineLevel="0" collapsed="false">
      <c r="A152" s="2" t="s">
        <v>272</v>
      </c>
      <c r="B152" s="9" t="s">
        <v>500</v>
      </c>
      <c r="C152" s="6" t="n">
        <v>46263</v>
      </c>
      <c r="D152" s="11" t="n">
        <f aca="false">DATE(2026,9,26)-C152</f>
        <v>28</v>
      </c>
      <c r="E152" s="2" t="s">
        <v>326</v>
      </c>
      <c r="F152" s="2" t="s">
        <v>489</v>
      </c>
      <c r="G152" s="9" t="s">
        <v>275</v>
      </c>
    </row>
    <row r="153" customFormat="false" ht="15" hidden="false" customHeight="false" outlineLevel="0" collapsed="false">
      <c r="A153" s="2" t="s">
        <v>272</v>
      </c>
      <c r="B153" s="9" t="s">
        <v>501</v>
      </c>
      <c r="C153" s="6" t="n">
        <v>46263</v>
      </c>
      <c r="D153" s="11" t="n">
        <f aca="false">DATE(2026,9,26)-C153</f>
        <v>28</v>
      </c>
      <c r="E153" s="2" t="s">
        <v>326</v>
      </c>
      <c r="F153" s="2" t="s">
        <v>489</v>
      </c>
      <c r="G153" s="9" t="s">
        <v>275</v>
      </c>
    </row>
    <row r="154" customFormat="false" ht="15" hidden="false" customHeight="false" outlineLevel="0" collapsed="false">
      <c r="A154" s="2" t="s">
        <v>272</v>
      </c>
      <c r="B154" s="9" t="s">
        <v>502</v>
      </c>
      <c r="C154" s="6" t="n">
        <v>46263</v>
      </c>
      <c r="D154" s="11" t="n">
        <f aca="false">DATE(2026,9,26)-C154</f>
        <v>28</v>
      </c>
      <c r="E154" s="2" t="s">
        <v>326</v>
      </c>
      <c r="F154" s="2" t="s">
        <v>489</v>
      </c>
      <c r="G154" s="9" t="s">
        <v>275</v>
      </c>
    </row>
    <row r="155" customFormat="false" ht="15" hidden="false" customHeight="false" outlineLevel="0" collapsed="false">
      <c r="A155" s="2" t="s">
        <v>272</v>
      </c>
      <c r="B155" s="9" t="s">
        <v>503</v>
      </c>
      <c r="C155" s="6" t="n">
        <v>46263</v>
      </c>
      <c r="D155" s="11" t="n">
        <f aca="false">DATE(2026,9,26)-C155</f>
        <v>28</v>
      </c>
      <c r="E155" s="2" t="s">
        <v>326</v>
      </c>
      <c r="F155" s="2" t="s">
        <v>489</v>
      </c>
      <c r="G155" s="9" t="s">
        <v>275</v>
      </c>
    </row>
    <row r="156" customFormat="false" ht="15" hidden="false" customHeight="false" outlineLevel="0" collapsed="false">
      <c r="A156" s="2" t="s">
        <v>272</v>
      </c>
      <c r="B156" s="9" t="s">
        <v>504</v>
      </c>
      <c r="C156" s="6" t="n">
        <v>46263</v>
      </c>
      <c r="D156" s="11" t="n">
        <f aca="false">DATE(2026,9,26)-C156</f>
        <v>28</v>
      </c>
      <c r="E156" s="2" t="s">
        <v>326</v>
      </c>
      <c r="F156" s="2" t="s">
        <v>489</v>
      </c>
      <c r="G156" s="9" t="s">
        <v>275</v>
      </c>
    </row>
    <row r="157" customFormat="false" ht="15" hidden="false" customHeight="false" outlineLevel="0" collapsed="false">
      <c r="A157" s="2" t="s">
        <v>272</v>
      </c>
      <c r="B157" s="9" t="s">
        <v>505</v>
      </c>
      <c r="C157" s="6" t="n">
        <v>46263</v>
      </c>
      <c r="D157" s="11" t="n">
        <f aca="false">DATE(2026,9,26)-C157</f>
        <v>28</v>
      </c>
      <c r="E157" s="2" t="s">
        <v>326</v>
      </c>
      <c r="F157" s="2" t="s">
        <v>489</v>
      </c>
      <c r="G157" s="9" t="s">
        <v>275</v>
      </c>
    </row>
    <row r="158" customFormat="false" ht="15" hidden="false" customHeight="false" outlineLevel="0" collapsed="false">
      <c r="A158" s="2" t="s">
        <v>272</v>
      </c>
      <c r="B158" s="9" t="s">
        <v>506</v>
      </c>
      <c r="C158" s="6" t="n">
        <v>46263</v>
      </c>
      <c r="D158" s="11" t="n">
        <f aca="false">DATE(2026,9,26)-C158</f>
        <v>28</v>
      </c>
      <c r="E158" s="2" t="s">
        <v>326</v>
      </c>
      <c r="F158" s="2" t="s">
        <v>489</v>
      </c>
      <c r="G158" s="9" t="s">
        <v>275</v>
      </c>
    </row>
    <row r="159" customFormat="false" ht="15" hidden="false" customHeight="false" outlineLevel="0" collapsed="false">
      <c r="A159" s="2" t="s">
        <v>272</v>
      </c>
      <c r="B159" s="9" t="s">
        <v>507</v>
      </c>
      <c r="C159" s="6" t="n">
        <v>46264</v>
      </c>
      <c r="D159" s="11" t="n">
        <f aca="false">DATE(2026,9,26)-C159</f>
        <v>27</v>
      </c>
      <c r="E159" s="2" t="s">
        <v>326</v>
      </c>
      <c r="F159" s="2" t="s">
        <v>489</v>
      </c>
      <c r="G159" s="9" t="s">
        <v>275</v>
      </c>
    </row>
    <row r="160" customFormat="false" ht="15" hidden="false" customHeight="false" outlineLevel="0" collapsed="false">
      <c r="A160" s="2" t="s">
        <v>272</v>
      </c>
      <c r="B160" s="9" t="s">
        <v>508</v>
      </c>
      <c r="C160" s="6" t="n">
        <v>46264</v>
      </c>
      <c r="D160" s="11" t="n">
        <f aca="false">DATE(2026,9,26)-C160</f>
        <v>27</v>
      </c>
      <c r="E160" s="2" t="s">
        <v>326</v>
      </c>
      <c r="F160" s="2" t="s">
        <v>489</v>
      </c>
      <c r="G160" s="9" t="s">
        <v>275</v>
      </c>
    </row>
    <row r="161" customFormat="false" ht="15" hidden="false" customHeight="false" outlineLevel="0" collapsed="false">
      <c r="A161" s="2" t="s">
        <v>272</v>
      </c>
      <c r="B161" s="9" t="s">
        <v>509</v>
      </c>
      <c r="C161" s="6" t="n">
        <v>46287</v>
      </c>
      <c r="D161" s="11" t="n">
        <f aca="false">DATE(2026,9,26)-C161</f>
        <v>4</v>
      </c>
      <c r="E161" s="2" t="s">
        <v>326</v>
      </c>
      <c r="F161" s="2" t="s">
        <v>489</v>
      </c>
      <c r="G161" s="9" t="s">
        <v>275</v>
      </c>
    </row>
    <row r="162" customFormat="false" ht="15" hidden="false" customHeight="false" outlineLevel="0" collapsed="false">
      <c r="A162" s="2" t="s">
        <v>272</v>
      </c>
      <c r="B162" s="9" t="s">
        <v>510</v>
      </c>
      <c r="C162" s="6" t="n">
        <v>46287</v>
      </c>
      <c r="D162" s="11" t="n">
        <f aca="false">DATE(2026,9,26)-C162</f>
        <v>4</v>
      </c>
      <c r="E162" s="2" t="s">
        <v>326</v>
      </c>
      <c r="F162" s="2" t="s">
        <v>489</v>
      </c>
      <c r="G162" s="9" t="s">
        <v>275</v>
      </c>
    </row>
    <row r="163" customFormat="false" ht="15" hidden="false" customHeight="false" outlineLevel="0" collapsed="false">
      <c r="A163" s="2" t="s">
        <v>272</v>
      </c>
      <c r="B163" s="9" t="s">
        <v>511</v>
      </c>
      <c r="C163" s="6" t="n">
        <v>46287</v>
      </c>
      <c r="D163" s="11" t="n">
        <f aca="false">DATE(2026,9,26)-C163</f>
        <v>4</v>
      </c>
      <c r="E163" s="2" t="s">
        <v>326</v>
      </c>
      <c r="F163" s="2" t="s">
        <v>489</v>
      </c>
      <c r="G163" s="9" t="s">
        <v>275</v>
      </c>
    </row>
    <row r="164" customFormat="false" ht="15" hidden="false" customHeight="false" outlineLevel="0" collapsed="false">
      <c r="A164" s="2" t="s">
        <v>272</v>
      </c>
      <c r="B164" s="9" t="s">
        <v>512</v>
      </c>
      <c r="C164" s="6" t="n">
        <v>46287</v>
      </c>
      <c r="D164" s="11" t="n">
        <f aca="false">DATE(2026,9,26)-C164</f>
        <v>4</v>
      </c>
      <c r="E164" s="2" t="s">
        <v>326</v>
      </c>
      <c r="F164" s="2" t="s">
        <v>489</v>
      </c>
      <c r="G164" s="9" t="s">
        <v>275</v>
      </c>
    </row>
    <row r="165" customFormat="false" ht="15" hidden="false" customHeight="false" outlineLevel="0" collapsed="false">
      <c r="A165" s="2" t="s">
        <v>272</v>
      </c>
      <c r="B165" s="9" t="s">
        <v>513</v>
      </c>
      <c r="C165" s="6" t="n">
        <v>46287</v>
      </c>
      <c r="D165" s="11" t="n">
        <f aca="false">DATE(2026,9,26)-C165</f>
        <v>4</v>
      </c>
      <c r="E165" s="2" t="s">
        <v>326</v>
      </c>
      <c r="F165" s="2" t="s">
        <v>489</v>
      </c>
      <c r="G165" s="9" t="s">
        <v>275</v>
      </c>
    </row>
    <row r="166" customFormat="false" ht="15" hidden="false" customHeight="false" outlineLevel="0" collapsed="false">
      <c r="A166" s="2" t="s">
        <v>272</v>
      </c>
      <c r="B166" s="9" t="s">
        <v>514</v>
      </c>
      <c r="C166" s="6" t="n">
        <v>46287</v>
      </c>
      <c r="D166" s="11" t="n">
        <f aca="false">DATE(2026,9,26)-C166</f>
        <v>4</v>
      </c>
      <c r="E166" s="2" t="s">
        <v>326</v>
      </c>
      <c r="F166" s="2" t="s">
        <v>489</v>
      </c>
      <c r="G166" s="9" t="s">
        <v>275</v>
      </c>
    </row>
    <row r="167" customFormat="false" ht="15" hidden="false" customHeight="false" outlineLevel="0" collapsed="false">
      <c r="A167" s="2" t="s">
        <v>272</v>
      </c>
      <c r="B167" s="9" t="s">
        <v>515</v>
      </c>
      <c r="C167" s="6" t="n">
        <v>46287</v>
      </c>
      <c r="D167" s="11" t="n">
        <f aca="false">DATE(2026,9,26)-C167</f>
        <v>4</v>
      </c>
      <c r="E167" s="2" t="s">
        <v>326</v>
      </c>
      <c r="F167" s="2" t="s">
        <v>489</v>
      </c>
      <c r="G167" s="9" t="s">
        <v>275</v>
      </c>
    </row>
    <row r="168" customFormat="false" ht="15" hidden="false" customHeight="false" outlineLevel="0" collapsed="false">
      <c r="A168" s="2" t="s">
        <v>272</v>
      </c>
      <c r="B168" s="9" t="s">
        <v>516</v>
      </c>
      <c r="C168" s="6" t="n">
        <v>46287</v>
      </c>
      <c r="D168" s="11" t="n">
        <f aca="false">DATE(2026,9,26)-C168</f>
        <v>4</v>
      </c>
      <c r="E168" s="2" t="s">
        <v>326</v>
      </c>
      <c r="F168" s="2" t="s">
        <v>489</v>
      </c>
      <c r="G168" s="9" t="s">
        <v>275</v>
      </c>
    </row>
    <row r="169" customFormat="false" ht="15" hidden="false" customHeight="false" outlineLevel="0" collapsed="false">
      <c r="A169" s="2" t="s">
        <v>292</v>
      </c>
      <c r="B169" s="9" t="s">
        <v>517</v>
      </c>
      <c r="C169" s="6" t="n">
        <v>46185</v>
      </c>
      <c r="D169" s="11" t="n">
        <f aca="false">DATE(2026,9,26)-C169</f>
        <v>106</v>
      </c>
      <c r="E169" s="2" t="s">
        <v>337</v>
      </c>
      <c r="F169" s="2" t="s">
        <v>518</v>
      </c>
      <c r="G169" s="9" t="s">
        <v>294</v>
      </c>
    </row>
    <row r="170" customFormat="false" ht="15" hidden="false" customHeight="false" outlineLevel="0" collapsed="false">
      <c r="A170" s="2" t="s">
        <v>292</v>
      </c>
      <c r="B170" s="9" t="s">
        <v>519</v>
      </c>
      <c r="C170" s="6" t="n">
        <v>46185</v>
      </c>
      <c r="D170" s="11" t="n">
        <f aca="false">DATE(2026,9,26)-C170</f>
        <v>106</v>
      </c>
      <c r="E170" s="2" t="s">
        <v>337</v>
      </c>
      <c r="F170" s="2" t="s">
        <v>518</v>
      </c>
      <c r="G170" s="9" t="s">
        <v>294</v>
      </c>
    </row>
    <row r="171" customFormat="false" ht="15" hidden="false" customHeight="false" outlineLevel="0" collapsed="false">
      <c r="A171" s="2" t="s">
        <v>292</v>
      </c>
      <c r="B171" s="9" t="s">
        <v>520</v>
      </c>
      <c r="C171" s="6" t="n">
        <v>46186</v>
      </c>
      <c r="D171" s="11" t="n">
        <f aca="false">DATE(2026,9,26)-C171</f>
        <v>105</v>
      </c>
      <c r="E171" s="2" t="s">
        <v>326</v>
      </c>
      <c r="F171" s="2" t="s">
        <v>518</v>
      </c>
      <c r="G171" s="9" t="s">
        <v>294</v>
      </c>
    </row>
    <row r="172" customFormat="false" ht="15" hidden="false" customHeight="false" outlineLevel="0" collapsed="false">
      <c r="A172" s="2" t="s">
        <v>292</v>
      </c>
      <c r="B172" s="9" t="s">
        <v>521</v>
      </c>
      <c r="C172" s="6" t="n">
        <v>46188</v>
      </c>
      <c r="D172" s="11" t="n">
        <f aca="false">DATE(2026,9,26)-C172</f>
        <v>103</v>
      </c>
      <c r="E172" s="2" t="s">
        <v>326</v>
      </c>
      <c r="F172" s="2" t="s">
        <v>518</v>
      </c>
      <c r="G172" s="9" t="s">
        <v>294</v>
      </c>
    </row>
    <row r="173" customFormat="false" ht="15" hidden="false" customHeight="false" outlineLevel="0" collapsed="false">
      <c r="A173" s="2" t="s">
        <v>292</v>
      </c>
      <c r="B173" s="9" t="s">
        <v>522</v>
      </c>
      <c r="C173" s="6" t="n">
        <v>46188</v>
      </c>
      <c r="D173" s="11" t="n">
        <f aca="false">DATE(2026,9,26)-C173</f>
        <v>103</v>
      </c>
      <c r="E173" s="2" t="s">
        <v>326</v>
      </c>
      <c r="F173" s="2" t="s">
        <v>518</v>
      </c>
      <c r="G173" s="9" t="s">
        <v>294</v>
      </c>
    </row>
    <row r="174" customFormat="false" ht="15" hidden="false" customHeight="false" outlineLevel="0" collapsed="false">
      <c r="A174" s="2" t="s">
        <v>100</v>
      </c>
      <c r="B174" s="9" t="s">
        <v>523</v>
      </c>
      <c r="C174" s="6" t="n">
        <v>46089</v>
      </c>
      <c r="D174" s="11" t="n">
        <f aca="false">DATE(2026,9,26)-C174</f>
        <v>202</v>
      </c>
      <c r="E174" s="2" t="s">
        <v>329</v>
      </c>
      <c r="F174" s="2" t="s">
        <v>524</v>
      </c>
      <c r="G174" s="9" t="s">
        <v>525</v>
      </c>
    </row>
    <row r="175" customFormat="false" ht="15" hidden="false" customHeight="false" outlineLevel="0" collapsed="false">
      <c r="A175" s="2" t="s">
        <v>100</v>
      </c>
      <c r="B175" s="9" t="s">
        <v>526</v>
      </c>
      <c r="C175" s="6" t="n">
        <v>46151</v>
      </c>
      <c r="D175" s="11" t="n">
        <f aca="false">DATE(2026,9,26)-C175</f>
        <v>140</v>
      </c>
      <c r="E175" s="2" t="s">
        <v>329</v>
      </c>
      <c r="F175" s="2" t="s">
        <v>524</v>
      </c>
      <c r="G175" s="9" t="s">
        <v>527</v>
      </c>
    </row>
    <row r="176" customFormat="false" ht="15" hidden="false" customHeight="false" outlineLevel="0" collapsed="false">
      <c r="A176" s="2" t="s">
        <v>100</v>
      </c>
      <c r="B176" s="9" t="s">
        <v>528</v>
      </c>
      <c r="C176" s="6" t="n">
        <v>46153</v>
      </c>
      <c r="D176" s="11" t="n">
        <f aca="false">DATE(2026,9,26)-C176</f>
        <v>138</v>
      </c>
      <c r="E176" s="2" t="s">
        <v>329</v>
      </c>
      <c r="F176" s="2" t="s">
        <v>524</v>
      </c>
      <c r="G176" s="9" t="s">
        <v>527</v>
      </c>
    </row>
    <row r="177" customFormat="false" ht="15" hidden="false" customHeight="false" outlineLevel="0" collapsed="false">
      <c r="A177" s="2" t="s">
        <v>100</v>
      </c>
      <c r="B177" s="9" t="s">
        <v>529</v>
      </c>
      <c r="C177" s="6" t="n">
        <v>46159</v>
      </c>
      <c r="D177" s="11" t="n">
        <f aca="false">DATE(2026,9,26)-C177</f>
        <v>132</v>
      </c>
      <c r="E177" s="2" t="s">
        <v>329</v>
      </c>
      <c r="F177" s="2" t="s">
        <v>524</v>
      </c>
      <c r="G177" s="9" t="s">
        <v>530</v>
      </c>
    </row>
    <row r="178" customFormat="false" ht="15" hidden="false" customHeight="false" outlineLevel="0" collapsed="false">
      <c r="A178" s="2" t="s">
        <v>100</v>
      </c>
      <c r="B178" s="9" t="s">
        <v>531</v>
      </c>
      <c r="C178" s="6" t="n">
        <v>46159</v>
      </c>
      <c r="D178" s="11" t="n">
        <f aca="false">DATE(2026,9,26)-C178</f>
        <v>132</v>
      </c>
      <c r="E178" s="2" t="s">
        <v>337</v>
      </c>
      <c r="F178" s="2" t="s">
        <v>524</v>
      </c>
      <c r="G178" s="9" t="s">
        <v>530</v>
      </c>
    </row>
    <row r="179" customFormat="false" ht="15" hidden="false" customHeight="false" outlineLevel="0" collapsed="false">
      <c r="A179" s="2" t="s">
        <v>100</v>
      </c>
      <c r="B179" s="9" t="s">
        <v>532</v>
      </c>
      <c r="C179" s="6" t="n">
        <v>46179</v>
      </c>
      <c r="D179" s="11" t="n">
        <f aca="false">DATE(2026,9,26)-C179</f>
        <v>112</v>
      </c>
      <c r="E179" s="2" t="s">
        <v>329</v>
      </c>
      <c r="F179" s="2" t="s">
        <v>524</v>
      </c>
      <c r="G179" s="9" t="s">
        <v>533</v>
      </c>
    </row>
    <row r="180" customFormat="false" ht="15" hidden="false" customHeight="false" outlineLevel="0" collapsed="false">
      <c r="A180" s="2" t="s">
        <v>100</v>
      </c>
      <c r="B180" s="9" t="s">
        <v>534</v>
      </c>
      <c r="C180" s="6" t="n">
        <v>46203</v>
      </c>
      <c r="D180" s="11" t="n">
        <f aca="false">DATE(2026,9,26)-C180</f>
        <v>88</v>
      </c>
      <c r="E180" s="2" t="s">
        <v>329</v>
      </c>
      <c r="F180" s="2" t="s">
        <v>524</v>
      </c>
      <c r="G180" s="9" t="s">
        <v>535</v>
      </c>
    </row>
    <row r="181" customFormat="false" ht="15" hidden="false" customHeight="false" outlineLevel="0" collapsed="false">
      <c r="A181" s="2" t="s">
        <v>100</v>
      </c>
      <c r="B181" s="9" t="s">
        <v>536</v>
      </c>
      <c r="C181" s="6" t="n">
        <v>46203</v>
      </c>
      <c r="D181" s="11" t="n">
        <f aca="false">DATE(2026,9,26)-C181</f>
        <v>88</v>
      </c>
      <c r="E181" s="2" t="s">
        <v>329</v>
      </c>
      <c r="F181" s="2" t="s">
        <v>524</v>
      </c>
      <c r="G181" s="9" t="s">
        <v>535</v>
      </c>
    </row>
    <row r="182" customFormat="false" ht="15" hidden="false" customHeight="false" outlineLevel="0" collapsed="false">
      <c r="A182" s="2" t="s">
        <v>100</v>
      </c>
      <c r="B182" s="9" t="s">
        <v>537</v>
      </c>
      <c r="C182" s="6" t="n">
        <v>46204</v>
      </c>
      <c r="D182" s="11" t="n">
        <f aca="false">DATE(2026,9,26)-C182</f>
        <v>87</v>
      </c>
      <c r="E182" s="2" t="s">
        <v>329</v>
      </c>
      <c r="F182" s="2" t="s">
        <v>524</v>
      </c>
      <c r="G182" s="9" t="s">
        <v>538</v>
      </c>
    </row>
    <row r="183" customFormat="false" ht="15" hidden="false" customHeight="false" outlineLevel="0" collapsed="false">
      <c r="A183" s="2" t="s">
        <v>100</v>
      </c>
      <c r="B183" s="9" t="s">
        <v>539</v>
      </c>
      <c r="C183" s="6" t="n">
        <v>46212</v>
      </c>
      <c r="D183" s="11" t="n">
        <f aca="false">DATE(2026,9,26)-C183</f>
        <v>79</v>
      </c>
      <c r="E183" s="2" t="s">
        <v>329</v>
      </c>
      <c r="F183" s="2" t="s">
        <v>524</v>
      </c>
      <c r="G183" s="9" t="s">
        <v>530</v>
      </c>
    </row>
    <row r="184" customFormat="false" ht="15" hidden="false" customHeight="false" outlineLevel="0" collapsed="false">
      <c r="A184" s="2" t="s">
        <v>100</v>
      </c>
      <c r="B184" s="9" t="s">
        <v>540</v>
      </c>
      <c r="C184" s="6" t="n">
        <v>46213</v>
      </c>
      <c r="D184" s="11" t="n">
        <f aca="false">DATE(2026,9,26)-C184</f>
        <v>78</v>
      </c>
      <c r="E184" s="2" t="s">
        <v>329</v>
      </c>
      <c r="F184" s="2" t="s">
        <v>524</v>
      </c>
      <c r="G184" s="9" t="s">
        <v>533</v>
      </c>
    </row>
    <row r="185" customFormat="false" ht="15" hidden="false" customHeight="false" outlineLevel="0" collapsed="false">
      <c r="A185" s="2" t="s">
        <v>100</v>
      </c>
      <c r="B185" s="9" t="s">
        <v>541</v>
      </c>
      <c r="C185" s="6" t="n">
        <v>46220</v>
      </c>
      <c r="D185" s="11" t="n">
        <f aca="false">DATE(2026,9,26)-C185</f>
        <v>71</v>
      </c>
      <c r="E185" s="2" t="s">
        <v>333</v>
      </c>
      <c r="F185" s="2" t="s">
        <v>524</v>
      </c>
      <c r="G185" s="9" t="s">
        <v>542</v>
      </c>
    </row>
    <row r="186" customFormat="false" ht="15" hidden="false" customHeight="false" outlineLevel="0" collapsed="false">
      <c r="A186" s="2" t="s">
        <v>100</v>
      </c>
      <c r="B186" s="9" t="s">
        <v>543</v>
      </c>
      <c r="C186" s="6" t="n">
        <v>46221</v>
      </c>
      <c r="D186" s="11" t="n">
        <f aca="false">DATE(2026,9,26)-C186</f>
        <v>70</v>
      </c>
      <c r="E186" s="2" t="s">
        <v>329</v>
      </c>
      <c r="F186" s="2" t="s">
        <v>524</v>
      </c>
      <c r="G186" s="9" t="s">
        <v>525</v>
      </c>
    </row>
    <row r="187" customFormat="false" ht="15" hidden="false" customHeight="false" outlineLevel="0" collapsed="false">
      <c r="A187" s="2" t="s">
        <v>100</v>
      </c>
      <c r="B187" s="9" t="s">
        <v>544</v>
      </c>
      <c r="C187" s="6" t="n">
        <v>46221</v>
      </c>
      <c r="D187" s="11" t="n">
        <f aca="false">DATE(2026,9,26)-C187</f>
        <v>70</v>
      </c>
      <c r="E187" s="2" t="s">
        <v>329</v>
      </c>
      <c r="F187" s="2" t="s">
        <v>524</v>
      </c>
      <c r="G187" s="9" t="s">
        <v>527</v>
      </c>
    </row>
    <row r="188" customFormat="false" ht="15" hidden="false" customHeight="false" outlineLevel="0" collapsed="false">
      <c r="A188" s="2" t="s">
        <v>100</v>
      </c>
      <c r="B188" s="9" t="s">
        <v>545</v>
      </c>
      <c r="C188" s="6" t="n">
        <v>46221</v>
      </c>
      <c r="D188" s="11" t="n">
        <f aca="false">DATE(2026,9,26)-C188</f>
        <v>70</v>
      </c>
      <c r="E188" s="2" t="s">
        <v>329</v>
      </c>
      <c r="F188" s="2" t="s">
        <v>524</v>
      </c>
      <c r="G188" s="9" t="s">
        <v>535</v>
      </c>
    </row>
    <row r="189" customFormat="false" ht="15" hidden="false" customHeight="false" outlineLevel="0" collapsed="false">
      <c r="A189" s="2" t="s">
        <v>100</v>
      </c>
      <c r="B189" s="9" t="s">
        <v>546</v>
      </c>
      <c r="C189" s="6" t="n">
        <v>46228</v>
      </c>
      <c r="D189" s="11" t="n">
        <f aca="false">DATE(2026,9,26)-C189</f>
        <v>63</v>
      </c>
      <c r="E189" s="2" t="s">
        <v>329</v>
      </c>
      <c r="F189" s="2" t="s">
        <v>524</v>
      </c>
      <c r="G189" s="9" t="s">
        <v>527</v>
      </c>
    </row>
    <row r="190" customFormat="false" ht="15" hidden="false" customHeight="false" outlineLevel="0" collapsed="false">
      <c r="A190" s="2" t="s">
        <v>100</v>
      </c>
      <c r="B190" s="9" t="s">
        <v>547</v>
      </c>
      <c r="C190" s="6" t="n">
        <v>46236</v>
      </c>
      <c r="D190" s="11" t="n">
        <f aca="false">DATE(2026,9,26)-C190</f>
        <v>55</v>
      </c>
      <c r="E190" s="2" t="s">
        <v>329</v>
      </c>
      <c r="F190" s="2" t="s">
        <v>524</v>
      </c>
      <c r="G190" s="9" t="s">
        <v>527</v>
      </c>
    </row>
    <row r="191" customFormat="false" ht="15" hidden="false" customHeight="false" outlineLevel="0" collapsed="false">
      <c r="A191" s="2" t="s">
        <v>100</v>
      </c>
      <c r="B191" s="9" t="s">
        <v>548</v>
      </c>
      <c r="C191" s="6" t="n">
        <v>46238</v>
      </c>
      <c r="D191" s="11" t="n">
        <f aca="false">DATE(2026,9,26)-C191</f>
        <v>53</v>
      </c>
      <c r="E191" s="2" t="s">
        <v>329</v>
      </c>
      <c r="F191" s="2" t="s">
        <v>524</v>
      </c>
      <c r="G191" s="9" t="s">
        <v>549</v>
      </c>
    </row>
    <row r="192" customFormat="false" ht="15" hidden="false" customHeight="false" outlineLevel="0" collapsed="false">
      <c r="A192" s="2" t="s">
        <v>100</v>
      </c>
      <c r="B192" s="9" t="s">
        <v>550</v>
      </c>
      <c r="C192" s="6" t="n">
        <v>46243</v>
      </c>
      <c r="D192" s="11" t="n">
        <f aca="false">DATE(2026,9,26)-C192</f>
        <v>48</v>
      </c>
      <c r="E192" s="2" t="s">
        <v>329</v>
      </c>
      <c r="F192" s="2" t="s">
        <v>524</v>
      </c>
      <c r="G192" s="9" t="s">
        <v>542</v>
      </c>
    </row>
    <row r="193" customFormat="false" ht="15" hidden="false" customHeight="false" outlineLevel="0" collapsed="false">
      <c r="A193" s="2" t="s">
        <v>100</v>
      </c>
      <c r="B193" s="9" t="s">
        <v>551</v>
      </c>
      <c r="C193" s="6" t="n">
        <v>46249</v>
      </c>
      <c r="D193" s="11" t="n">
        <f aca="false">DATE(2026,9,26)-C193</f>
        <v>42</v>
      </c>
      <c r="E193" s="2" t="s">
        <v>329</v>
      </c>
      <c r="F193" s="2" t="s">
        <v>524</v>
      </c>
      <c r="G193" s="9" t="s">
        <v>525</v>
      </c>
    </row>
    <row r="194" customFormat="false" ht="15" hidden="false" customHeight="false" outlineLevel="0" collapsed="false">
      <c r="A194" s="2" t="s">
        <v>100</v>
      </c>
      <c r="B194" s="9" t="s">
        <v>552</v>
      </c>
      <c r="C194" s="6" t="n">
        <v>46249</v>
      </c>
      <c r="D194" s="11" t="n">
        <f aca="false">DATE(2026,9,26)-C194</f>
        <v>42</v>
      </c>
      <c r="E194" s="2" t="s">
        <v>329</v>
      </c>
      <c r="F194" s="2" t="s">
        <v>524</v>
      </c>
      <c r="G194" s="9" t="s">
        <v>549</v>
      </c>
    </row>
    <row r="195" customFormat="false" ht="15" hidden="false" customHeight="false" outlineLevel="0" collapsed="false">
      <c r="A195" s="2" t="s">
        <v>100</v>
      </c>
      <c r="B195" s="9" t="s">
        <v>553</v>
      </c>
      <c r="C195" s="6" t="n">
        <v>46250</v>
      </c>
      <c r="D195" s="11" t="n">
        <f aca="false">DATE(2026,9,26)-C195</f>
        <v>41</v>
      </c>
      <c r="E195" s="2" t="s">
        <v>337</v>
      </c>
      <c r="F195" s="2" t="s">
        <v>524</v>
      </c>
      <c r="G195" s="9" t="s">
        <v>542</v>
      </c>
    </row>
    <row r="196" customFormat="false" ht="15" hidden="false" customHeight="false" outlineLevel="0" collapsed="false">
      <c r="A196" s="2" t="s">
        <v>100</v>
      </c>
      <c r="B196" s="9" t="s">
        <v>554</v>
      </c>
      <c r="C196" s="6" t="n">
        <v>46250</v>
      </c>
      <c r="D196" s="11" t="n">
        <f aca="false">DATE(2026,9,26)-C196</f>
        <v>41</v>
      </c>
      <c r="E196" s="2" t="s">
        <v>329</v>
      </c>
      <c r="F196" s="2" t="s">
        <v>524</v>
      </c>
      <c r="G196" s="9" t="s">
        <v>542</v>
      </c>
    </row>
    <row r="197" customFormat="false" ht="15" hidden="false" customHeight="false" outlineLevel="0" collapsed="false">
      <c r="A197" s="2" t="s">
        <v>100</v>
      </c>
      <c r="B197" s="9" t="s">
        <v>555</v>
      </c>
      <c r="C197" s="6" t="n">
        <v>46257</v>
      </c>
      <c r="D197" s="11" t="n">
        <f aca="false">DATE(2026,9,26)-C197</f>
        <v>34</v>
      </c>
      <c r="E197" s="2" t="s">
        <v>329</v>
      </c>
      <c r="F197" s="2" t="s">
        <v>524</v>
      </c>
      <c r="G197" s="9" t="s">
        <v>556</v>
      </c>
    </row>
    <row r="198" customFormat="false" ht="15" hidden="false" customHeight="false" outlineLevel="0" collapsed="false">
      <c r="A198" s="2" t="s">
        <v>100</v>
      </c>
      <c r="B198" s="9" t="s">
        <v>557</v>
      </c>
      <c r="C198" s="6" t="n">
        <v>46258</v>
      </c>
      <c r="D198" s="11" t="n">
        <f aca="false">DATE(2026,9,26)-C198</f>
        <v>33</v>
      </c>
      <c r="E198" s="2" t="s">
        <v>329</v>
      </c>
      <c r="F198" s="2" t="s">
        <v>524</v>
      </c>
      <c r="G198" s="9" t="s">
        <v>558</v>
      </c>
    </row>
    <row r="199" customFormat="false" ht="15" hidden="false" customHeight="false" outlineLevel="0" collapsed="false">
      <c r="A199" s="2" t="s">
        <v>100</v>
      </c>
      <c r="B199" s="9" t="s">
        <v>559</v>
      </c>
      <c r="C199" s="6" t="n">
        <v>46258</v>
      </c>
      <c r="D199" s="11" t="n">
        <f aca="false">DATE(2026,9,26)-C199</f>
        <v>33</v>
      </c>
      <c r="E199" s="2" t="s">
        <v>329</v>
      </c>
      <c r="F199" s="2" t="s">
        <v>524</v>
      </c>
      <c r="G199" s="9" t="s">
        <v>558</v>
      </c>
    </row>
    <row r="200" customFormat="false" ht="15" hidden="false" customHeight="false" outlineLevel="0" collapsed="false">
      <c r="A200" s="2" t="s">
        <v>100</v>
      </c>
      <c r="B200" s="9" t="s">
        <v>560</v>
      </c>
      <c r="C200" s="6" t="n">
        <v>46258</v>
      </c>
      <c r="D200" s="11" t="n">
        <f aca="false">DATE(2026,9,26)-C200</f>
        <v>33</v>
      </c>
      <c r="E200" s="2" t="s">
        <v>329</v>
      </c>
      <c r="F200" s="2" t="s">
        <v>524</v>
      </c>
      <c r="G200" s="9" t="s">
        <v>556</v>
      </c>
    </row>
    <row r="201" customFormat="false" ht="15" hidden="false" customHeight="false" outlineLevel="0" collapsed="false">
      <c r="A201" s="2" t="s">
        <v>100</v>
      </c>
      <c r="B201" s="9" t="s">
        <v>561</v>
      </c>
      <c r="C201" s="6" t="n">
        <v>46259</v>
      </c>
      <c r="D201" s="11" t="n">
        <f aca="false">DATE(2026,9,26)-C201</f>
        <v>32</v>
      </c>
      <c r="E201" s="2" t="s">
        <v>329</v>
      </c>
      <c r="F201" s="2" t="s">
        <v>524</v>
      </c>
      <c r="G201" s="9" t="s">
        <v>562</v>
      </c>
    </row>
    <row r="202" customFormat="false" ht="15" hidden="false" customHeight="false" outlineLevel="0" collapsed="false">
      <c r="A202" s="2" t="s">
        <v>100</v>
      </c>
      <c r="B202" s="9" t="s">
        <v>563</v>
      </c>
      <c r="C202" s="6" t="n">
        <v>46259</v>
      </c>
      <c r="D202" s="11" t="n">
        <f aca="false">DATE(2026,9,26)-C202</f>
        <v>32</v>
      </c>
      <c r="E202" s="2" t="s">
        <v>329</v>
      </c>
      <c r="F202" s="2" t="s">
        <v>524</v>
      </c>
      <c r="G202" s="9" t="s">
        <v>562</v>
      </c>
    </row>
    <row r="203" customFormat="false" ht="15" hidden="false" customHeight="false" outlineLevel="0" collapsed="false">
      <c r="A203" s="2" t="s">
        <v>100</v>
      </c>
      <c r="B203" s="9" t="s">
        <v>564</v>
      </c>
      <c r="C203" s="6" t="n">
        <v>46261</v>
      </c>
      <c r="D203" s="11" t="n">
        <f aca="false">DATE(2026,9,26)-C203</f>
        <v>30</v>
      </c>
      <c r="E203" s="2" t="s">
        <v>329</v>
      </c>
      <c r="F203" s="2" t="s">
        <v>524</v>
      </c>
      <c r="G203" s="9" t="s">
        <v>103</v>
      </c>
    </row>
    <row r="204" customFormat="false" ht="15" hidden="false" customHeight="false" outlineLevel="0" collapsed="false">
      <c r="A204" s="2" t="s">
        <v>100</v>
      </c>
      <c r="B204" s="9" t="s">
        <v>565</v>
      </c>
      <c r="C204" s="6" t="n">
        <v>46261</v>
      </c>
      <c r="D204" s="11" t="n">
        <f aca="false">DATE(2026,9,26)-C204</f>
        <v>30</v>
      </c>
      <c r="E204" s="2" t="s">
        <v>329</v>
      </c>
      <c r="F204" s="2" t="s">
        <v>524</v>
      </c>
      <c r="G204" s="9" t="s">
        <v>103</v>
      </c>
    </row>
    <row r="205" customFormat="false" ht="15" hidden="false" customHeight="false" outlineLevel="0" collapsed="false">
      <c r="A205" s="2" t="s">
        <v>100</v>
      </c>
      <c r="B205" s="9" t="s">
        <v>566</v>
      </c>
      <c r="C205" s="6" t="n">
        <v>46261</v>
      </c>
      <c r="D205" s="11" t="n">
        <f aca="false">DATE(2026,9,26)-C205</f>
        <v>30</v>
      </c>
      <c r="E205" s="2" t="s">
        <v>329</v>
      </c>
      <c r="F205" s="2" t="s">
        <v>524</v>
      </c>
      <c r="G205" s="9" t="s">
        <v>103</v>
      </c>
    </row>
    <row r="206" customFormat="false" ht="15" hidden="false" customHeight="false" outlineLevel="0" collapsed="false">
      <c r="A206" s="2" t="s">
        <v>100</v>
      </c>
      <c r="B206" s="9" t="s">
        <v>567</v>
      </c>
      <c r="C206" s="6" t="n">
        <v>46261</v>
      </c>
      <c r="D206" s="11" t="n">
        <f aca="false">DATE(2026,9,26)-C206</f>
        <v>30</v>
      </c>
      <c r="E206" s="2" t="s">
        <v>329</v>
      </c>
      <c r="F206" s="2" t="s">
        <v>524</v>
      </c>
      <c r="G206" s="9" t="s">
        <v>103</v>
      </c>
    </row>
    <row r="207" customFormat="false" ht="15" hidden="false" customHeight="false" outlineLevel="0" collapsed="false">
      <c r="A207" s="2" t="s">
        <v>100</v>
      </c>
      <c r="B207" s="9" t="s">
        <v>568</v>
      </c>
      <c r="C207" s="6" t="n">
        <v>46264</v>
      </c>
      <c r="D207" s="11" t="n">
        <f aca="false">DATE(2026,9,26)-C207</f>
        <v>27</v>
      </c>
      <c r="E207" s="2" t="s">
        <v>329</v>
      </c>
      <c r="F207" s="2" t="s">
        <v>524</v>
      </c>
      <c r="G207" s="9" t="s">
        <v>527</v>
      </c>
    </row>
    <row r="208" customFormat="false" ht="15" hidden="false" customHeight="false" outlineLevel="0" collapsed="false">
      <c r="A208" s="2" t="s">
        <v>100</v>
      </c>
      <c r="B208" s="9" t="s">
        <v>569</v>
      </c>
      <c r="C208" s="6" t="n">
        <v>46271</v>
      </c>
      <c r="D208" s="11" t="n">
        <f aca="false">DATE(2026,9,26)-C208</f>
        <v>20</v>
      </c>
      <c r="E208" s="2" t="s">
        <v>337</v>
      </c>
      <c r="F208" s="2" t="s">
        <v>524</v>
      </c>
      <c r="G208" s="9" t="s">
        <v>530</v>
      </c>
    </row>
    <row r="209" customFormat="false" ht="15" hidden="false" customHeight="false" outlineLevel="0" collapsed="false">
      <c r="A209" s="2" t="s">
        <v>100</v>
      </c>
      <c r="B209" s="9" t="s">
        <v>570</v>
      </c>
      <c r="C209" s="6" t="n">
        <v>46271</v>
      </c>
      <c r="D209" s="11" t="n">
        <f aca="false">DATE(2026,9,26)-C209</f>
        <v>20</v>
      </c>
      <c r="E209" s="2" t="s">
        <v>329</v>
      </c>
      <c r="F209" s="2" t="s">
        <v>524</v>
      </c>
      <c r="G209" s="9" t="s">
        <v>103</v>
      </c>
    </row>
    <row r="210" customFormat="false" ht="15" hidden="false" customHeight="false" outlineLevel="0" collapsed="false">
      <c r="A210" s="2" t="s">
        <v>100</v>
      </c>
      <c r="B210" s="9" t="s">
        <v>571</v>
      </c>
      <c r="C210" s="6" t="n">
        <v>46273</v>
      </c>
      <c r="D210" s="11" t="n">
        <f aca="false">DATE(2026,9,26)-C210</f>
        <v>18</v>
      </c>
      <c r="E210" s="2" t="s">
        <v>329</v>
      </c>
      <c r="F210" s="2" t="s">
        <v>524</v>
      </c>
      <c r="G210" s="9" t="s">
        <v>549</v>
      </c>
    </row>
    <row r="211" customFormat="false" ht="15" hidden="false" customHeight="false" outlineLevel="0" collapsed="false">
      <c r="A211" s="2" t="s">
        <v>100</v>
      </c>
      <c r="B211" s="9" t="s">
        <v>572</v>
      </c>
      <c r="C211" s="6" t="n">
        <v>46273</v>
      </c>
      <c r="D211" s="11" t="n">
        <f aca="false">DATE(2026,9,26)-C211</f>
        <v>18</v>
      </c>
      <c r="E211" s="2" t="s">
        <v>329</v>
      </c>
      <c r="F211" s="2" t="s">
        <v>524</v>
      </c>
      <c r="G211" s="9" t="s">
        <v>573</v>
      </c>
    </row>
    <row r="212" customFormat="false" ht="15" hidden="false" customHeight="false" outlineLevel="0" collapsed="false">
      <c r="A212" s="2" t="s">
        <v>100</v>
      </c>
      <c r="B212" s="9" t="s">
        <v>574</v>
      </c>
      <c r="C212" s="6" t="n">
        <v>46273</v>
      </c>
      <c r="D212" s="11" t="n">
        <f aca="false">DATE(2026,9,26)-C212</f>
        <v>18</v>
      </c>
      <c r="E212" s="2" t="s">
        <v>337</v>
      </c>
      <c r="F212" s="2" t="s">
        <v>524</v>
      </c>
      <c r="G212" s="9" t="s">
        <v>575</v>
      </c>
    </row>
    <row r="213" customFormat="false" ht="15" hidden="false" customHeight="false" outlineLevel="0" collapsed="false">
      <c r="A213" s="2" t="s">
        <v>100</v>
      </c>
      <c r="B213" s="9" t="s">
        <v>576</v>
      </c>
      <c r="C213" s="6" t="n">
        <v>46273</v>
      </c>
      <c r="D213" s="11" t="n">
        <f aca="false">DATE(2026,9,26)-C213</f>
        <v>18</v>
      </c>
      <c r="E213" s="2" t="s">
        <v>329</v>
      </c>
      <c r="F213" s="2" t="s">
        <v>524</v>
      </c>
      <c r="G213" s="9" t="s">
        <v>573</v>
      </c>
    </row>
    <row r="214" customFormat="false" ht="15" hidden="false" customHeight="false" outlineLevel="0" collapsed="false">
      <c r="A214" s="2" t="s">
        <v>100</v>
      </c>
      <c r="B214" s="9" t="s">
        <v>577</v>
      </c>
      <c r="C214" s="6" t="n">
        <v>46273</v>
      </c>
      <c r="D214" s="11" t="n">
        <f aca="false">DATE(2026,9,26)-C214</f>
        <v>18</v>
      </c>
      <c r="E214" s="2" t="s">
        <v>333</v>
      </c>
      <c r="F214" s="2" t="s">
        <v>524</v>
      </c>
      <c r="G214" s="9" t="s">
        <v>573</v>
      </c>
    </row>
    <row r="215" customFormat="false" ht="15" hidden="false" customHeight="false" outlineLevel="0" collapsed="false">
      <c r="A215" s="2" t="s">
        <v>100</v>
      </c>
      <c r="B215" s="9" t="s">
        <v>578</v>
      </c>
      <c r="C215" s="6" t="n">
        <v>46277</v>
      </c>
      <c r="D215" s="11" t="n">
        <f aca="false">DATE(2026,9,26)-C215</f>
        <v>14</v>
      </c>
      <c r="E215" s="2" t="s">
        <v>329</v>
      </c>
      <c r="F215" s="2" t="s">
        <v>524</v>
      </c>
      <c r="G215" s="9" t="s">
        <v>579</v>
      </c>
    </row>
    <row r="216" customFormat="false" ht="15" hidden="false" customHeight="false" outlineLevel="0" collapsed="false">
      <c r="A216" s="2" t="s">
        <v>100</v>
      </c>
      <c r="B216" s="9" t="s">
        <v>580</v>
      </c>
      <c r="C216" s="6" t="n">
        <v>46277</v>
      </c>
      <c r="D216" s="11" t="n">
        <f aca="false">DATE(2026,9,26)-C216</f>
        <v>14</v>
      </c>
      <c r="E216" s="2" t="s">
        <v>329</v>
      </c>
      <c r="F216" s="2" t="s">
        <v>524</v>
      </c>
      <c r="G216" s="9" t="s">
        <v>579</v>
      </c>
    </row>
    <row r="217" customFormat="false" ht="15" hidden="false" customHeight="false" outlineLevel="0" collapsed="false">
      <c r="A217" s="2" t="s">
        <v>100</v>
      </c>
      <c r="B217" s="9" t="s">
        <v>581</v>
      </c>
      <c r="C217" s="6" t="n">
        <v>46277</v>
      </c>
      <c r="D217" s="11" t="n">
        <f aca="false">DATE(2026,9,26)-C217</f>
        <v>14</v>
      </c>
      <c r="E217" s="2" t="s">
        <v>329</v>
      </c>
      <c r="F217" s="2" t="s">
        <v>524</v>
      </c>
      <c r="G217" s="9" t="s">
        <v>579</v>
      </c>
    </row>
    <row r="218" customFormat="false" ht="15" hidden="false" customHeight="false" outlineLevel="0" collapsed="false">
      <c r="A218" s="2" t="s">
        <v>100</v>
      </c>
      <c r="B218" s="9" t="s">
        <v>582</v>
      </c>
      <c r="C218" s="6" t="n">
        <v>46277</v>
      </c>
      <c r="D218" s="11" t="n">
        <f aca="false">DATE(2026,9,26)-C218</f>
        <v>14</v>
      </c>
      <c r="E218" s="2" t="s">
        <v>329</v>
      </c>
      <c r="F218" s="2" t="s">
        <v>524</v>
      </c>
      <c r="G218" s="9" t="s">
        <v>579</v>
      </c>
    </row>
    <row r="219" customFormat="false" ht="15" hidden="false" customHeight="false" outlineLevel="0" collapsed="false">
      <c r="A219" s="2" t="s">
        <v>100</v>
      </c>
      <c r="B219" s="9" t="s">
        <v>583</v>
      </c>
      <c r="C219" s="6" t="n">
        <v>46277</v>
      </c>
      <c r="D219" s="11" t="n">
        <f aca="false">DATE(2026,9,26)-C219</f>
        <v>14</v>
      </c>
      <c r="E219" s="2" t="s">
        <v>329</v>
      </c>
      <c r="F219" s="2" t="s">
        <v>524</v>
      </c>
      <c r="G219" s="9" t="s">
        <v>579</v>
      </c>
    </row>
    <row r="220" customFormat="false" ht="15" hidden="false" customHeight="false" outlineLevel="0" collapsed="false">
      <c r="A220" s="2" t="s">
        <v>100</v>
      </c>
      <c r="B220" s="9" t="s">
        <v>584</v>
      </c>
      <c r="C220" s="6" t="n">
        <v>46277</v>
      </c>
      <c r="D220" s="11" t="n">
        <f aca="false">DATE(2026,9,26)-C220</f>
        <v>14</v>
      </c>
      <c r="E220" s="2" t="s">
        <v>329</v>
      </c>
      <c r="F220" s="2" t="s">
        <v>524</v>
      </c>
      <c r="G220" s="9" t="s">
        <v>579</v>
      </c>
    </row>
    <row r="221" customFormat="false" ht="15" hidden="false" customHeight="false" outlineLevel="0" collapsed="false">
      <c r="A221" s="2" t="s">
        <v>100</v>
      </c>
      <c r="B221" s="9" t="s">
        <v>585</v>
      </c>
      <c r="C221" s="6" t="n">
        <v>46278</v>
      </c>
      <c r="D221" s="11" t="n">
        <f aca="false">DATE(2026,9,26)-C221</f>
        <v>13</v>
      </c>
      <c r="E221" s="2" t="s">
        <v>329</v>
      </c>
      <c r="F221" s="2" t="s">
        <v>524</v>
      </c>
      <c r="G221" s="9" t="s">
        <v>533</v>
      </c>
    </row>
    <row r="222" customFormat="false" ht="15" hidden="false" customHeight="false" outlineLevel="0" collapsed="false">
      <c r="A222" s="2" t="s">
        <v>100</v>
      </c>
      <c r="B222" s="9" t="s">
        <v>586</v>
      </c>
      <c r="C222" s="6" t="n">
        <v>46278</v>
      </c>
      <c r="D222" s="11" t="n">
        <f aca="false">DATE(2026,9,26)-C222</f>
        <v>13</v>
      </c>
      <c r="E222" s="2" t="s">
        <v>329</v>
      </c>
      <c r="F222" s="2" t="s">
        <v>524</v>
      </c>
      <c r="G222" s="9" t="s">
        <v>533</v>
      </c>
    </row>
    <row r="223" customFormat="false" ht="15" hidden="false" customHeight="false" outlineLevel="0" collapsed="false">
      <c r="A223" s="2" t="s">
        <v>100</v>
      </c>
      <c r="B223" s="9" t="s">
        <v>587</v>
      </c>
      <c r="C223" s="6" t="n">
        <v>46282</v>
      </c>
      <c r="D223" s="11" t="n">
        <f aca="false">DATE(2026,9,26)-C223</f>
        <v>9</v>
      </c>
      <c r="E223" s="2" t="s">
        <v>329</v>
      </c>
      <c r="F223" s="2" t="s">
        <v>524</v>
      </c>
      <c r="G223" s="9" t="s">
        <v>588</v>
      </c>
    </row>
    <row r="224" customFormat="false" ht="15" hidden="false" customHeight="false" outlineLevel="0" collapsed="false">
      <c r="A224" s="2" t="s">
        <v>100</v>
      </c>
      <c r="B224" s="9" t="s">
        <v>589</v>
      </c>
      <c r="C224" s="6" t="n">
        <v>46282</v>
      </c>
      <c r="D224" s="11" t="n">
        <f aca="false">DATE(2026,9,26)-C224</f>
        <v>9</v>
      </c>
      <c r="E224" s="2" t="s">
        <v>329</v>
      </c>
      <c r="F224" s="2" t="s">
        <v>524</v>
      </c>
      <c r="G224" s="9" t="s">
        <v>588</v>
      </c>
    </row>
    <row r="225" customFormat="false" ht="15" hidden="false" customHeight="false" outlineLevel="0" collapsed="false">
      <c r="A225" s="2" t="s">
        <v>100</v>
      </c>
      <c r="B225" s="9" t="s">
        <v>590</v>
      </c>
      <c r="C225" s="6" t="n">
        <v>46282</v>
      </c>
      <c r="D225" s="11" t="n">
        <f aca="false">DATE(2026,9,26)-C225</f>
        <v>9</v>
      </c>
      <c r="E225" s="2" t="s">
        <v>329</v>
      </c>
      <c r="F225" s="2" t="s">
        <v>524</v>
      </c>
      <c r="G225" s="9" t="s">
        <v>588</v>
      </c>
    </row>
    <row r="226" customFormat="false" ht="15" hidden="false" customHeight="false" outlineLevel="0" collapsed="false">
      <c r="A226" s="2" t="s">
        <v>100</v>
      </c>
      <c r="B226" s="9" t="s">
        <v>591</v>
      </c>
      <c r="C226" s="6" t="n">
        <v>46282</v>
      </c>
      <c r="D226" s="11" t="n">
        <f aca="false">DATE(2026,9,26)-C226</f>
        <v>9</v>
      </c>
      <c r="E226" s="2" t="s">
        <v>329</v>
      </c>
      <c r="F226" s="2" t="s">
        <v>524</v>
      </c>
      <c r="G226" s="9" t="s">
        <v>588</v>
      </c>
    </row>
    <row r="227" customFormat="false" ht="15" hidden="false" customHeight="false" outlineLevel="0" collapsed="false">
      <c r="A227" s="2" t="s">
        <v>100</v>
      </c>
      <c r="B227" s="9" t="s">
        <v>592</v>
      </c>
      <c r="C227" s="6" t="n">
        <v>46283</v>
      </c>
      <c r="D227" s="11" t="n">
        <f aca="false">DATE(2026,9,26)-C227</f>
        <v>8</v>
      </c>
      <c r="E227" s="2" t="s">
        <v>329</v>
      </c>
      <c r="F227" s="2" t="s">
        <v>524</v>
      </c>
      <c r="G227" s="9" t="s">
        <v>562</v>
      </c>
    </row>
    <row r="228" customFormat="false" ht="15" hidden="false" customHeight="false" outlineLevel="0" collapsed="false">
      <c r="A228" s="2" t="s">
        <v>100</v>
      </c>
      <c r="B228" s="9" t="s">
        <v>593</v>
      </c>
      <c r="C228" s="6" t="n">
        <v>46283</v>
      </c>
      <c r="D228" s="11" t="n">
        <f aca="false">DATE(2026,9,26)-C228</f>
        <v>8</v>
      </c>
      <c r="E228" s="2" t="s">
        <v>329</v>
      </c>
      <c r="F228" s="2" t="s">
        <v>524</v>
      </c>
      <c r="G228" s="9" t="s">
        <v>562</v>
      </c>
    </row>
    <row r="229" customFormat="false" ht="15" hidden="false" customHeight="false" outlineLevel="0" collapsed="false">
      <c r="A229" s="2" t="s">
        <v>100</v>
      </c>
      <c r="B229" s="9" t="s">
        <v>594</v>
      </c>
      <c r="C229" s="6" t="n">
        <v>46286</v>
      </c>
      <c r="D229" s="11" t="n">
        <f aca="false">DATE(2026,9,26)-C229</f>
        <v>5</v>
      </c>
      <c r="E229" s="2" t="s">
        <v>337</v>
      </c>
      <c r="F229" s="2" t="s">
        <v>524</v>
      </c>
      <c r="G229" s="9" t="s">
        <v>527</v>
      </c>
    </row>
    <row r="230" customFormat="false" ht="15" hidden="false" customHeight="false" outlineLevel="0" collapsed="false">
      <c r="A230" s="2" t="s">
        <v>100</v>
      </c>
      <c r="B230" s="9" t="s">
        <v>595</v>
      </c>
      <c r="C230" s="6" t="n">
        <v>46286</v>
      </c>
      <c r="D230" s="11" t="n">
        <f aca="false">DATE(2026,9,26)-C230</f>
        <v>5</v>
      </c>
      <c r="E230" s="2" t="s">
        <v>337</v>
      </c>
      <c r="F230" s="2" t="s">
        <v>524</v>
      </c>
      <c r="G230" s="9" t="s">
        <v>527</v>
      </c>
    </row>
    <row r="231" customFormat="false" ht="15" hidden="false" customHeight="false" outlineLevel="0" collapsed="false">
      <c r="A231" s="2" t="s">
        <v>182</v>
      </c>
      <c r="B231" s="9" t="s">
        <v>596</v>
      </c>
      <c r="C231" s="6" t="n">
        <v>46285</v>
      </c>
      <c r="D231" s="11" t="n">
        <f aca="false">DATE(2026,9,26)-C231</f>
        <v>6</v>
      </c>
      <c r="E231" s="2" t="s">
        <v>337</v>
      </c>
      <c r="F231" s="2" t="s">
        <v>597</v>
      </c>
      <c r="G231" s="9" t="s">
        <v>184</v>
      </c>
    </row>
    <row r="232" customFormat="false" ht="15" hidden="false" customHeight="false" outlineLevel="0" collapsed="false">
      <c r="A232" s="2" t="s">
        <v>182</v>
      </c>
      <c r="B232" s="9" t="s">
        <v>598</v>
      </c>
      <c r="C232" s="6" t="n">
        <v>46285</v>
      </c>
      <c r="D232" s="11" t="n">
        <f aca="false">DATE(2026,9,26)-C232</f>
        <v>6</v>
      </c>
      <c r="E232" s="2" t="s">
        <v>337</v>
      </c>
      <c r="F232" s="2" t="s">
        <v>597</v>
      </c>
      <c r="G232" s="9" t="s">
        <v>184</v>
      </c>
    </row>
    <row r="233" customFormat="false" ht="15" hidden="false" customHeight="false" outlineLevel="0" collapsed="false">
      <c r="A233" s="2" t="s">
        <v>182</v>
      </c>
      <c r="B233" s="9" t="s">
        <v>599</v>
      </c>
      <c r="C233" s="6" t="n">
        <v>46285</v>
      </c>
      <c r="D233" s="11" t="n">
        <f aca="false">DATE(2026,9,26)-C233</f>
        <v>6</v>
      </c>
      <c r="E233" s="2" t="s">
        <v>337</v>
      </c>
      <c r="F233" s="2" t="s">
        <v>597</v>
      </c>
      <c r="G233" s="9" t="s">
        <v>184</v>
      </c>
    </row>
    <row r="234" customFormat="false" ht="15" hidden="false" customHeight="false" outlineLevel="0" collapsed="false">
      <c r="A234" s="2" t="s">
        <v>182</v>
      </c>
      <c r="B234" s="9" t="s">
        <v>600</v>
      </c>
      <c r="C234" s="6" t="n">
        <v>46285</v>
      </c>
      <c r="D234" s="11" t="n">
        <f aca="false">DATE(2026,9,26)-C234</f>
        <v>6</v>
      </c>
      <c r="E234" s="2" t="s">
        <v>337</v>
      </c>
      <c r="F234" s="2" t="s">
        <v>597</v>
      </c>
      <c r="G234" s="9" t="s">
        <v>184</v>
      </c>
    </row>
    <row r="235" customFormat="false" ht="15" hidden="false" customHeight="false" outlineLevel="0" collapsed="false">
      <c r="A235" s="2" t="s">
        <v>182</v>
      </c>
      <c r="B235" s="9" t="s">
        <v>601</v>
      </c>
      <c r="C235" s="6" t="n">
        <v>46285</v>
      </c>
      <c r="D235" s="11" t="n">
        <f aca="false">DATE(2026,9,26)-C235</f>
        <v>6</v>
      </c>
      <c r="E235" s="2" t="s">
        <v>337</v>
      </c>
      <c r="F235" s="2" t="s">
        <v>597</v>
      </c>
      <c r="G235" s="9" t="s">
        <v>184</v>
      </c>
    </row>
    <row r="236" customFormat="false" ht="15" hidden="false" customHeight="false" outlineLevel="0" collapsed="false">
      <c r="A236" s="2" t="s">
        <v>182</v>
      </c>
      <c r="B236" s="9" t="s">
        <v>602</v>
      </c>
      <c r="C236" s="6" t="n">
        <v>46285</v>
      </c>
      <c r="D236" s="11" t="n">
        <f aca="false">DATE(2026,9,26)-C236</f>
        <v>6</v>
      </c>
      <c r="E236" s="2" t="s">
        <v>337</v>
      </c>
      <c r="F236" s="2" t="s">
        <v>597</v>
      </c>
      <c r="G236" s="9" t="s">
        <v>184</v>
      </c>
    </row>
    <row r="237" customFormat="false" ht="15" hidden="false" customHeight="false" outlineLevel="0" collapsed="false">
      <c r="A237" s="2" t="s">
        <v>182</v>
      </c>
      <c r="B237" s="9" t="s">
        <v>603</v>
      </c>
      <c r="C237" s="6" t="n">
        <v>46288</v>
      </c>
      <c r="D237" s="11" t="n">
        <f aca="false">DATE(2026,9,26)-C237</f>
        <v>3</v>
      </c>
      <c r="E237" s="2" t="s">
        <v>337</v>
      </c>
      <c r="F237" s="2" t="s">
        <v>597</v>
      </c>
      <c r="G237" s="9" t="s">
        <v>184</v>
      </c>
    </row>
    <row r="238" customFormat="false" ht="15" hidden="false" customHeight="false" outlineLevel="0" collapsed="false">
      <c r="A238" s="2" t="s">
        <v>182</v>
      </c>
      <c r="B238" s="9" t="s">
        <v>604</v>
      </c>
      <c r="C238" s="6" t="n">
        <v>46289</v>
      </c>
      <c r="D238" s="11" t="n">
        <f aca="false">DATE(2026,9,26)-C238</f>
        <v>2</v>
      </c>
      <c r="E238" s="2" t="s">
        <v>337</v>
      </c>
      <c r="F238" s="2" t="s">
        <v>597</v>
      </c>
      <c r="G238" s="9" t="s">
        <v>184</v>
      </c>
    </row>
    <row r="239" customFormat="false" ht="15" hidden="false" customHeight="false" outlineLevel="0" collapsed="false">
      <c r="A239" s="2" t="s">
        <v>182</v>
      </c>
      <c r="B239" s="9" t="s">
        <v>605</v>
      </c>
      <c r="C239" s="6" t="n">
        <v>46290</v>
      </c>
      <c r="D239" s="11" t="n">
        <f aca="false">DATE(2026,9,26)-C239</f>
        <v>1</v>
      </c>
      <c r="E239" s="2" t="s">
        <v>337</v>
      </c>
      <c r="F239" s="2" t="s">
        <v>597</v>
      </c>
      <c r="G239" s="9" t="s">
        <v>184</v>
      </c>
    </row>
    <row r="240" customFormat="false" ht="15" hidden="false" customHeight="false" outlineLevel="0" collapsed="false">
      <c r="A240" s="2" t="s">
        <v>142</v>
      </c>
      <c r="B240" s="9" t="s">
        <v>606</v>
      </c>
      <c r="C240" s="6" t="n">
        <v>46189</v>
      </c>
      <c r="D240" s="11" t="n">
        <f aca="false">DATE(2026,9,26)-C240</f>
        <v>102</v>
      </c>
      <c r="E240" s="2" t="s">
        <v>337</v>
      </c>
      <c r="F240" s="2" t="s">
        <v>607</v>
      </c>
      <c r="G240" s="9" t="s">
        <v>608</v>
      </c>
    </row>
    <row r="241" customFormat="false" ht="15" hidden="false" customHeight="false" outlineLevel="0" collapsed="false">
      <c r="A241" s="2" t="s">
        <v>142</v>
      </c>
      <c r="B241" s="9" t="s">
        <v>609</v>
      </c>
      <c r="C241" s="6" t="n">
        <v>46189</v>
      </c>
      <c r="D241" s="11" t="n">
        <f aca="false">DATE(2026,9,26)-C241</f>
        <v>102</v>
      </c>
      <c r="E241" s="2" t="s">
        <v>337</v>
      </c>
      <c r="F241" s="2" t="s">
        <v>607</v>
      </c>
      <c r="G241" s="9" t="s">
        <v>608</v>
      </c>
    </row>
    <row r="242" customFormat="false" ht="15" hidden="false" customHeight="false" outlineLevel="0" collapsed="false">
      <c r="A242" s="2" t="s">
        <v>142</v>
      </c>
      <c r="B242" s="9" t="s">
        <v>610</v>
      </c>
      <c r="C242" s="6" t="n">
        <v>46189</v>
      </c>
      <c r="D242" s="11" t="n">
        <f aca="false">DATE(2026,9,26)-C242</f>
        <v>102</v>
      </c>
      <c r="E242" s="2" t="s">
        <v>337</v>
      </c>
      <c r="F242" s="2" t="s">
        <v>607</v>
      </c>
      <c r="G242" s="9" t="s">
        <v>608</v>
      </c>
    </row>
    <row r="243" customFormat="false" ht="15" hidden="false" customHeight="false" outlineLevel="0" collapsed="false">
      <c r="A243" s="2" t="s">
        <v>142</v>
      </c>
      <c r="B243" s="9" t="s">
        <v>611</v>
      </c>
      <c r="C243" s="6" t="n">
        <v>46189</v>
      </c>
      <c r="D243" s="11" t="n">
        <f aca="false">DATE(2026,9,26)-C243</f>
        <v>102</v>
      </c>
      <c r="E243" s="2" t="s">
        <v>337</v>
      </c>
      <c r="F243" s="2" t="s">
        <v>607</v>
      </c>
      <c r="G243" s="9" t="s">
        <v>608</v>
      </c>
    </row>
    <row r="244" customFormat="false" ht="15" hidden="false" customHeight="false" outlineLevel="0" collapsed="false">
      <c r="A244" s="2" t="s">
        <v>142</v>
      </c>
      <c r="B244" s="9" t="s">
        <v>612</v>
      </c>
      <c r="C244" s="6" t="n">
        <v>46189</v>
      </c>
      <c r="D244" s="11" t="n">
        <f aca="false">DATE(2026,9,26)-C244</f>
        <v>102</v>
      </c>
      <c r="E244" s="2" t="s">
        <v>337</v>
      </c>
      <c r="F244" s="2" t="s">
        <v>607</v>
      </c>
      <c r="G244" s="9" t="s">
        <v>608</v>
      </c>
    </row>
    <row r="245" customFormat="false" ht="15" hidden="false" customHeight="false" outlineLevel="0" collapsed="false">
      <c r="A245" s="2" t="s">
        <v>142</v>
      </c>
      <c r="B245" s="9" t="s">
        <v>613</v>
      </c>
      <c r="C245" s="6" t="n">
        <v>46189</v>
      </c>
      <c r="D245" s="11" t="n">
        <f aca="false">DATE(2026,9,26)-C245</f>
        <v>102</v>
      </c>
      <c r="E245" s="2" t="s">
        <v>337</v>
      </c>
      <c r="F245" s="2" t="s">
        <v>607</v>
      </c>
      <c r="G245" s="9" t="s">
        <v>608</v>
      </c>
    </row>
    <row r="246" customFormat="false" ht="15" hidden="false" customHeight="false" outlineLevel="0" collapsed="false">
      <c r="A246" s="2" t="s">
        <v>142</v>
      </c>
      <c r="B246" s="9" t="s">
        <v>614</v>
      </c>
      <c r="C246" s="6" t="n">
        <v>46189</v>
      </c>
      <c r="D246" s="11" t="n">
        <f aca="false">DATE(2026,9,26)-C246</f>
        <v>102</v>
      </c>
      <c r="E246" s="2" t="s">
        <v>337</v>
      </c>
      <c r="F246" s="2" t="s">
        <v>607</v>
      </c>
      <c r="G246" s="9" t="s">
        <v>608</v>
      </c>
    </row>
    <row r="247" customFormat="false" ht="15" hidden="false" customHeight="false" outlineLevel="0" collapsed="false">
      <c r="A247" s="2" t="s">
        <v>142</v>
      </c>
      <c r="B247" s="9" t="s">
        <v>615</v>
      </c>
      <c r="C247" s="6" t="n">
        <v>46281</v>
      </c>
      <c r="D247" s="11" t="n">
        <f aca="false">DATE(2026,9,26)-C247</f>
        <v>10</v>
      </c>
      <c r="E247" s="2" t="s">
        <v>337</v>
      </c>
      <c r="F247" s="2" t="s">
        <v>607</v>
      </c>
      <c r="G247" s="9" t="s">
        <v>608</v>
      </c>
    </row>
    <row r="248" customFormat="false" ht="15" hidden="false" customHeight="false" outlineLevel="0" collapsed="false">
      <c r="A248" s="2" t="s">
        <v>142</v>
      </c>
      <c r="B248" s="9" t="s">
        <v>616</v>
      </c>
      <c r="C248" s="6" t="n">
        <v>46281</v>
      </c>
      <c r="D248" s="11" t="n">
        <f aca="false">DATE(2026,9,26)-C248</f>
        <v>10</v>
      </c>
      <c r="E248" s="2" t="s">
        <v>337</v>
      </c>
      <c r="F248" s="2" t="s">
        <v>607</v>
      </c>
      <c r="G248" s="9" t="s">
        <v>608</v>
      </c>
    </row>
    <row r="249" customFormat="false" ht="15" hidden="false" customHeight="false" outlineLevel="0" collapsed="false">
      <c r="A249" s="2" t="s">
        <v>142</v>
      </c>
      <c r="B249" s="9" t="s">
        <v>617</v>
      </c>
      <c r="C249" s="6" t="n">
        <v>46281</v>
      </c>
      <c r="D249" s="11" t="n">
        <f aca="false">DATE(2026,9,26)-C249</f>
        <v>10</v>
      </c>
      <c r="E249" s="2" t="s">
        <v>337</v>
      </c>
      <c r="F249" s="2" t="s">
        <v>607</v>
      </c>
      <c r="G249" s="9" t="s">
        <v>608</v>
      </c>
    </row>
    <row r="250" customFormat="false" ht="15" hidden="false" customHeight="false" outlineLevel="0" collapsed="false">
      <c r="A250" s="2" t="s">
        <v>142</v>
      </c>
      <c r="B250" s="9" t="s">
        <v>618</v>
      </c>
      <c r="C250" s="6" t="n">
        <v>46281</v>
      </c>
      <c r="D250" s="11" t="n">
        <f aca="false">DATE(2026,9,26)-C250</f>
        <v>10</v>
      </c>
      <c r="E250" s="2" t="s">
        <v>337</v>
      </c>
      <c r="F250" s="2" t="s">
        <v>607</v>
      </c>
      <c r="G250" s="9" t="s">
        <v>608</v>
      </c>
    </row>
    <row r="251" customFormat="false" ht="15" hidden="false" customHeight="false" outlineLevel="0" collapsed="false">
      <c r="A251" s="2" t="s">
        <v>142</v>
      </c>
      <c r="B251" s="9" t="s">
        <v>619</v>
      </c>
      <c r="C251" s="6" t="n">
        <v>46281</v>
      </c>
      <c r="D251" s="11" t="n">
        <f aca="false">DATE(2026,9,26)-C251</f>
        <v>10</v>
      </c>
      <c r="E251" s="2" t="s">
        <v>337</v>
      </c>
      <c r="F251" s="2" t="s">
        <v>607</v>
      </c>
      <c r="G251" s="9" t="s">
        <v>608</v>
      </c>
    </row>
    <row r="252" customFormat="false" ht="15" hidden="false" customHeight="false" outlineLevel="0" collapsed="false">
      <c r="A252" s="2" t="s">
        <v>142</v>
      </c>
      <c r="B252" s="9" t="s">
        <v>620</v>
      </c>
      <c r="C252" s="6" t="n">
        <v>46281</v>
      </c>
      <c r="D252" s="11" t="n">
        <f aca="false">DATE(2026,9,26)-C252</f>
        <v>10</v>
      </c>
      <c r="E252" s="2" t="s">
        <v>337</v>
      </c>
      <c r="F252" s="2" t="s">
        <v>607</v>
      </c>
      <c r="G252" s="9" t="s">
        <v>608</v>
      </c>
    </row>
    <row r="253" customFormat="false" ht="15" hidden="false" customHeight="false" outlineLevel="0" collapsed="false">
      <c r="A253" s="2" t="s">
        <v>142</v>
      </c>
      <c r="B253" s="9" t="s">
        <v>621</v>
      </c>
      <c r="C253" s="6" t="n">
        <v>46281</v>
      </c>
      <c r="D253" s="11" t="n">
        <f aca="false">DATE(2026,9,26)-C253</f>
        <v>10</v>
      </c>
      <c r="E253" s="2" t="s">
        <v>337</v>
      </c>
      <c r="F253" s="2" t="s">
        <v>607</v>
      </c>
      <c r="G253" s="9" t="s">
        <v>608</v>
      </c>
    </row>
    <row r="254" customFormat="false" ht="15" hidden="false" customHeight="false" outlineLevel="0" collapsed="false">
      <c r="A254" s="2" t="s">
        <v>142</v>
      </c>
      <c r="B254" s="9" t="s">
        <v>622</v>
      </c>
      <c r="C254" s="6" t="n">
        <v>46288</v>
      </c>
      <c r="D254" s="11" t="n">
        <f aca="false">DATE(2026,9,26)-C254</f>
        <v>3</v>
      </c>
      <c r="E254" s="2" t="s">
        <v>337</v>
      </c>
      <c r="F254" s="2" t="s">
        <v>607</v>
      </c>
      <c r="G254" s="9" t="s">
        <v>608</v>
      </c>
    </row>
    <row r="255" customFormat="false" ht="15" hidden="false" customHeight="false" outlineLevel="0" collapsed="false">
      <c r="A255" s="2" t="s">
        <v>142</v>
      </c>
      <c r="B255" s="9" t="s">
        <v>623</v>
      </c>
      <c r="C255" s="6" t="n">
        <v>46288</v>
      </c>
      <c r="D255" s="11" t="n">
        <f aca="false">DATE(2026,9,26)-C255</f>
        <v>3</v>
      </c>
      <c r="E255" s="2" t="s">
        <v>337</v>
      </c>
      <c r="F255" s="2" t="s">
        <v>607</v>
      </c>
      <c r="G255" s="9" t="s">
        <v>608</v>
      </c>
    </row>
    <row r="256" customFormat="false" ht="15" hidden="false" customHeight="false" outlineLevel="0" collapsed="false">
      <c r="A256" s="2" t="s">
        <v>142</v>
      </c>
      <c r="B256" s="9" t="s">
        <v>624</v>
      </c>
      <c r="C256" s="6" t="n">
        <v>46288</v>
      </c>
      <c r="D256" s="11" t="n">
        <f aca="false">DATE(2026,9,26)-C256</f>
        <v>3</v>
      </c>
      <c r="E256" s="2" t="s">
        <v>337</v>
      </c>
      <c r="F256" s="2" t="s">
        <v>607</v>
      </c>
      <c r="G256" s="9" t="s">
        <v>608</v>
      </c>
    </row>
    <row r="257" customFormat="false" ht="15" hidden="false" customHeight="false" outlineLevel="0" collapsed="false">
      <c r="A257" s="2" t="s">
        <v>142</v>
      </c>
      <c r="B257" s="9" t="s">
        <v>625</v>
      </c>
      <c r="C257" s="6" t="n">
        <v>46288</v>
      </c>
      <c r="D257" s="11" t="n">
        <f aca="false">DATE(2026,9,26)-C257</f>
        <v>3</v>
      </c>
      <c r="E257" s="2" t="s">
        <v>337</v>
      </c>
      <c r="F257" s="2" t="s">
        <v>607</v>
      </c>
      <c r="G257" s="9" t="s">
        <v>608</v>
      </c>
    </row>
    <row r="258" customFormat="false" ht="15" hidden="false" customHeight="false" outlineLevel="0" collapsed="false">
      <c r="A258" s="2" t="s">
        <v>142</v>
      </c>
      <c r="B258" s="9" t="s">
        <v>626</v>
      </c>
      <c r="C258" s="6" t="n">
        <v>46288</v>
      </c>
      <c r="D258" s="11" t="n">
        <f aca="false">DATE(2026,9,26)-C258</f>
        <v>3</v>
      </c>
      <c r="E258" s="2" t="s">
        <v>337</v>
      </c>
      <c r="F258" s="2" t="s">
        <v>607</v>
      </c>
      <c r="G258" s="9" t="s">
        <v>608</v>
      </c>
    </row>
    <row r="259" customFormat="false" ht="15" hidden="false" customHeight="false" outlineLevel="0" collapsed="false">
      <c r="A259" s="2" t="s">
        <v>142</v>
      </c>
      <c r="B259" s="9" t="s">
        <v>627</v>
      </c>
      <c r="C259" s="6" t="n">
        <v>46289</v>
      </c>
      <c r="D259" s="11" t="n">
        <f aca="false">DATE(2026,9,26)-C259</f>
        <v>2</v>
      </c>
      <c r="E259" s="2" t="s">
        <v>337</v>
      </c>
      <c r="F259" s="2" t="s">
        <v>607</v>
      </c>
      <c r="G259" s="9" t="s">
        <v>608</v>
      </c>
    </row>
    <row r="260" customFormat="false" ht="15" hidden="false" customHeight="false" outlineLevel="0" collapsed="false">
      <c r="A260" s="2" t="s">
        <v>142</v>
      </c>
      <c r="B260" s="9" t="s">
        <v>628</v>
      </c>
      <c r="C260" s="6" t="n">
        <v>46289</v>
      </c>
      <c r="D260" s="11" t="n">
        <f aca="false">DATE(2026,9,26)-C260</f>
        <v>2</v>
      </c>
      <c r="E260" s="2" t="s">
        <v>337</v>
      </c>
      <c r="F260" s="2" t="s">
        <v>607</v>
      </c>
      <c r="G260" s="9" t="s">
        <v>608</v>
      </c>
    </row>
    <row r="261" customFormat="false" ht="15" hidden="false" customHeight="false" outlineLevel="0" collapsed="false">
      <c r="A261" s="2" t="s">
        <v>142</v>
      </c>
      <c r="B261" s="9" t="s">
        <v>629</v>
      </c>
      <c r="C261" s="6" t="n">
        <v>46289</v>
      </c>
      <c r="D261" s="11" t="n">
        <f aca="false">DATE(2026,9,26)-C261</f>
        <v>2</v>
      </c>
      <c r="E261" s="2" t="s">
        <v>337</v>
      </c>
      <c r="F261" s="2" t="s">
        <v>607</v>
      </c>
      <c r="G261" s="9" t="s">
        <v>608</v>
      </c>
    </row>
    <row r="262" customFormat="false" ht="15" hidden="false" customHeight="false" outlineLevel="0" collapsed="false">
      <c r="A262" s="2" t="s">
        <v>142</v>
      </c>
      <c r="B262" s="9" t="s">
        <v>630</v>
      </c>
      <c r="C262" s="6" t="n">
        <v>46289</v>
      </c>
      <c r="D262" s="11" t="n">
        <f aca="false">DATE(2026,9,26)-C262</f>
        <v>2</v>
      </c>
      <c r="E262" s="2" t="s">
        <v>337</v>
      </c>
      <c r="F262" s="2" t="s">
        <v>607</v>
      </c>
      <c r="G262" s="9" t="s">
        <v>608</v>
      </c>
    </row>
    <row r="263" customFormat="false" ht="15" hidden="false" customHeight="false" outlineLevel="0" collapsed="false">
      <c r="A263" s="2" t="s">
        <v>142</v>
      </c>
      <c r="B263" s="9" t="s">
        <v>631</v>
      </c>
      <c r="C263" s="6" t="n">
        <v>46289</v>
      </c>
      <c r="D263" s="11" t="n">
        <f aca="false">DATE(2026,9,26)-C263</f>
        <v>2</v>
      </c>
      <c r="E263" s="2" t="s">
        <v>337</v>
      </c>
      <c r="F263" s="2" t="s">
        <v>607</v>
      </c>
      <c r="G263" s="9" t="s">
        <v>608</v>
      </c>
    </row>
    <row r="264" customFormat="false" ht="15" hidden="false" customHeight="false" outlineLevel="0" collapsed="false">
      <c r="A264" s="2" t="s">
        <v>162</v>
      </c>
      <c r="B264" s="9" t="s">
        <v>632</v>
      </c>
      <c r="C264" s="6" t="n">
        <v>46259</v>
      </c>
      <c r="D264" s="11" t="n">
        <f aca="false">DATE(2026,9,26)-C264</f>
        <v>32</v>
      </c>
      <c r="E264" s="2" t="s">
        <v>337</v>
      </c>
      <c r="F264" s="2" t="s">
        <v>633</v>
      </c>
      <c r="G264" s="9" t="s">
        <v>634</v>
      </c>
    </row>
    <row r="265" customFormat="false" ht="15" hidden="false" customHeight="false" outlineLevel="0" collapsed="false">
      <c r="A265" s="2" t="s">
        <v>162</v>
      </c>
      <c r="B265" s="9" t="s">
        <v>635</v>
      </c>
      <c r="C265" s="6" t="n">
        <v>46259</v>
      </c>
      <c r="D265" s="11" t="n">
        <f aca="false">DATE(2026,9,26)-C265</f>
        <v>32</v>
      </c>
      <c r="E265" s="2" t="s">
        <v>337</v>
      </c>
      <c r="F265" s="2" t="s">
        <v>633</v>
      </c>
      <c r="G265" s="9" t="s">
        <v>634</v>
      </c>
    </row>
    <row r="266" customFormat="false" ht="15" hidden="false" customHeight="false" outlineLevel="0" collapsed="false">
      <c r="A266" s="2" t="s">
        <v>162</v>
      </c>
      <c r="B266" s="9" t="s">
        <v>636</v>
      </c>
      <c r="C266" s="6" t="n">
        <v>46259</v>
      </c>
      <c r="D266" s="11" t="n">
        <f aca="false">DATE(2026,9,26)-C266</f>
        <v>32</v>
      </c>
      <c r="E266" s="2" t="s">
        <v>337</v>
      </c>
      <c r="F266" s="2" t="s">
        <v>633</v>
      </c>
      <c r="G266" s="9" t="s">
        <v>634</v>
      </c>
    </row>
    <row r="267" customFormat="false" ht="15" hidden="false" customHeight="false" outlineLevel="0" collapsed="false">
      <c r="A267" s="2" t="s">
        <v>162</v>
      </c>
      <c r="B267" s="9" t="s">
        <v>637</v>
      </c>
      <c r="C267" s="6" t="n">
        <v>46260</v>
      </c>
      <c r="D267" s="11" t="n">
        <f aca="false">DATE(2026,9,26)-C267</f>
        <v>31</v>
      </c>
      <c r="E267" s="2" t="s">
        <v>337</v>
      </c>
      <c r="F267" s="2" t="s">
        <v>633</v>
      </c>
      <c r="G267" s="9" t="s">
        <v>634</v>
      </c>
    </row>
    <row r="268" customFormat="false" ht="15" hidden="false" customHeight="false" outlineLevel="0" collapsed="false">
      <c r="A268" s="2" t="s">
        <v>162</v>
      </c>
      <c r="B268" s="9" t="s">
        <v>638</v>
      </c>
      <c r="C268" s="6" t="n">
        <v>46260</v>
      </c>
      <c r="D268" s="11" t="n">
        <f aca="false">DATE(2026,9,26)-C268</f>
        <v>31</v>
      </c>
      <c r="E268" s="2" t="s">
        <v>337</v>
      </c>
      <c r="F268" s="2" t="s">
        <v>633</v>
      </c>
      <c r="G268" s="9" t="s">
        <v>634</v>
      </c>
    </row>
    <row r="269" customFormat="false" ht="15" hidden="false" customHeight="false" outlineLevel="0" collapsed="false">
      <c r="A269" s="2" t="s">
        <v>162</v>
      </c>
      <c r="B269" s="9" t="s">
        <v>639</v>
      </c>
      <c r="C269" s="6" t="n">
        <v>46260</v>
      </c>
      <c r="D269" s="11" t="n">
        <f aca="false">DATE(2026,9,26)-C269</f>
        <v>31</v>
      </c>
      <c r="E269" s="2" t="s">
        <v>337</v>
      </c>
      <c r="F269" s="2" t="s">
        <v>633</v>
      </c>
      <c r="G269" s="9" t="s">
        <v>634</v>
      </c>
    </row>
    <row r="270" customFormat="false" ht="15" hidden="false" customHeight="false" outlineLevel="0" collapsed="false">
      <c r="A270" s="2" t="s">
        <v>162</v>
      </c>
      <c r="B270" s="9" t="s">
        <v>640</v>
      </c>
      <c r="C270" s="6" t="n">
        <v>46263</v>
      </c>
      <c r="D270" s="11" t="n">
        <f aca="false">DATE(2026,9,26)-C270</f>
        <v>28</v>
      </c>
      <c r="E270" s="2" t="s">
        <v>337</v>
      </c>
      <c r="F270" s="2" t="s">
        <v>633</v>
      </c>
      <c r="G270" s="9" t="s">
        <v>641</v>
      </c>
    </row>
    <row r="271" customFormat="false" ht="15" hidden="false" customHeight="false" outlineLevel="0" collapsed="false">
      <c r="A271" s="2" t="s">
        <v>162</v>
      </c>
      <c r="B271" s="9" t="s">
        <v>642</v>
      </c>
      <c r="C271" s="6" t="n">
        <v>46271</v>
      </c>
      <c r="D271" s="11" t="n">
        <f aca="false">DATE(2026,9,26)-C271</f>
        <v>20</v>
      </c>
      <c r="E271" s="2" t="s">
        <v>337</v>
      </c>
      <c r="F271" s="2" t="s">
        <v>633</v>
      </c>
      <c r="G271" s="9" t="s">
        <v>643</v>
      </c>
    </row>
    <row r="272" customFormat="false" ht="15" hidden="false" customHeight="false" outlineLevel="0" collapsed="false">
      <c r="A272" s="2" t="s">
        <v>162</v>
      </c>
      <c r="B272" s="9" t="s">
        <v>644</v>
      </c>
      <c r="C272" s="6" t="n">
        <v>46276</v>
      </c>
      <c r="D272" s="11" t="n">
        <f aca="false">DATE(2026,9,26)-C272</f>
        <v>15</v>
      </c>
      <c r="E272" s="2" t="s">
        <v>337</v>
      </c>
      <c r="F272" s="2" t="s">
        <v>633</v>
      </c>
      <c r="G272" s="9" t="s">
        <v>645</v>
      </c>
    </row>
    <row r="273" customFormat="false" ht="15" hidden="false" customHeight="false" outlineLevel="0" collapsed="false">
      <c r="A273" s="2" t="s">
        <v>162</v>
      </c>
      <c r="B273" s="9" t="s">
        <v>646</v>
      </c>
      <c r="C273" s="6" t="n">
        <v>46276</v>
      </c>
      <c r="D273" s="11" t="n">
        <f aca="false">DATE(2026,9,26)-C273</f>
        <v>15</v>
      </c>
      <c r="E273" s="2" t="s">
        <v>337</v>
      </c>
      <c r="F273" s="2" t="s">
        <v>633</v>
      </c>
      <c r="G273" s="9" t="s">
        <v>645</v>
      </c>
    </row>
    <row r="274" customFormat="false" ht="15" hidden="false" customHeight="false" outlineLevel="0" collapsed="false">
      <c r="A274" s="2" t="s">
        <v>162</v>
      </c>
      <c r="B274" s="9" t="s">
        <v>647</v>
      </c>
      <c r="C274" s="6" t="n">
        <v>46276</v>
      </c>
      <c r="D274" s="11" t="n">
        <f aca="false">DATE(2026,9,26)-C274</f>
        <v>15</v>
      </c>
      <c r="E274" s="2" t="s">
        <v>337</v>
      </c>
      <c r="F274" s="2" t="s">
        <v>633</v>
      </c>
      <c r="G274" s="9" t="s">
        <v>645</v>
      </c>
    </row>
    <row r="275" customFormat="false" ht="15" hidden="false" customHeight="false" outlineLevel="0" collapsed="false">
      <c r="A275" s="2" t="s">
        <v>162</v>
      </c>
      <c r="B275" s="9" t="s">
        <v>648</v>
      </c>
      <c r="C275" s="6" t="n">
        <v>46276</v>
      </c>
      <c r="D275" s="11" t="n">
        <f aca="false">DATE(2026,9,26)-C275</f>
        <v>15</v>
      </c>
      <c r="E275" s="2" t="s">
        <v>337</v>
      </c>
      <c r="F275" s="2" t="s">
        <v>633</v>
      </c>
      <c r="G275" s="9" t="s">
        <v>645</v>
      </c>
    </row>
    <row r="276" customFormat="false" ht="15" hidden="false" customHeight="false" outlineLevel="0" collapsed="false">
      <c r="A276" s="2" t="s">
        <v>162</v>
      </c>
      <c r="B276" s="9" t="s">
        <v>649</v>
      </c>
      <c r="C276" s="6" t="n">
        <v>46276</v>
      </c>
      <c r="D276" s="11" t="n">
        <f aca="false">DATE(2026,9,26)-C276</f>
        <v>15</v>
      </c>
      <c r="E276" s="2" t="s">
        <v>337</v>
      </c>
      <c r="F276" s="2" t="s">
        <v>633</v>
      </c>
      <c r="G276" s="9" t="s">
        <v>645</v>
      </c>
    </row>
    <row r="277" customFormat="false" ht="15" hidden="false" customHeight="false" outlineLevel="0" collapsed="false">
      <c r="A277" s="2" t="s">
        <v>162</v>
      </c>
      <c r="B277" s="9" t="s">
        <v>650</v>
      </c>
      <c r="C277" s="6" t="n">
        <v>46280</v>
      </c>
      <c r="D277" s="11" t="n">
        <f aca="false">DATE(2026,9,26)-C277</f>
        <v>11</v>
      </c>
      <c r="E277" s="2" t="s">
        <v>337</v>
      </c>
      <c r="F277" s="2" t="s">
        <v>633</v>
      </c>
      <c r="G277" s="9" t="s">
        <v>634</v>
      </c>
    </row>
    <row r="278" customFormat="false" ht="15" hidden="false" customHeight="false" outlineLevel="0" collapsed="false">
      <c r="A278" s="2" t="s">
        <v>162</v>
      </c>
      <c r="B278" s="9" t="s">
        <v>651</v>
      </c>
      <c r="C278" s="6" t="n">
        <v>46281</v>
      </c>
      <c r="D278" s="11" t="n">
        <f aca="false">DATE(2026,9,26)-C278</f>
        <v>10</v>
      </c>
      <c r="E278" s="2" t="s">
        <v>333</v>
      </c>
      <c r="F278" s="2" t="s">
        <v>633</v>
      </c>
      <c r="G278" s="9" t="s">
        <v>652</v>
      </c>
    </row>
    <row r="279" customFormat="false" ht="15" hidden="false" customHeight="false" outlineLevel="0" collapsed="false">
      <c r="A279" s="2" t="s">
        <v>162</v>
      </c>
      <c r="B279" s="9" t="s">
        <v>653</v>
      </c>
      <c r="C279" s="6" t="n">
        <v>46282</v>
      </c>
      <c r="D279" s="11" t="n">
        <f aca="false">DATE(2026,9,26)-C279</f>
        <v>9</v>
      </c>
      <c r="E279" s="2" t="s">
        <v>337</v>
      </c>
      <c r="F279" s="2" t="s">
        <v>633</v>
      </c>
      <c r="G279" s="9" t="s">
        <v>634</v>
      </c>
    </row>
    <row r="280" customFormat="false" ht="15" hidden="false" customHeight="false" outlineLevel="0" collapsed="false">
      <c r="A280" s="2" t="s">
        <v>162</v>
      </c>
      <c r="B280" s="9" t="s">
        <v>654</v>
      </c>
      <c r="C280" s="6" t="n">
        <v>46284</v>
      </c>
      <c r="D280" s="11" t="n">
        <f aca="false">DATE(2026,9,26)-C280</f>
        <v>7</v>
      </c>
      <c r="E280" s="2" t="s">
        <v>333</v>
      </c>
      <c r="F280" s="2" t="s">
        <v>633</v>
      </c>
      <c r="G280" s="9" t="s">
        <v>652</v>
      </c>
    </row>
    <row r="281" customFormat="false" ht="15" hidden="false" customHeight="false" outlineLevel="0" collapsed="false">
      <c r="A281" s="2" t="s">
        <v>162</v>
      </c>
      <c r="B281" s="9" t="s">
        <v>655</v>
      </c>
      <c r="C281" s="6" t="n">
        <v>46285</v>
      </c>
      <c r="D281" s="11" t="n">
        <f aca="false">DATE(2026,9,26)-C281</f>
        <v>6</v>
      </c>
      <c r="E281" s="2" t="s">
        <v>337</v>
      </c>
      <c r="F281" s="2" t="s">
        <v>633</v>
      </c>
      <c r="G281" s="9" t="s">
        <v>656</v>
      </c>
    </row>
    <row r="282" customFormat="false" ht="15" hidden="false" customHeight="false" outlineLevel="0" collapsed="false">
      <c r="A282" s="2" t="s">
        <v>162</v>
      </c>
      <c r="B282" s="9" t="s">
        <v>657</v>
      </c>
      <c r="C282" s="6" t="n">
        <v>46286</v>
      </c>
      <c r="D282" s="11" t="n">
        <f aca="false">DATE(2026,9,26)-C282</f>
        <v>5</v>
      </c>
      <c r="E282" s="2" t="s">
        <v>337</v>
      </c>
      <c r="F282" s="2" t="s">
        <v>633</v>
      </c>
      <c r="G282" s="9" t="s">
        <v>656</v>
      </c>
    </row>
    <row r="283" customFormat="false" ht="15" hidden="false" customHeight="false" outlineLevel="0" collapsed="false">
      <c r="A283" s="2" t="s">
        <v>123</v>
      </c>
      <c r="B283" s="9" t="s">
        <v>658</v>
      </c>
      <c r="C283" s="6" t="n">
        <v>46218</v>
      </c>
      <c r="D283" s="11" t="n">
        <f aca="false">DATE(2026,9,26)-C283</f>
        <v>73</v>
      </c>
      <c r="E283" s="2" t="s">
        <v>337</v>
      </c>
      <c r="F283" s="2" t="s">
        <v>659</v>
      </c>
      <c r="G283" s="9" t="s">
        <v>660</v>
      </c>
    </row>
    <row r="284" customFormat="false" ht="15" hidden="false" customHeight="false" outlineLevel="0" collapsed="false">
      <c r="A284" s="2" t="s">
        <v>123</v>
      </c>
      <c r="B284" s="9" t="s">
        <v>661</v>
      </c>
      <c r="C284" s="6" t="n">
        <v>46237</v>
      </c>
      <c r="D284" s="11" t="n">
        <f aca="false">DATE(2026,9,26)-C284</f>
        <v>54</v>
      </c>
      <c r="E284" s="2" t="s">
        <v>337</v>
      </c>
      <c r="F284" s="2" t="s">
        <v>659</v>
      </c>
      <c r="G284" s="9" t="s">
        <v>660</v>
      </c>
    </row>
    <row r="285" customFormat="false" ht="15" hidden="false" customHeight="false" outlineLevel="0" collapsed="false">
      <c r="A285" s="2" t="s">
        <v>123</v>
      </c>
      <c r="B285" s="9" t="s">
        <v>662</v>
      </c>
      <c r="C285" s="6" t="n">
        <v>46276</v>
      </c>
      <c r="D285" s="11" t="n">
        <f aca="false">DATE(2026,9,26)-C285</f>
        <v>15</v>
      </c>
      <c r="E285" s="2" t="s">
        <v>337</v>
      </c>
      <c r="F285" s="2" t="s">
        <v>659</v>
      </c>
      <c r="G285" s="9" t="s">
        <v>660</v>
      </c>
    </row>
    <row r="286" customFormat="false" ht="15" hidden="false" customHeight="false" outlineLevel="0" collapsed="false">
      <c r="A286" s="2" t="s">
        <v>123</v>
      </c>
      <c r="B286" s="9" t="s">
        <v>663</v>
      </c>
      <c r="C286" s="6" t="n">
        <v>46279</v>
      </c>
      <c r="D286" s="11" t="n">
        <f aca="false">DATE(2026,9,26)-C286</f>
        <v>12</v>
      </c>
      <c r="E286" s="2" t="s">
        <v>337</v>
      </c>
      <c r="F286" s="2" t="s">
        <v>659</v>
      </c>
      <c r="G286" s="9" t="s">
        <v>660</v>
      </c>
    </row>
    <row r="287" customFormat="false" ht="15" hidden="false" customHeight="false" outlineLevel="0" collapsed="false">
      <c r="A287" s="2" t="s">
        <v>123</v>
      </c>
      <c r="B287" s="9" t="s">
        <v>664</v>
      </c>
      <c r="C287" s="6" t="n">
        <v>46287</v>
      </c>
      <c r="D287" s="11" t="n">
        <f aca="false">DATE(2026,9,26)-C287</f>
        <v>4</v>
      </c>
      <c r="E287" s="2" t="s">
        <v>337</v>
      </c>
      <c r="F287" s="2" t="s">
        <v>659</v>
      </c>
      <c r="G287" s="9" t="s">
        <v>660</v>
      </c>
    </row>
    <row r="288" customFormat="false" ht="15" hidden="false" customHeight="false" outlineLevel="0" collapsed="false">
      <c r="A288" s="2" t="s">
        <v>123</v>
      </c>
      <c r="B288" s="9" t="s">
        <v>665</v>
      </c>
      <c r="C288" s="6" t="n">
        <v>46287</v>
      </c>
      <c r="D288" s="11" t="n">
        <f aca="false">DATE(2026,9,26)-C288</f>
        <v>4</v>
      </c>
      <c r="E288" s="2" t="s">
        <v>337</v>
      </c>
      <c r="F288" s="2" t="s">
        <v>659</v>
      </c>
      <c r="G288" s="9" t="s">
        <v>660</v>
      </c>
    </row>
    <row r="289" customFormat="false" ht="15" hidden="false" customHeight="false" outlineLevel="0" collapsed="false">
      <c r="A289" s="2" t="s">
        <v>123</v>
      </c>
      <c r="B289" s="9" t="s">
        <v>666</v>
      </c>
      <c r="C289" s="6" t="n">
        <v>46289</v>
      </c>
      <c r="D289" s="11" t="n">
        <f aca="false">DATE(2026,9,26)-C289</f>
        <v>2</v>
      </c>
      <c r="E289" s="2" t="s">
        <v>337</v>
      </c>
      <c r="F289" s="2" t="s">
        <v>659</v>
      </c>
      <c r="G289" s="9" t="s">
        <v>660</v>
      </c>
    </row>
    <row r="290" customFormat="false" ht="15" hidden="false" customHeight="false" outlineLevel="0" collapsed="false">
      <c r="A290" s="2" t="s">
        <v>123</v>
      </c>
      <c r="B290" s="9" t="s">
        <v>667</v>
      </c>
      <c r="C290" s="6" t="n">
        <v>46289</v>
      </c>
      <c r="D290" s="11" t="n">
        <f aca="false">DATE(2026,9,26)-C290</f>
        <v>2</v>
      </c>
      <c r="E290" s="2" t="s">
        <v>337</v>
      </c>
      <c r="F290" s="2" t="s">
        <v>659</v>
      </c>
      <c r="G290" s="9" t="s">
        <v>660</v>
      </c>
    </row>
    <row r="291" customFormat="false" ht="15" hidden="false" customHeight="false" outlineLevel="0" collapsed="false">
      <c r="A291" s="2" t="s">
        <v>123</v>
      </c>
      <c r="B291" s="9" t="s">
        <v>668</v>
      </c>
      <c r="C291" s="6" t="n">
        <v>46289</v>
      </c>
      <c r="D291" s="11" t="n">
        <f aca="false">DATE(2026,9,26)-C291</f>
        <v>2</v>
      </c>
      <c r="E291" s="2" t="s">
        <v>337</v>
      </c>
      <c r="F291" s="2" t="s">
        <v>659</v>
      </c>
      <c r="G291" s="9" t="s">
        <v>660</v>
      </c>
    </row>
    <row r="292" customFormat="false" ht="15" hidden="false" customHeight="false" outlineLevel="0" collapsed="false">
      <c r="A292" s="2" t="s">
        <v>123</v>
      </c>
      <c r="B292" s="9" t="s">
        <v>669</v>
      </c>
      <c r="C292" s="6" t="n">
        <v>46289</v>
      </c>
      <c r="D292" s="11" t="n">
        <f aca="false">DATE(2026,9,26)-C292</f>
        <v>2</v>
      </c>
      <c r="E292" s="2" t="s">
        <v>337</v>
      </c>
      <c r="F292" s="2" t="s">
        <v>659</v>
      </c>
      <c r="G292" s="9" t="s">
        <v>660</v>
      </c>
    </row>
    <row r="293" customFormat="false" ht="15" hidden="false" customHeight="false" outlineLevel="0" collapsed="false">
      <c r="A293" s="2" t="s">
        <v>54</v>
      </c>
      <c r="B293" s="9" t="s">
        <v>670</v>
      </c>
      <c r="C293" s="6" t="n">
        <v>46153</v>
      </c>
      <c r="D293" s="11" t="n">
        <f aca="false">DATE(2026,9,26)-C293</f>
        <v>138</v>
      </c>
      <c r="E293" s="2" t="s">
        <v>337</v>
      </c>
      <c r="F293" s="2" t="s">
        <v>671</v>
      </c>
      <c r="G293" s="9" t="s">
        <v>57</v>
      </c>
    </row>
    <row r="294" customFormat="false" ht="15" hidden="false" customHeight="false" outlineLevel="0" collapsed="false">
      <c r="A294" s="2" t="s">
        <v>54</v>
      </c>
      <c r="B294" s="9" t="s">
        <v>672</v>
      </c>
      <c r="C294" s="6" t="n">
        <v>46177</v>
      </c>
      <c r="D294" s="11" t="n">
        <f aca="false">DATE(2026,9,26)-C294</f>
        <v>114</v>
      </c>
      <c r="E294" s="2" t="s">
        <v>337</v>
      </c>
      <c r="F294" s="2" t="s">
        <v>671</v>
      </c>
      <c r="G294" s="9" t="s">
        <v>57</v>
      </c>
    </row>
    <row r="295" customFormat="false" ht="15" hidden="false" customHeight="false" outlineLevel="0" collapsed="false">
      <c r="A295" s="2" t="s">
        <v>54</v>
      </c>
      <c r="B295" s="9" t="s">
        <v>673</v>
      </c>
      <c r="C295" s="6" t="n">
        <v>46178</v>
      </c>
      <c r="D295" s="11" t="n">
        <f aca="false">DATE(2026,9,26)-C295</f>
        <v>113</v>
      </c>
      <c r="E295" s="2" t="s">
        <v>337</v>
      </c>
      <c r="F295" s="2" t="s">
        <v>671</v>
      </c>
      <c r="G295" s="9" t="s">
        <v>57</v>
      </c>
    </row>
    <row r="296" customFormat="false" ht="15" hidden="false" customHeight="false" outlineLevel="0" collapsed="false">
      <c r="A296" s="2" t="s">
        <v>54</v>
      </c>
      <c r="B296" s="9" t="s">
        <v>674</v>
      </c>
      <c r="C296" s="6" t="n">
        <v>46225</v>
      </c>
      <c r="D296" s="11" t="n">
        <f aca="false">DATE(2026,9,26)-C296</f>
        <v>66</v>
      </c>
      <c r="E296" s="2" t="s">
        <v>337</v>
      </c>
      <c r="F296" s="2" t="s">
        <v>671</v>
      </c>
      <c r="G296" s="9" t="s">
        <v>57</v>
      </c>
    </row>
    <row r="297" customFormat="false" ht="15" hidden="false" customHeight="false" outlineLevel="0" collapsed="false">
      <c r="A297" s="2" t="s">
        <v>54</v>
      </c>
      <c r="B297" s="9" t="s">
        <v>675</v>
      </c>
      <c r="C297" s="6" t="n">
        <v>46225</v>
      </c>
      <c r="D297" s="11" t="n">
        <f aca="false">DATE(2026,9,26)-C297</f>
        <v>66</v>
      </c>
      <c r="E297" s="2" t="s">
        <v>337</v>
      </c>
      <c r="F297" s="2" t="s">
        <v>671</v>
      </c>
      <c r="G297" s="9" t="s">
        <v>57</v>
      </c>
    </row>
    <row r="298" customFormat="false" ht="15" hidden="false" customHeight="false" outlineLevel="0" collapsed="false">
      <c r="A298" s="2" t="s">
        <v>54</v>
      </c>
      <c r="B298" s="9" t="s">
        <v>676</v>
      </c>
      <c r="C298" s="6" t="n">
        <v>46226</v>
      </c>
      <c r="D298" s="11" t="n">
        <f aca="false">DATE(2026,9,26)-C298</f>
        <v>65</v>
      </c>
      <c r="E298" s="2" t="s">
        <v>337</v>
      </c>
      <c r="F298" s="2" t="s">
        <v>671</v>
      </c>
      <c r="G298" s="9" t="s">
        <v>57</v>
      </c>
    </row>
    <row r="299" customFormat="false" ht="15" hidden="false" customHeight="false" outlineLevel="0" collapsed="false">
      <c r="A299" s="2" t="s">
        <v>54</v>
      </c>
      <c r="B299" s="9" t="s">
        <v>677</v>
      </c>
      <c r="C299" s="6" t="n">
        <v>46245</v>
      </c>
      <c r="D299" s="11" t="n">
        <f aca="false">DATE(2026,9,26)-C299</f>
        <v>46</v>
      </c>
      <c r="E299" s="2" t="s">
        <v>337</v>
      </c>
      <c r="F299" s="2" t="s">
        <v>671</v>
      </c>
      <c r="G299" s="9" t="s">
        <v>57</v>
      </c>
    </row>
    <row r="300" customFormat="false" ht="15" hidden="false" customHeight="false" outlineLevel="0" collapsed="false">
      <c r="A300" s="2" t="s">
        <v>54</v>
      </c>
      <c r="B300" s="9" t="s">
        <v>678</v>
      </c>
      <c r="C300" s="6" t="n">
        <v>46257</v>
      </c>
      <c r="D300" s="11" t="n">
        <f aca="false">DATE(2026,9,26)-C300</f>
        <v>34</v>
      </c>
      <c r="E300" s="2" t="s">
        <v>337</v>
      </c>
      <c r="F300" s="2" t="s">
        <v>671</v>
      </c>
      <c r="G300" s="9" t="s">
        <v>57</v>
      </c>
    </row>
    <row r="301" customFormat="false" ht="15" hidden="false" customHeight="false" outlineLevel="0" collapsed="false">
      <c r="A301" s="2" t="s">
        <v>54</v>
      </c>
      <c r="B301" s="9" t="s">
        <v>679</v>
      </c>
      <c r="C301" s="6" t="n">
        <v>46258</v>
      </c>
      <c r="D301" s="11" t="n">
        <f aca="false">DATE(2026,9,26)-C301</f>
        <v>33</v>
      </c>
      <c r="E301" s="2" t="s">
        <v>337</v>
      </c>
      <c r="F301" s="2" t="s">
        <v>671</v>
      </c>
      <c r="G301" s="9" t="s">
        <v>57</v>
      </c>
    </row>
    <row r="302" customFormat="false" ht="15" hidden="false" customHeight="false" outlineLevel="0" collapsed="false">
      <c r="A302" s="2" t="s">
        <v>54</v>
      </c>
      <c r="B302" s="9" t="s">
        <v>680</v>
      </c>
      <c r="C302" s="6" t="n">
        <v>46260</v>
      </c>
      <c r="D302" s="11" t="n">
        <f aca="false">DATE(2026,9,26)-C302</f>
        <v>31</v>
      </c>
      <c r="E302" s="2" t="s">
        <v>337</v>
      </c>
      <c r="F302" s="2" t="s">
        <v>671</v>
      </c>
      <c r="G302" s="9" t="s">
        <v>57</v>
      </c>
    </row>
    <row r="303" customFormat="false" ht="15" hidden="false" customHeight="false" outlineLevel="0" collapsed="false">
      <c r="A303" s="2" t="s">
        <v>54</v>
      </c>
      <c r="B303" s="9" t="s">
        <v>681</v>
      </c>
      <c r="C303" s="6" t="n">
        <v>46262</v>
      </c>
      <c r="D303" s="11" t="n">
        <f aca="false">DATE(2026,9,26)-C303</f>
        <v>29</v>
      </c>
      <c r="E303" s="2" t="s">
        <v>337</v>
      </c>
      <c r="F303" s="2" t="s">
        <v>671</v>
      </c>
      <c r="G303" s="9" t="s">
        <v>57</v>
      </c>
    </row>
    <row r="304" customFormat="false" ht="15" hidden="false" customHeight="false" outlineLevel="0" collapsed="false">
      <c r="A304" s="2" t="s">
        <v>172</v>
      </c>
      <c r="B304" s="9" t="s">
        <v>682</v>
      </c>
      <c r="C304" s="6" t="n">
        <v>46246</v>
      </c>
      <c r="D304" s="11" t="n">
        <f aca="false">DATE(2026,9,26)-C304</f>
        <v>45</v>
      </c>
      <c r="E304" s="2" t="s">
        <v>337</v>
      </c>
      <c r="F304" s="2" t="s">
        <v>683</v>
      </c>
      <c r="G304" s="9" t="s">
        <v>684</v>
      </c>
    </row>
    <row r="305" customFormat="false" ht="15" hidden="false" customHeight="false" outlineLevel="0" collapsed="false">
      <c r="A305" s="2" t="s">
        <v>172</v>
      </c>
      <c r="B305" s="9" t="s">
        <v>685</v>
      </c>
      <c r="C305" s="6" t="n">
        <v>46253</v>
      </c>
      <c r="D305" s="11" t="n">
        <f aca="false">DATE(2026,9,26)-C305</f>
        <v>38</v>
      </c>
      <c r="E305" s="2" t="s">
        <v>337</v>
      </c>
      <c r="F305" s="2" t="s">
        <v>683</v>
      </c>
      <c r="G305" s="9" t="s">
        <v>684</v>
      </c>
    </row>
    <row r="306" customFormat="false" ht="15" hidden="false" customHeight="false" outlineLevel="0" collapsed="false">
      <c r="A306" s="2" t="s">
        <v>172</v>
      </c>
      <c r="B306" s="9" t="s">
        <v>686</v>
      </c>
      <c r="C306" s="6" t="n">
        <v>46262</v>
      </c>
      <c r="D306" s="11" t="n">
        <f aca="false">DATE(2026,9,26)-C306</f>
        <v>29</v>
      </c>
      <c r="E306" s="2" t="s">
        <v>337</v>
      </c>
      <c r="F306" s="2" t="s">
        <v>463</v>
      </c>
      <c r="G306" s="9" t="s">
        <v>687</v>
      </c>
    </row>
    <row r="307" customFormat="false" ht="15" hidden="false" customHeight="false" outlineLevel="0" collapsed="false">
      <c r="A307" s="2" t="s">
        <v>172</v>
      </c>
      <c r="B307" s="9" t="s">
        <v>688</v>
      </c>
      <c r="C307" s="6" t="n">
        <v>46262</v>
      </c>
      <c r="D307" s="11" t="n">
        <f aca="false">DATE(2026,9,26)-C307</f>
        <v>29</v>
      </c>
      <c r="E307" s="2" t="s">
        <v>329</v>
      </c>
      <c r="F307" s="2" t="s">
        <v>463</v>
      </c>
      <c r="G307" s="9" t="s">
        <v>687</v>
      </c>
    </row>
    <row r="308" customFormat="false" ht="15" hidden="false" customHeight="false" outlineLevel="0" collapsed="false">
      <c r="A308" s="2" t="s">
        <v>172</v>
      </c>
      <c r="B308" s="9" t="s">
        <v>689</v>
      </c>
      <c r="C308" s="6" t="n">
        <v>46264</v>
      </c>
      <c r="D308" s="11" t="n">
        <f aca="false">DATE(2026,9,26)-C308</f>
        <v>27</v>
      </c>
      <c r="E308" s="2" t="s">
        <v>337</v>
      </c>
      <c r="F308" s="2" t="s">
        <v>463</v>
      </c>
      <c r="G308" s="9" t="s">
        <v>687</v>
      </c>
    </row>
    <row r="309" customFormat="false" ht="15" hidden="false" customHeight="false" outlineLevel="0" collapsed="false">
      <c r="A309" s="2" t="s">
        <v>172</v>
      </c>
      <c r="B309" s="9" t="s">
        <v>690</v>
      </c>
      <c r="C309" s="6" t="n">
        <v>46267</v>
      </c>
      <c r="D309" s="11" t="n">
        <f aca="false">DATE(2026,9,26)-C309</f>
        <v>24</v>
      </c>
      <c r="E309" s="2" t="s">
        <v>337</v>
      </c>
      <c r="F309" s="2" t="s">
        <v>463</v>
      </c>
      <c r="G309" s="9" t="s">
        <v>684</v>
      </c>
    </row>
    <row r="310" customFormat="false" ht="15" hidden="false" customHeight="false" outlineLevel="0" collapsed="false">
      <c r="A310" s="2" t="s">
        <v>172</v>
      </c>
      <c r="B310" s="9" t="s">
        <v>691</v>
      </c>
      <c r="C310" s="6" t="n">
        <v>46267</v>
      </c>
      <c r="D310" s="11" t="n">
        <f aca="false">DATE(2026,9,26)-C310</f>
        <v>24</v>
      </c>
      <c r="E310" s="2" t="s">
        <v>337</v>
      </c>
      <c r="F310" s="2" t="s">
        <v>683</v>
      </c>
      <c r="G310" s="9" t="s">
        <v>684</v>
      </c>
    </row>
    <row r="311" customFormat="false" ht="15" hidden="false" customHeight="false" outlineLevel="0" collapsed="false">
      <c r="A311" s="2" t="s">
        <v>172</v>
      </c>
      <c r="B311" s="9" t="s">
        <v>692</v>
      </c>
      <c r="C311" s="6" t="n">
        <v>46267</v>
      </c>
      <c r="D311" s="11" t="n">
        <f aca="false">DATE(2026,9,26)-C311</f>
        <v>24</v>
      </c>
      <c r="E311" s="2" t="s">
        <v>337</v>
      </c>
      <c r="F311" s="2" t="s">
        <v>683</v>
      </c>
      <c r="G311" s="9" t="s">
        <v>684</v>
      </c>
    </row>
    <row r="312" customFormat="false" ht="15" hidden="false" customHeight="false" outlineLevel="0" collapsed="false">
      <c r="A312" s="2" t="s">
        <v>172</v>
      </c>
      <c r="B312" s="9" t="s">
        <v>693</v>
      </c>
      <c r="C312" s="6" t="n">
        <v>46267</v>
      </c>
      <c r="D312" s="11" t="n">
        <f aca="false">DATE(2026,9,26)-C312</f>
        <v>24</v>
      </c>
      <c r="E312" s="2" t="s">
        <v>337</v>
      </c>
      <c r="F312" s="2" t="s">
        <v>683</v>
      </c>
      <c r="G312" s="9" t="s">
        <v>684</v>
      </c>
    </row>
    <row r="313" customFormat="false" ht="15" hidden="false" customHeight="false" outlineLevel="0" collapsed="false">
      <c r="A313" s="2" t="s">
        <v>172</v>
      </c>
      <c r="B313" s="9" t="s">
        <v>694</v>
      </c>
      <c r="C313" s="6" t="n">
        <v>46267</v>
      </c>
      <c r="D313" s="11" t="n">
        <f aca="false">DATE(2026,9,26)-C313</f>
        <v>24</v>
      </c>
      <c r="E313" s="2" t="s">
        <v>333</v>
      </c>
      <c r="F313" s="2" t="s">
        <v>683</v>
      </c>
      <c r="G313" s="9" t="s">
        <v>684</v>
      </c>
    </row>
    <row r="314" customFormat="false" ht="15" hidden="false" customHeight="false" outlineLevel="0" collapsed="false">
      <c r="A314" s="2" t="s">
        <v>172</v>
      </c>
      <c r="B314" s="9" t="s">
        <v>695</v>
      </c>
      <c r="C314" s="6" t="n">
        <v>46267</v>
      </c>
      <c r="D314" s="11" t="n">
        <f aca="false">DATE(2026,9,26)-C314</f>
        <v>24</v>
      </c>
      <c r="E314" s="2" t="s">
        <v>337</v>
      </c>
      <c r="F314" s="2" t="s">
        <v>683</v>
      </c>
      <c r="G314" s="9" t="s">
        <v>684</v>
      </c>
    </row>
    <row r="315" customFormat="false" ht="15" hidden="false" customHeight="false" outlineLevel="0" collapsed="false">
      <c r="A315" s="2" t="s">
        <v>172</v>
      </c>
      <c r="B315" s="9" t="s">
        <v>696</v>
      </c>
      <c r="C315" s="6" t="n">
        <v>46267</v>
      </c>
      <c r="D315" s="11" t="n">
        <f aca="false">DATE(2026,9,26)-C315</f>
        <v>24</v>
      </c>
      <c r="E315" s="2" t="s">
        <v>337</v>
      </c>
      <c r="F315" s="2" t="s">
        <v>683</v>
      </c>
      <c r="G315" s="9" t="s">
        <v>684</v>
      </c>
    </row>
    <row r="316" customFormat="false" ht="15" hidden="false" customHeight="false" outlineLevel="0" collapsed="false">
      <c r="A316" s="2" t="s">
        <v>172</v>
      </c>
      <c r="B316" s="9" t="s">
        <v>697</v>
      </c>
      <c r="C316" s="6" t="n">
        <v>46279</v>
      </c>
      <c r="D316" s="11" t="n">
        <f aca="false">DATE(2026,9,26)-C316</f>
        <v>12</v>
      </c>
      <c r="E316" s="2" t="s">
        <v>337</v>
      </c>
      <c r="F316" s="2" t="s">
        <v>683</v>
      </c>
      <c r="G316" s="9" t="s">
        <v>684</v>
      </c>
    </row>
    <row r="317" customFormat="false" ht="15" hidden="false" customHeight="false" outlineLevel="0" collapsed="false">
      <c r="A317" s="2" t="s">
        <v>172</v>
      </c>
      <c r="B317" s="9" t="s">
        <v>698</v>
      </c>
      <c r="C317" s="6" t="n">
        <v>46288</v>
      </c>
      <c r="D317" s="11" t="n">
        <f aca="false">DATE(2026,9,26)-C317</f>
        <v>3</v>
      </c>
      <c r="E317" s="2" t="s">
        <v>337</v>
      </c>
      <c r="F317" s="2" t="s">
        <v>463</v>
      </c>
      <c r="G317" s="9" t="s">
        <v>687</v>
      </c>
    </row>
    <row r="318" customFormat="false" ht="15" hidden="false" customHeight="false" outlineLevel="0" collapsed="false">
      <c r="A318" s="2" t="s">
        <v>89</v>
      </c>
      <c r="B318" s="9" t="s">
        <v>699</v>
      </c>
      <c r="C318" s="6" t="n">
        <v>46134</v>
      </c>
      <c r="D318" s="11" t="n">
        <f aca="false">DATE(2026,9,26)-C318</f>
        <v>157</v>
      </c>
      <c r="E318" s="2" t="s">
        <v>337</v>
      </c>
      <c r="F318" s="2" t="s">
        <v>700</v>
      </c>
      <c r="G318" s="9" t="s">
        <v>92</v>
      </c>
    </row>
    <row r="319" customFormat="false" ht="15" hidden="false" customHeight="false" outlineLevel="0" collapsed="false">
      <c r="A319" s="2" t="s">
        <v>89</v>
      </c>
      <c r="B319" s="9" t="s">
        <v>701</v>
      </c>
      <c r="C319" s="6" t="n">
        <v>46158</v>
      </c>
      <c r="D319" s="11" t="n">
        <f aca="false">DATE(2026,9,26)-C319</f>
        <v>133</v>
      </c>
      <c r="E319" s="2" t="s">
        <v>337</v>
      </c>
      <c r="F319" s="2" t="s">
        <v>700</v>
      </c>
      <c r="G319" s="9" t="s">
        <v>92</v>
      </c>
    </row>
    <row r="320" customFormat="false" ht="15" hidden="false" customHeight="false" outlineLevel="0" collapsed="false">
      <c r="A320" s="2" t="s">
        <v>89</v>
      </c>
      <c r="B320" s="9" t="s">
        <v>702</v>
      </c>
      <c r="C320" s="6" t="n">
        <v>46158</v>
      </c>
      <c r="D320" s="11" t="n">
        <f aca="false">DATE(2026,9,26)-C320</f>
        <v>133</v>
      </c>
      <c r="E320" s="2" t="s">
        <v>337</v>
      </c>
      <c r="F320" s="2" t="s">
        <v>700</v>
      </c>
      <c r="G320" s="9" t="s">
        <v>92</v>
      </c>
    </row>
    <row r="321" customFormat="false" ht="15" hidden="false" customHeight="false" outlineLevel="0" collapsed="false">
      <c r="A321" s="2" t="s">
        <v>89</v>
      </c>
      <c r="B321" s="9" t="s">
        <v>703</v>
      </c>
      <c r="C321" s="6" t="n">
        <v>46160</v>
      </c>
      <c r="D321" s="11" t="n">
        <f aca="false">DATE(2026,9,26)-C321</f>
        <v>131</v>
      </c>
      <c r="E321" s="2" t="s">
        <v>337</v>
      </c>
      <c r="F321" s="2" t="s">
        <v>700</v>
      </c>
      <c r="G321" s="9" t="s">
        <v>92</v>
      </c>
    </row>
    <row r="322" customFormat="false" ht="15" hidden="false" customHeight="false" outlineLevel="0" collapsed="false">
      <c r="A322" s="2" t="s">
        <v>89</v>
      </c>
      <c r="B322" s="9" t="s">
        <v>704</v>
      </c>
      <c r="C322" s="6" t="n">
        <v>46171</v>
      </c>
      <c r="D322" s="11" t="n">
        <f aca="false">DATE(2026,9,26)-C322</f>
        <v>120</v>
      </c>
      <c r="E322" s="2" t="s">
        <v>337</v>
      </c>
      <c r="F322" s="2" t="s">
        <v>700</v>
      </c>
      <c r="G322" s="9" t="s">
        <v>92</v>
      </c>
    </row>
    <row r="323" customFormat="false" ht="15" hidden="false" customHeight="false" outlineLevel="0" collapsed="false">
      <c r="A323" s="2" t="s">
        <v>89</v>
      </c>
      <c r="B323" s="9" t="s">
        <v>705</v>
      </c>
      <c r="C323" s="6" t="n">
        <v>46173</v>
      </c>
      <c r="D323" s="11" t="n">
        <f aca="false">DATE(2026,9,26)-C323</f>
        <v>118</v>
      </c>
      <c r="E323" s="2" t="s">
        <v>337</v>
      </c>
      <c r="F323" s="2" t="s">
        <v>700</v>
      </c>
      <c r="G323" s="9" t="s">
        <v>92</v>
      </c>
    </row>
    <row r="324" customFormat="false" ht="15" hidden="false" customHeight="false" outlineLevel="0" collapsed="false">
      <c r="A324" s="2" t="s">
        <v>89</v>
      </c>
      <c r="B324" s="9" t="s">
        <v>706</v>
      </c>
      <c r="C324" s="6" t="n">
        <v>46183</v>
      </c>
      <c r="D324" s="11" t="n">
        <f aca="false">DATE(2026,9,26)-C324</f>
        <v>108</v>
      </c>
      <c r="E324" s="2" t="s">
        <v>337</v>
      </c>
      <c r="F324" s="2" t="s">
        <v>700</v>
      </c>
      <c r="G324" s="9" t="s">
        <v>92</v>
      </c>
    </row>
    <row r="325" customFormat="false" ht="15" hidden="false" customHeight="false" outlineLevel="0" collapsed="false">
      <c r="A325" s="2" t="s">
        <v>89</v>
      </c>
      <c r="B325" s="9" t="s">
        <v>707</v>
      </c>
      <c r="C325" s="6" t="n">
        <v>46186</v>
      </c>
      <c r="D325" s="11" t="n">
        <f aca="false">DATE(2026,9,26)-C325</f>
        <v>105</v>
      </c>
      <c r="E325" s="2" t="s">
        <v>337</v>
      </c>
      <c r="F325" s="2" t="s">
        <v>700</v>
      </c>
      <c r="G325" s="9" t="s">
        <v>92</v>
      </c>
    </row>
    <row r="326" customFormat="false" ht="15" hidden="false" customHeight="false" outlineLevel="0" collapsed="false">
      <c r="A326" s="2" t="s">
        <v>89</v>
      </c>
      <c r="B326" s="9" t="s">
        <v>708</v>
      </c>
      <c r="C326" s="6" t="n">
        <v>46191</v>
      </c>
      <c r="D326" s="11" t="n">
        <f aca="false">DATE(2026,9,26)-C326</f>
        <v>100</v>
      </c>
      <c r="E326" s="2" t="s">
        <v>337</v>
      </c>
      <c r="F326" s="2" t="s">
        <v>700</v>
      </c>
      <c r="G326" s="9" t="s">
        <v>92</v>
      </c>
    </row>
    <row r="327" customFormat="false" ht="15" hidden="false" customHeight="false" outlineLevel="0" collapsed="false">
      <c r="A327" s="2" t="s">
        <v>89</v>
      </c>
      <c r="B327" s="9" t="s">
        <v>709</v>
      </c>
      <c r="C327" s="6" t="n">
        <v>46192</v>
      </c>
      <c r="D327" s="11" t="n">
        <f aca="false">DATE(2026,9,26)-C327</f>
        <v>99</v>
      </c>
      <c r="E327" s="2" t="s">
        <v>337</v>
      </c>
      <c r="F327" s="2" t="s">
        <v>700</v>
      </c>
      <c r="G327" s="9" t="s">
        <v>92</v>
      </c>
    </row>
    <row r="328" customFormat="false" ht="15" hidden="false" customHeight="false" outlineLevel="0" collapsed="false">
      <c r="A328" s="2" t="s">
        <v>89</v>
      </c>
      <c r="B328" s="9" t="s">
        <v>710</v>
      </c>
      <c r="C328" s="6" t="n">
        <v>46197</v>
      </c>
      <c r="D328" s="11" t="n">
        <f aca="false">DATE(2026,9,26)-C328</f>
        <v>94</v>
      </c>
      <c r="E328" s="2" t="s">
        <v>337</v>
      </c>
      <c r="F328" s="2" t="s">
        <v>700</v>
      </c>
      <c r="G328" s="9" t="s">
        <v>92</v>
      </c>
    </row>
    <row r="329" customFormat="false" ht="15" hidden="false" customHeight="false" outlineLevel="0" collapsed="false">
      <c r="A329" s="2" t="s">
        <v>89</v>
      </c>
      <c r="B329" s="9" t="s">
        <v>711</v>
      </c>
      <c r="C329" s="6" t="n">
        <v>46200</v>
      </c>
      <c r="D329" s="11" t="n">
        <f aca="false">DATE(2026,9,26)-C329</f>
        <v>91</v>
      </c>
      <c r="E329" s="2" t="s">
        <v>337</v>
      </c>
      <c r="F329" s="2" t="s">
        <v>700</v>
      </c>
      <c r="G329" s="9" t="s">
        <v>92</v>
      </c>
    </row>
    <row r="330" customFormat="false" ht="15" hidden="false" customHeight="false" outlineLevel="0" collapsed="false">
      <c r="A330" s="2" t="s">
        <v>89</v>
      </c>
      <c r="B330" s="9" t="s">
        <v>712</v>
      </c>
      <c r="C330" s="6" t="n">
        <v>46200</v>
      </c>
      <c r="D330" s="11" t="n">
        <f aca="false">DATE(2026,9,26)-C330</f>
        <v>91</v>
      </c>
      <c r="E330" s="2" t="s">
        <v>337</v>
      </c>
      <c r="F330" s="2" t="s">
        <v>700</v>
      </c>
      <c r="G330" s="9" t="s">
        <v>92</v>
      </c>
    </row>
    <row r="331" customFormat="false" ht="15" hidden="false" customHeight="false" outlineLevel="0" collapsed="false">
      <c r="A331" s="2" t="s">
        <v>89</v>
      </c>
      <c r="B331" s="9" t="s">
        <v>713</v>
      </c>
      <c r="C331" s="6" t="n">
        <v>46200</v>
      </c>
      <c r="D331" s="11" t="n">
        <f aca="false">DATE(2026,9,26)-C331</f>
        <v>91</v>
      </c>
      <c r="E331" s="2" t="s">
        <v>337</v>
      </c>
      <c r="F331" s="2" t="s">
        <v>700</v>
      </c>
      <c r="G331" s="9" t="s">
        <v>92</v>
      </c>
    </row>
    <row r="332" customFormat="false" ht="15" hidden="false" customHeight="false" outlineLevel="0" collapsed="false">
      <c r="A332" s="2" t="s">
        <v>89</v>
      </c>
      <c r="B332" s="9" t="s">
        <v>714</v>
      </c>
      <c r="C332" s="6" t="n">
        <v>46200</v>
      </c>
      <c r="D332" s="11" t="n">
        <f aca="false">DATE(2026,9,26)-C332</f>
        <v>91</v>
      </c>
      <c r="E332" s="2" t="s">
        <v>337</v>
      </c>
      <c r="F332" s="2" t="s">
        <v>700</v>
      </c>
      <c r="G332" s="9" t="s">
        <v>92</v>
      </c>
    </row>
    <row r="333" customFormat="false" ht="15" hidden="false" customHeight="false" outlineLevel="0" collapsed="false">
      <c r="A333" s="2" t="s">
        <v>89</v>
      </c>
      <c r="B333" s="9" t="s">
        <v>715</v>
      </c>
      <c r="C333" s="6" t="n">
        <v>46200</v>
      </c>
      <c r="D333" s="11" t="n">
        <f aca="false">DATE(2026,9,26)-C333</f>
        <v>91</v>
      </c>
      <c r="E333" s="2" t="s">
        <v>337</v>
      </c>
      <c r="F333" s="2" t="s">
        <v>700</v>
      </c>
      <c r="G333" s="9" t="s">
        <v>92</v>
      </c>
    </row>
    <row r="334" customFormat="false" ht="15" hidden="false" customHeight="false" outlineLevel="0" collapsed="false">
      <c r="A334" s="2" t="s">
        <v>89</v>
      </c>
      <c r="B334" s="9" t="s">
        <v>716</v>
      </c>
      <c r="C334" s="6" t="n">
        <v>46200</v>
      </c>
      <c r="D334" s="11" t="n">
        <f aca="false">DATE(2026,9,26)-C334</f>
        <v>91</v>
      </c>
      <c r="E334" s="2" t="s">
        <v>337</v>
      </c>
      <c r="F334" s="2" t="s">
        <v>700</v>
      </c>
      <c r="G334" s="9" t="s">
        <v>92</v>
      </c>
    </row>
    <row r="335" customFormat="false" ht="15" hidden="false" customHeight="false" outlineLevel="0" collapsed="false">
      <c r="A335" s="2" t="s">
        <v>89</v>
      </c>
      <c r="B335" s="9" t="s">
        <v>717</v>
      </c>
      <c r="C335" s="6" t="n">
        <v>46201</v>
      </c>
      <c r="D335" s="11" t="n">
        <f aca="false">DATE(2026,9,26)-C335</f>
        <v>90</v>
      </c>
      <c r="E335" s="2" t="s">
        <v>337</v>
      </c>
      <c r="F335" s="2" t="s">
        <v>700</v>
      </c>
      <c r="G335" s="9" t="s">
        <v>92</v>
      </c>
    </row>
    <row r="336" customFormat="false" ht="15" hidden="false" customHeight="false" outlineLevel="0" collapsed="false">
      <c r="A336" s="2" t="s">
        <v>89</v>
      </c>
      <c r="B336" s="9" t="s">
        <v>718</v>
      </c>
      <c r="C336" s="6" t="n">
        <v>46201</v>
      </c>
      <c r="D336" s="11" t="n">
        <f aca="false">DATE(2026,9,26)-C336</f>
        <v>90</v>
      </c>
      <c r="E336" s="2" t="s">
        <v>337</v>
      </c>
      <c r="F336" s="2" t="s">
        <v>700</v>
      </c>
      <c r="G336" s="9" t="s">
        <v>92</v>
      </c>
    </row>
    <row r="337" customFormat="false" ht="15" hidden="false" customHeight="false" outlineLevel="0" collapsed="false">
      <c r="A337" s="2" t="s">
        <v>89</v>
      </c>
      <c r="B337" s="9" t="s">
        <v>719</v>
      </c>
      <c r="C337" s="6" t="n">
        <v>46201</v>
      </c>
      <c r="D337" s="11" t="n">
        <f aca="false">DATE(2026,9,26)-C337</f>
        <v>90</v>
      </c>
      <c r="E337" s="2" t="s">
        <v>337</v>
      </c>
      <c r="F337" s="2" t="s">
        <v>700</v>
      </c>
      <c r="G337" s="9" t="s">
        <v>92</v>
      </c>
    </row>
    <row r="338" customFormat="false" ht="15" hidden="false" customHeight="false" outlineLevel="0" collapsed="false">
      <c r="A338" s="2" t="s">
        <v>89</v>
      </c>
      <c r="B338" s="9" t="s">
        <v>720</v>
      </c>
      <c r="C338" s="6" t="n">
        <v>46239</v>
      </c>
      <c r="D338" s="11" t="n">
        <f aca="false">DATE(2026,9,26)-C338</f>
        <v>52</v>
      </c>
      <c r="E338" s="2" t="s">
        <v>337</v>
      </c>
      <c r="F338" s="2" t="s">
        <v>700</v>
      </c>
      <c r="G338" s="9" t="s">
        <v>92</v>
      </c>
    </row>
    <row r="339" customFormat="false" ht="15" hidden="false" customHeight="false" outlineLevel="0" collapsed="false">
      <c r="A339" s="2" t="s">
        <v>89</v>
      </c>
      <c r="B339" s="9" t="s">
        <v>721</v>
      </c>
      <c r="C339" s="6" t="n">
        <v>46239</v>
      </c>
      <c r="D339" s="11" t="n">
        <f aca="false">DATE(2026,9,26)-C339</f>
        <v>52</v>
      </c>
      <c r="E339" s="2" t="s">
        <v>337</v>
      </c>
      <c r="F339" s="2" t="s">
        <v>700</v>
      </c>
      <c r="G339" s="9" t="s">
        <v>92</v>
      </c>
    </row>
    <row r="340" customFormat="false" ht="15" hidden="false" customHeight="false" outlineLevel="0" collapsed="false">
      <c r="A340" s="2" t="s">
        <v>89</v>
      </c>
      <c r="B340" s="9" t="s">
        <v>722</v>
      </c>
      <c r="C340" s="6" t="n">
        <v>46246</v>
      </c>
      <c r="D340" s="11" t="n">
        <f aca="false">DATE(2026,9,26)-C340</f>
        <v>45</v>
      </c>
      <c r="E340" s="2" t="s">
        <v>333</v>
      </c>
      <c r="F340" s="2" t="s">
        <v>700</v>
      </c>
      <c r="G340" s="9" t="s">
        <v>92</v>
      </c>
    </row>
    <row r="341" customFormat="false" ht="15" hidden="false" customHeight="false" outlineLevel="0" collapsed="false">
      <c r="A341" s="2" t="s">
        <v>89</v>
      </c>
      <c r="B341" s="9" t="s">
        <v>723</v>
      </c>
      <c r="C341" s="6" t="n">
        <v>46252</v>
      </c>
      <c r="D341" s="11" t="n">
        <f aca="false">DATE(2026,9,26)-C341</f>
        <v>39</v>
      </c>
      <c r="E341" s="2" t="s">
        <v>337</v>
      </c>
      <c r="F341" s="2" t="s">
        <v>700</v>
      </c>
      <c r="G341" s="9" t="s">
        <v>92</v>
      </c>
    </row>
    <row r="342" customFormat="false" ht="15" hidden="false" customHeight="false" outlineLevel="0" collapsed="false">
      <c r="A342" s="2" t="s">
        <v>89</v>
      </c>
      <c r="B342" s="9" t="s">
        <v>724</v>
      </c>
      <c r="C342" s="6" t="n">
        <v>46254</v>
      </c>
      <c r="D342" s="11" t="n">
        <f aca="false">DATE(2026,9,26)-C342</f>
        <v>37</v>
      </c>
      <c r="E342" s="2" t="s">
        <v>337</v>
      </c>
      <c r="F342" s="2" t="s">
        <v>700</v>
      </c>
      <c r="G342" s="9" t="s">
        <v>92</v>
      </c>
    </row>
    <row r="343" customFormat="false" ht="15" hidden="false" customHeight="false" outlineLevel="0" collapsed="false">
      <c r="A343" s="2" t="s">
        <v>89</v>
      </c>
      <c r="B343" s="9" t="s">
        <v>725</v>
      </c>
      <c r="C343" s="6" t="n">
        <v>46260</v>
      </c>
      <c r="D343" s="11" t="n">
        <f aca="false">DATE(2026,9,26)-C343</f>
        <v>31</v>
      </c>
      <c r="E343" s="2" t="s">
        <v>337</v>
      </c>
      <c r="F343" s="2" t="s">
        <v>700</v>
      </c>
      <c r="G343" s="9" t="s">
        <v>92</v>
      </c>
    </row>
    <row r="344" customFormat="false" ht="15" hidden="false" customHeight="false" outlineLevel="0" collapsed="false">
      <c r="A344" s="2" t="s">
        <v>89</v>
      </c>
      <c r="B344" s="9" t="s">
        <v>726</v>
      </c>
      <c r="C344" s="6" t="n">
        <v>46260</v>
      </c>
      <c r="D344" s="11" t="n">
        <f aca="false">DATE(2026,9,26)-C344</f>
        <v>31</v>
      </c>
      <c r="E344" s="2" t="s">
        <v>337</v>
      </c>
      <c r="F344" s="2" t="s">
        <v>700</v>
      </c>
      <c r="G344" s="9" t="s">
        <v>92</v>
      </c>
    </row>
    <row r="345" customFormat="false" ht="15" hidden="false" customHeight="false" outlineLevel="0" collapsed="false">
      <c r="A345" s="2" t="s">
        <v>89</v>
      </c>
      <c r="B345" s="9" t="s">
        <v>727</v>
      </c>
      <c r="C345" s="6" t="n">
        <v>46260</v>
      </c>
      <c r="D345" s="11" t="n">
        <f aca="false">DATE(2026,9,26)-C345</f>
        <v>31</v>
      </c>
      <c r="E345" s="2" t="s">
        <v>337</v>
      </c>
      <c r="F345" s="2" t="s">
        <v>700</v>
      </c>
      <c r="G345" s="9" t="s">
        <v>92</v>
      </c>
    </row>
    <row r="346" customFormat="false" ht="15" hidden="false" customHeight="false" outlineLevel="0" collapsed="false">
      <c r="A346" s="2" t="s">
        <v>262</v>
      </c>
      <c r="B346" s="9" t="s">
        <v>728</v>
      </c>
      <c r="C346" s="6" t="n">
        <v>46190</v>
      </c>
      <c r="D346" s="11" t="n">
        <f aca="false">DATE(2026,9,26)-C346</f>
        <v>101</v>
      </c>
      <c r="E346" s="2" t="s">
        <v>329</v>
      </c>
      <c r="F346" s="2" t="s">
        <v>729</v>
      </c>
      <c r="G346" s="9" t="s">
        <v>265</v>
      </c>
    </row>
    <row r="347" customFormat="false" ht="15" hidden="false" customHeight="false" outlineLevel="0" collapsed="false">
      <c r="A347" s="2" t="s">
        <v>262</v>
      </c>
      <c r="B347" s="9" t="s">
        <v>730</v>
      </c>
      <c r="C347" s="6" t="n">
        <v>46190</v>
      </c>
      <c r="D347" s="11" t="n">
        <f aca="false">DATE(2026,9,26)-C347</f>
        <v>101</v>
      </c>
      <c r="E347" s="2" t="s">
        <v>329</v>
      </c>
      <c r="F347" s="2" t="s">
        <v>729</v>
      </c>
      <c r="G347" s="9" t="s">
        <v>265</v>
      </c>
    </row>
    <row r="348" customFormat="false" ht="15" hidden="false" customHeight="false" outlineLevel="0" collapsed="false">
      <c r="A348" s="2" t="s">
        <v>262</v>
      </c>
      <c r="B348" s="9" t="s">
        <v>731</v>
      </c>
      <c r="C348" s="6" t="n">
        <v>46195</v>
      </c>
      <c r="D348" s="11" t="n">
        <f aca="false">DATE(2026,9,26)-C348</f>
        <v>96</v>
      </c>
      <c r="E348" s="2" t="s">
        <v>337</v>
      </c>
      <c r="F348" s="2" t="s">
        <v>729</v>
      </c>
      <c r="G348" s="9" t="s">
        <v>265</v>
      </c>
    </row>
    <row r="349" customFormat="false" ht="15" hidden="false" customHeight="false" outlineLevel="0" collapsed="false">
      <c r="A349" s="2" t="s">
        <v>262</v>
      </c>
      <c r="B349" s="9" t="s">
        <v>732</v>
      </c>
      <c r="C349" s="6" t="n">
        <v>46195</v>
      </c>
      <c r="D349" s="11" t="n">
        <f aca="false">DATE(2026,9,26)-C349</f>
        <v>96</v>
      </c>
      <c r="E349" s="2" t="s">
        <v>337</v>
      </c>
      <c r="F349" s="2" t="s">
        <v>729</v>
      </c>
      <c r="G349" s="9" t="s">
        <v>265</v>
      </c>
    </row>
    <row r="350" customFormat="false" ht="15" hidden="false" customHeight="false" outlineLevel="0" collapsed="false">
      <c r="A350" s="2" t="s">
        <v>262</v>
      </c>
      <c r="B350" s="9" t="s">
        <v>733</v>
      </c>
      <c r="C350" s="6" t="n">
        <v>46195</v>
      </c>
      <c r="D350" s="11" t="n">
        <f aca="false">DATE(2026,9,26)-C350</f>
        <v>96</v>
      </c>
      <c r="E350" s="2" t="s">
        <v>337</v>
      </c>
      <c r="F350" s="2" t="s">
        <v>729</v>
      </c>
      <c r="G350" s="9" t="s">
        <v>265</v>
      </c>
    </row>
    <row r="351" customFormat="false" ht="15" hidden="false" customHeight="false" outlineLevel="0" collapsed="false">
      <c r="A351" s="2" t="s">
        <v>262</v>
      </c>
      <c r="B351" s="9" t="s">
        <v>734</v>
      </c>
      <c r="C351" s="6" t="n">
        <v>46195</v>
      </c>
      <c r="D351" s="11" t="n">
        <f aca="false">DATE(2026,9,26)-C351</f>
        <v>96</v>
      </c>
      <c r="E351" s="2" t="s">
        <v>337</v>
      </c>
      <c r="F351" s="2" t="s">
        <v>729</v>
      </c>
      <c r="G351" s="9" t="s">
        <v>265</v>
      </c>
    </row>
    <row r="352" customFormat="false" ht="15" hidden="false" customHeight="false" outlineLevel="0" collapsed="false">
      <c r="A352" s="2" t="s">
        <v>262</v>
      </c>
      <c r="B352" s="9" t="s">
        <v>735</v>
      </c>
      <c r="C352" s="6" t="n">
        <v>46195</v>
      </c>
      <c r="D352" s="11" t="n">
        <f aca="false">DATE(2026,9,26)-C352</f>
        <v>96</v>
      </c>
      <c r="E352" s="2" t="s">
        <v>329</v>
      </c>
      <c r="F352" s="2" t="s">
        <v>729</v>
      </c>
      <c r="G352" s="9" t="s">
        <v>265</v>
      </c>
    </row>
    <row r="353" customFormat="false" ht="15" hidden="false" customHeight="false" outlineLevel="0" collapsed="false">
      <c r="A353" s="2" t="s">
        <v>262</v>
      </c>
      <c r="B353" s="9" t="s">
        <v>736</v>
      </c>
      <c r="C353" s="6" t="n">
        <v>46195</v>
      </c>
      <c r="D353" s="11" t="n">
        <f aca="false">DATE(2026,9,26)-C353</f>
        <v>96</v>
      </c>
      <c r="E353" s="2" t="s">
        <v>329</v>
      </c>
      <c r="F353" s="2" t="s">
        <v>729</v>
      </c>
      <c r="G353" s="9" t="s">
        <v>265</v>
      </c>
    </row>
    <row r="354" customFormat="false" ht="15" hidden="false" customHeight="false" outlineLevel="0" collapsed="false">
      <c r="A354" s="2" t="s">
        <v>262</v>
      </c>
      <c r="B354" s="9" t="s">
        <v>737</v>
      </c>
      <c r="C354" s="6" t="n">
        <v>46195</v>
      </c>
      <c r="D354" s="11" t="n">
        <f aca="false">DATE(2026,9,26)-C354</f>
        <v>96</v>
      </c>
      <c r="E354" s="2" t="s">
        <v>337</v>
      </c>
      <c r="F354" s="2" t="s">
        <v>729</v>
      </c>
      <c r="G354" s="9" t="s">
        <v>265</v>
      </c>
    </row>
    <row r="355" customFormat="false" ht="15" hidden="false" customHeight="false" outlineLevel="0" collapsed="false">
      <c r="A355" s="2" t="s">
        <v>262</v>
      </c>
      <c r="B355" s="9" t="s">
        <v>738</v>
      </c>
      <c r="C355" s="6" t="n">
        <v>46195</v>
      </c>
      <c r="D355" s="11" t="n">
        <f aca="false">DATE(2026,9,26)-C355</f>
        <v>96</v>
      </c>
      <c r="E355" s="2" t="s">
        <v>337</v>
      </c>
      <c r="F355" s="2" t="s">
        <v>729</v>
      </c>
      <c r="G355" s="9" t="s">
        <v>265</v>
      </c>
    </row>
    <row r="356" customFormat="false" ht="15" hidden="false" customHeight="false" outlineLevel="0" collapsed="false">
      <c r="A356" s="2" t="s">
        <v>262</v>
      </c>
      <c r="B356" s="9" t="s">
        <v>739</v>
      </c>
      <c r="C356" s="6" t="n">
        <v>46195</v>
      </c>
      <c r="D356" s="11" t="n">
        <f aca="false">DATE(2026,9,26)-C356</f>
        <v>96</v>
      </c>
      <c r="E356" s="2" t="s">
        <v>337</v>
      </c>
      <c r="F356" s="2" t="s">
        <v>729</v>
      </c>
      <c r="G356" s="9" t="s">
        <v>265</v>
      </c>
    </row>
    <row r="357" customFormat="false" ht="15" hidden="false" customHeight="false" outlineLevel="0" collapsed="false">
      <c r="A357" s="2" t="s">
        <v>262</v>
      </c>
      <c r="B357" s="9" t="s">
        <v>740</v>
      </c>
      <c r="C357" s="6" t="n">
        <v>46195</v>
      </c>
      <c r="D357" s="11" t="n">
        <f aca="false">DATE(2026,9,26)-C357</f>
        <v>96</v>
      </c>
      <c r="E357" s="2" t="s">
        <v>337</v>
      </c>
      <c r="F357" s="2" t="s">
        <v>729</v>
      </c>
      <c r="G357" s="9" t="s">
        <v>265</v>
      </c>
    </row>
    <row r="358" customFormat="false" ht="15" hidden="false" customHeight="false" outlineLevel="0" collapsed="false">
      <c r="A358" s="2" t="s">
        <v>262</v>
      </c>
      <c r="B358" s="9" t="s">
        <v>741</v>
      </c>
      <c r="C358" s="6" t="n">
        <v>46195</v>
      </c>
      <c r="D358" s="11" t="n">
        <f aca="false">DATE(2026,9,26)-C358</f>
        <v>96</v>
      </c>
      <c r="E358" s="2" t="s">
        <v>337</v>
      </c>
      <c r="F358" s="2" t="s">
        <v>729</v>
      </c>
      <c r="G358" s="9" t="s">
        <v>265</v>
      </c>
    </row>
    <row r="359" customFormat="false" ht="15" hidden="false" customHeight="false" outlineLevel="0" collapsed="false">
      <c r="A359" s="2" t="s">
        <v>262</v>
      </c>
      <c r="B359" s="9" t="s">
        <v>742</v>
      </c>
      <c r="C359" s="6" t="n">
        <v>46195</v>
      </c>
      <c r="D359" s="11" t="n">
        <f aca="false">DATE(2026,9,26)-C359</f>
        <v>96</v>
      </c>
      <c r="E359" s="2" t="s">
        <v>337</v>
      </c>
      <c r="F359" s="2" t="s">
        <v>729</v>
      </c>
      <c r="G359" s="9" t="s">
        <v>265</v>
      </c>
    </row>
    <row r="360" customFormat="false" ht="15" hidden="false" customHeight="false" outlineLevel="0" collapsed="false">
      <c r="A360" s="2" t="s">
        <v>262</v>
      </c>
      <c r="B360" s="9" t="s">
        <v>743</v>
      </c>
      <c r="C360" s="6" t="n">
        <v>46195</v>
      </c>
      <c r="D360" s="11" t="n">
        <f aca="false">DATE(2026,9,26)-C360</f>
        <v>96</v>
      </c>
      <c r="E360" s="2" t="s">
        <v>337</v>
      </c>
      <c r="F360" s="2" t="s">
        <v>729</v>
      </c>
      <c r="G360" s="9" t="s">
        <v>265</v>
      </c>
    </row>
    <row r="361" customFormat="false" ht="15" hidden="false" customHeight="false" outlineLevel="0" collapsed="false">
      <c r="A361" s="2" t="s">
        <v>262</v>
      </c>
      <c r="B361" s="9" t="s">
        <v>744</v>
      </c>
      <c r="C361" s="6" t="n">
        <v>46195</v>
      </c>
      <c r="D361" s="11" t="n">
        <f aca="false">DATE(2026,9,26)-C361</f>
        <v>96</v>
      </c>
      <c r="E361" s="2" t="s">
        <v>337</v>
      </c>
      <c r="F361" s="2" t="s">
        <v>729</v>
      </c>
      <c r="G361" s="9" t="s">
        <v>265</v>
      </c>
    </row>
    <row r="362" customFormat="false" ht="15" hidden="false" customHeight="false" outlineLevel="0" collapsed="false">
      <c r="A362" s="2" t="s">
        <v>262</v>
      </c>
      <c r="B362" s="9" t="s">
        <v>745</v>
      </c>
      <c r="C362" s="6" t="n">
        <v>46195</v>
      </c>
      <c r="D362" s="11" t="n">
        <f aca="false">DATE(2026,9,26)-C362</f>
        <v>96</v>
      </c>
      <c r="E362" s="2" t="s">
        <v>337</v>
      </c>
      <c r="F362" s="2" t="s">
        <v>729</v>
      </c>
      <c r="G362" s="9" t="s">
        <v>265</v>
      </c>
    </row>
    <row r="363" customFormat="false" ht="15" hidden="false" customHeight="false" outlineLevel="0" collapsed="false">
      <c r="A363" s="2" t="s">
        <v>262</v>
      </c>
      <c r="B363" s="9" t="s">
        <v>746</v>
      </c>
      <c r="C363" s="6" t="n">
        <v>46195</v>
      </c>
      <c r="D363" s="11" t="n">
        <f aca="false">DATE(2026,9,26)-C363</f>
        <v>96</v>
      </c>
      <c r="E363" s="2" t="s">
        <v>337</v>
      </c>
      <c r="F363" s="2" t="s">
        <v>729</v>
      </c>
      <c r="G363" s="9" t="s">
        <v>265</v>
      </c>
    </row>
    <row r="364" customFormat="false" ht="15" hidden="false" customHeight="false" outlineLevel="0" collapsed="false">
      <c r="A364" s="2" t="s">
        <v>262</v>
      </c>
      <c r="B364" s="9" t="s">
        <v>747</v>
      </c>
      <c r="C364" s="6" t="n">
        <v>46195</v>
      </c>
      <c r="D364" s="11" t="n">
        <f aca="false">DATE(2026,9,26)-C364</f>
        <v>96</v>
      </c>
      <c r="E364" s="2" t="s">
        <v>337</v>
      </c>
      <c r="F364" s="2" t="s">
        <v>729</v>
      </c>
      <c r="G364" s="9" t="s">
        <v>265</v>
      </c>
    </row>
    <row r="365" customFormat="false" ht="15" hidden="false" customHeight="false" outlineLevel="0" collapsed="false">
      <c r="A365" s="2" t="s">
        <v>262</v>
      </c>
      <c r="B365" s="9" t="s">
        <v>748</v>
      </c>
      <c r="C365" s="6" t="n">
        <v>46196</v>
      </c>
      <c r="D365" s="11" t="n">
        <f aca="false">DATE(2026,9,26)-C365</f>
        <v>95</v>
      </c>
      <c r="E365" s="2" t="s">
        <v>337</v>
      </c>
      <c r="F365" s="2" t="s">
        <v>729</v>
      </c>
      <c r="G365" s="9" t="s">
        <v>265</v>
      </c>
    </row>
    <row r="366" customFormat="false" ht="15" hidden="false" customHeight="false" outlineLevel="0" collapsed="false">
      <c r="A366" s="2" t="s">
        <v>262</v>
      </c>
      <c r="B366" s="9" t="s">
        <v>749</v>
      </c>
      <c r="C366" s="6" t="n">
        <v>46196</v>
      </c>
      <c r="D366" s="11" t="n">
        <f aca="false">DATE(2026,9,26)-C366</f>
        <v>95</v>
      </c>
      <c r="E366" s="2" t="s">
        <v>329</v>
      </c>
      <c r="F366" s="2" t="s">
        <v>729</v>
      </c>
      <c r="G366" s="9" t="s">
        <v>265</v>
      </c>
    </row>
    <row r="367" customFormat="false" ht="15" hidden="false" customHeight="false" outlineLevel="0" collapsed="false">
      <c r="A367" s="2" t="s">
        <v>262</v>
      </c>
      <c r="B367" s="9" t="s">
        <v>750</v>
      </c>
      <c r="C367" s="6" t="n">
        <v>46196</v>
      </c>
      <c r="D367" s="11" t="n">
        <f aca="false">DATE(2026,9,26)-C367</f>
        <v>95</v>
      </c>
      <c r="E367" s="2" t="s">
        <v>337</v>
      </c>
      <c r="F367" s="2" t="s">
        <v>729</v>
      </c>
      <c r="G367" s="9" t="s">
        <v>265</v>
      </c>
    </row>
    <row r="368" customFormat="false" ht="15" hidden="false" customHeight="false" outlineLevel="0" collapsed="false">
      <c r="A368" s="2" t="s">
        <v>262</v>
      </c>
      <c r="B368" s="9" t="s">
        <v>751</v>
      </c>
      <c r="C368" s="6" t="n">
        <v>46196</v>
      </c>
      <c r="D368" s="11" t="n">
        <f aca="false">DATE(2026,9,26)-C368</f>
        <v>95</v>
      </c>
      <c r="E368" s="2" t="s">
        <v>337</v>
      </c>
      <c r="F368" s="2" t="s">
        <v>729</v>
      </c>
      <c r="G368" s="9" t="s">
        <v>265</v>
      </c>
    </row>
    <row r="369" customFormat="false" ht="15" hidden="false" customHeight="false" outlineLevel="0" collapsed="false">
      <c r="A369" s="2" t="s">
        <v>262</v>
      </c>
      <c r="B369" s="9" t="s">
        <v>752</v>
      </c>
      <c r="C369" s="6" t="n">
        <v>46196</v>
      </c>
      <c r="D369" s="11" t="n">
        <f aca="false">DATE(2026,9,26)-C369</f>
        <v>95</v>
      </c>
      <c r="E369" s="2" t="s">
        <v>337</v>
      </c>
      <c r="F369" s="2" t="s">
        <v>729</v>
      </c>
      <c r="G369" s="9" t="s">
        <v>265</v>
      </c>
    </row>
    <row r="370" customFormat="false" ht="15" hidden="false" customHeight="false" outlineLevel="0" collapsed="false">
      <c r="A370" s="2" t="s">
        <v>262</v>
      </c>
      <c r="B370" s="9" t="s">
        <v>753</v>
      </c>
      <c r="C370" s="6" t="n">
        <v>46196</v>
      </c>
      <c r="D370" s="11" t="n">
        <f aca="false">DATE(2026,9,26)-C370</f>
        <v>95</v>
      </c>
      <c r="E370" s="2" t="s">
        <v>337</v>
      </c>
      <c r="F370" s="2" t="s">
        <v>729</v>
      </c>
      <c r="G370" s="9" t="s">
        <v>265</v>
      </c>
    </row>
    <row r="371" customFormat="false" ht="15" hidden="false" customHeight="false" outlineLevel="0" collapsed="false">
      <c r="A371" s="2" t="s">
        <v>262</v>
      </c>
      <c r="B371" s="9" t="s">
        <v>754</v>
      </c>
      <c r="C371" s="6" t="n">
        <v>46196</v>
      </c>
      <c r="D371" s="11" t="n">
        <f aca="false">DATE(2026,9,26)-C371</f>
        <v>95</v>
      </c>
      <c r="E371" s="2" t="s">
        <v>337</v>
      </c>
      <c r="F371" s="2" t="s">
        <v>729</v>
      </c>
      <c r="G371" s="9" t="s">
        <v>265</v>
      </c>
    </row>
    <row r="372" customFormat="false" ht="15" hidden="false" customHeight="false" outlineLevel="0" collapsed="false">
      <c r="A372" s="2" t="s">
        <v>262</v>
      </c>
      <c r="B372" s="9" t="s">
        <v>755</v>
      </c>
      <c r="C372" s="6" t="n">
        <v>46196</v>
      </c>
      <c r="D372" s="11" t="n">
        <f aca="false">DATE(2026,9,26)-C372</f>
        <v>95</v>
      </c>
      <c r="E372" s="2" t="s">
        <v>337</v>
      </c>
      <c r="F372" s="2" t="s">
        <v>729</v>
      </c>
      <c r="G372" s="9" t="s">
        <v>265</v>
      </c>
    </row>
    <row r="373" customFormat="false" ht="15" hidden="false" customHeight="false" outlineLevel="0" collapsed="false">
      <c r="A373" s="2" t="s">
        <v>262</v>
      </c>
      <c r="B373" s="9" t="s">
        <v>756</v>
      </c>
      <c r="C373" s="6" t="n">
        <v>46196</v>
      </c>
      <c r="D373" s="11" t="n">
        <f aca="false">DATE(2026,9,26)-C373</f>
        <v>95</v>
      </c>
      <c r="E373" s="2" t="s">
        <v>337</v>
      </c>
      <c r="F373" s="2" t="s">
        <v>729</v>
      </c>
      <c r="G373" s="9" t="s">
        <v>265</v>
      </c>
    </row>
    <row r="374" customFormat="false" ht="15" hidden="false" customHeight="false" outlineLevel="0" collapsed="false">
      <c r="A374" s="2" t="s">
        <v>262</v>
      </c>
      <c r="B374" s="9" t="s">
        <v>757</v>
      </c>
      <c r="C374" s="6" t="n">
        <v>46197</v>
      </c>
      <c r="D374" s="11" t="n">
        <f aca="false">DATE(2026,9,26)-C374</f>
        <v>94</v>
      </c>
      <c r="E374" s="2" t="s">
        <v>337</v>
      </c>
      <c r="F374" s="2" t="s">
        <v>729</v>
      </c>
      <c r="G374" s="9" t="s">
        <v>265</v>
      </c>
    </row>
    <row r="375" customFormat="false" ht="15" hidden="false" customHeight="false" outlineLevel="0" collapsed="false">
      <c r="A375" s="2" t="s">
        <v>262</v>
      </c>
      <c r="B375" s="9" t="s">
        <v>758</v>
      </c>
      <c r="C375" s="6" t="n">
        <v>46197</v>
      </c>
      <c r="D375" s="11" t="n">
        <f aca="false">DATE(2026,9,26)-C375</f>
        <v>94</v>
      </c>
      <c r="E375" s="2" t="s">
        <v>337</v>
      </c>
      <c r="F375" s="2" t="s">
        <v>729</v>
      </c>
      <c r="G375" s="9" t="s">
        <v>265</v>
      </c>
    </row>
    <row r="376" customFormat="false" ht="15" hidden="false" customHeight="false" outlineLevel="0" collapsed="false">
      <c r="A376" s="2" t="s">
        <v>262</v>
      </c>
      <c r="B376" s="9" t="s">
        <v>759</v>
      </c>
      <c r="C376" s="6" t="n">
        <v>46224</v>
      </c>
      <c r="D376" s="11" t="n">
        <f aca="false">DATE(2026,9,26)-C376</f>
        <v>67</v>
      </c>
      <c r="E376" s="2" t="s">
        <v>337</v>
      </c>
      <c r="F376" s="2" t="s">
        <v>729</v>
      </c>
      <c r="G376" s="9" t="s">
        <v>265</v>
      </c>
    </row>
    <row r="377" customFormat="false" ht="15" hidden="false" customHeight="false" outlineLevel="0" collapsed="false">
      <c r="A377" s="2" t="s">
        <v>262</v>
      </c>
      <c r="B377" s="9" t="s">
        <v>760</v>
      </c>
      <c r="C377" s="6" t="n">
        <v>46224</v>
      </c>
      <c r="D377" s="11" t="n">
        <f aca="false">DATE(2026,9,26)-C377</f>
        <v>67</v>
      </c>
      <c r="E377" s="2" t="s">
        <v>337</v>
      </c>
      <c r="F377" s="2" t="s">
        <v>729</v>
      </c>
      <c r="G377" s="9" t="s">
        <v>265</v>
      </c>
    </row>
    <row r="378" customFormat="false" ht="15" hidden="false" customHeight="false" outlineLevel="0" collapsed="false">
      <c r="A378" s="2" t="s">
        <v>262</v>
      </c>
      <c r="B378" s="9" t="s">
        <v>761</v>
      </c>
      <c r="C378" s="6" t="n">
        <v>46224</v>
      </c>
      <c r="D378" s="11" t="n">
        <f aca="false">DATE(2026,9,26)-C378</f>
        <v>67</v>
      </c>
      <c r="E378" s="2" t="s">
        <v>337</v>
      </c>
      <c r="F378" s="2" t="s">
        <v>729</v>
      </c>
      <c r="G378" s="9" t="s">
        <v>265</v>
      </c>
    </row>
    <row r="379" customFormat="false" ht="15" hidden="false" customHeight="false" outlineLevel="0" collapsed="false">
      <c r="A379" s="2" t="s">
        <v>262</v>
      </c>
      <c r="B379" s="9" t="s">
        <v>762</v>
      </c>
      <c r="C379" s="6" t="n">
        <v>46224</v>
      </c>
      <c r="D379" s="11" t="n">
        <f aca="false">DATE(2026,9,26)-C379</f>
        <v>67</v>
      </c>
      <c r="E379" s="2" t="s">
        <v>329</v>
      </c>
      <c r="F379" s="2" t="s">
        <v>729</v>
      </c>
      <c r="G379" s="9" t="s">
        <v>265</v>
      </c>
    </row>
    <row r="380" customFormat="false" ht="15" hidden="false" customHeight="false" outlineLevel="0" collapsed="false">
      <c r="A380" s="2" t="s">
        <v>262</v>
      </c>
      <c r="B380" s="9" t="s">
        <v>763</v>
      </c>
      <c r="C380" s="6" t="n">
        <v>46224</v>
      </c>
      <c r="D380" s="11" t="n">
        <f aca="false">DATE(2026,9,26)-C380</f>
        <v>67</v>
      </c>
      <c r="E380" s="2" t="s">
        <v>337</v>
      </c>
      <c r="F380" s="2" t="s">
        <v>729</v>
      </c>
      <c r="G380" s="9" t="s">
        <v>265</v>
      </c>
    </row>
    <row r="381" customFormat="false" ht="15" hidden="false" customHeight="false" outlineLevel="0" collapsed="false">
      <c r="A381" s="2" t="s">
        <v>262</v>
      </c>
      <c r="B381" s="9" t="s">
        <v>764</v>
      </c>
      <c r="C381" s="6" t="n">
        <v>46224</v>
      </c>
      <c r="D381" s="11" t="n">
        <f aca="false">DATE(2026,9,26)-C381</f>
        <v>67</v>
      </c>
      <c r="E381" s="2" t="s">
        <v>337</v>
      </c>
      <c r="F381" s="2" t="s">
        <v>729</v>
      </c>
      <c r="G381" s="9" t="s">
        <v>265</v>
      </c>
    </row>
    <row r="382" customFormat="false" ht="15" hidden="false" customHeight="false" outlineLevel="0" collapsed="false">
      <c r="A382" s="2" t="s">
        <v>262</v>
      </c>
      <c r="B382" s="9" t="s">
        <v>765</v>
      </c>
      <c r="C382" s="6" t="n">
        <v>46239</v>
      </c>
      <c r="D382" s="11" t="n">
        <f aca="false">DATE(2026,9,26)-C382</f>
        <v>52</v>
      </c>
      <c r="E382" s="2" t="s">
        <v>337</v>
      </c>
      <c r="F382" s="2" t="s">
        <v>729</v>
      </c>
      <c r="G382" s="9" t="s">
        <v>265</v>
      </c>
    </row>
    <row r="383" customFormat="false" ht="15" hidden="false" customHeight="false" outlineLevel="0" collapsed="false">
      <c r="A383" s="2" t="s">
        <v>262</v>
      </c>
      <c r="B383" s="9" t="s">
        <v>766</v>
      </c>
      <c r="C383" s="6" t="n">
        <v>46239</v>
      </c>
      <c r="D383" s="11" t="n">
        <f aca="false">DATE(2026,9,26)-C383</f>
        <v>52</v>
      </c>
      <c r="E383" s="2" t="s">
        <v>337</v>
      </c>
      <c r="F383" s="2" t="s">
        <v>729</v>
      </c>
      <c r="G383" s="9" t="s">
        <v>265</v>
      </c>
    </row>
    <row r="384" customFormat="false" ht="15" hidden="false" customHeight="false" outlineLevel="0" collapsed="false">
      <c r="A384" s="2" t="s">
        <v>262</v>
      </c>
      <c r="B384" s="9" t="s">
        <v>767</v>
      </c>
      <c r="C384" s="6" t="n">
        <v>46239</v>
      </c>
      <c r="D384" s="11" t="n">
        <f aca="false">DATE(2026,9,26)-C384</f>
        <v>52</v>
      </c>
      <c r="E384" s="2" t="s">
        <v>337</v>
      </c>
      <c r="F384" s="2" t="s">
        <v>729</v>
      </c>
      <c r="G384" s="9" t="s">
        <v>265</v>
      </c>
    </row>
    <row r="385" customFormat="false" ht="15" hidden="false" customHeight="false" outlineLevel="0" collapsed="false">
      <c r="A385" s="2" t="s">
        <v>262</v>
      </c>
      <c r="B385" s="9" t="s">
        <v>768</v>
      </c>
      <c r="C385" s="6" t="n">
        <v>46240</v>
      </c>
      <c r="D385" s="11" t="n">
        <f aca="false">DATE(2026,9,26)-C385</f>
        <v>51</v>
      </c>
      <c r="E385" s="2" t="s">
        <v>333</v>
      </c>
      <c r="F385" s="2" t="s">
        <v>729</v>
      </c>
      <c r="G385" s="9" t="s">
        <v>265</v>
      </c>
    </row>
    <row r="386" customFormat="false" ht="15" hidden="false" customHeight="false" outlineLevel="0" collapsed="false">
      <c r="A386" s="2" t="s">
        <v>262</v>
      </c>
      <c r="B386" s="9" t="s">
        <v>769</v>
      </c>
      <c r="C386" s="6" t="n">
        <v>46259</v>
      </c>
      <c r="D386" s="11" t="n">
        <f aca="false">DATE(2026,9,26)-C386</f>
        <v>32</v>
      </c>
      <c r="E386" s="2" t="s">
        <v>337</v>
      </c>
      <c r="F386" s="2" t="s">
        <v>729</v>
      </c>
      <c r="G386" s="9" t="s">
        <v>265</v>
      </c>
    </row>
    <row r="387" customFormat="false" ht="15" hidden="false" customHeight="false" outlineLevel="0" collapsed="false">
      <c r="A387" s="2" t="s">
        <v>27</v>
      </c>
      <c r="B387" s="9" t="s">
        <v>770</v>
      </c>
      <c r="C387" s="6" t="n">
        <v>46266</v>
      </c>
      <c r="D387" s="11" t="n">
        <f aca="false">DATE(2026,9,26)-C387</f>
        <v>25</v>
      </c>
      <c r="E387" s="2" t="s">
        <v>337</v>
      </c>
      <c r="F387" s="2" t="s">
        <v>771</v>
      </c>
      <c r="G387" s="9" t="s">
        <v>31</v>
      </c>
    </row>
    <row r="388" customFormat="false" ht="15" hidden="false" customHeight="false" outlineLevel="0" collapsed="false">
      <c r="A388" s="2" t="s">
        <v>27</v>
      </c>
      <c r="B388" s="9" t="s">
        <v>772</v>
      </c>
      <c r="C388" s="6" t="n">
        <v>46266</v>
      </c>
      <c r="D388" s="11" t="n">
        <f aca="false">DATE(2026,9,26)-C388</f>
        <v>25</v>
      </c>
      <c r="E388" s="2" t="s">
        <v>326</v>
      </c>
      <c r="F388" s="2" t="s">
        <v>771</v>
      </c>
      <c r="G388" s="9" t="s">
        <v>31</v>
      </c>
    </row>
    <row r="389" customFormat="false" ht="15" hidden="false" customHeight="false" outlineLevel="0" collapsed="false">
      <c r="A389" s="2" t="s">
        <v>27</v>
      </c>
      <c r="B389" s="9" t="s">
        <v>773</v>
      </c>
      <c r="C389" s="6" t="n">
        <v>46266</v>
      </c>
      <c r="D389" s="11" t="n">
        <f aca="false">DATE(2026,9,26)-C389</f>
        <v>25</v>
      </c>
      <c r="E389" s="2" t="s">
        <v>329</v>
      </c>
      <c r="F389" s="2" t="s">
        <v>771</v>
      </c>
      <c r="G389" s="9" t="s">
        <v>31</v>
      </c>
    </row>
    <row r="390" customFormat="false" ht="15" hidden="false" customHeight="false" outlineLevel="0" collapsed="false">
      <c r="A390" s="2" t="s">
        <v>27</v>
      </c>
      <c r="B390" s="9" t="s">
        <v>774</v>
      </c>
      <c r="C390" s="6" t="n">
        <v>46266</v>
      </c>
      <c r="D390" s="11" t="n">
        <f aca="false">DATE(2026,9,26)-C390</f>
        <v>25</v>
      </c>
      <c r="E390" s="2" t="s">
        <v>329</v>
      </c>
      <c r="F390" s="2" t="s">
        <v>771</v>
      </c>
      <c r="G390" s="9" t="s">
        <v>31</v>
      </c>
    </row>
    <row r="391" customFormat="false" ht="15" hidden="false" customHeight="false" outlineLevel="0" collapsed="false">
      <c r="A391" s="2" t="s">
        <v>27</v>
      </c>
      <c r="B391" s="9" t="s">
        <v>775</v>
      </c>
      <c r="C391" s="6" t="n">
        <v>46266</v>
      </c>
      <c r="D391" s="11" t="n">
        <f aca="false">DATE(2026,9,26)-C391</f>
        <v>25</v>
      </c>
      <c r="E391" s="2" t="s">
        <v>329</v>
      </c>
      <c r="F391" s="2" t="s">
        <v>771</v>
      </c>
      <c r="G391" s="9" t="s">
        <v>31</v>
      </c>
    </row>
    <row r="392" customFormat="false" ht="15" hidden="false" customHeight="false" outlineLevel="0" collapsed="false">
      <c r="A392" s="2" t="s">
        <v>27</v>
      </c>
      <c r="B392" s="9" t="s">
        <v>776</v>
      </c>
      <c r="C392" s="6" t="n">
        <v>46267</v>
      </c>
      <c r="D392" s="11" t="n">
        <f aca="false">DATE(2026,9,26)-C392</f>
        <v>24</v>
      </c>
      <c r="E392" s="2" t="s">
        <v>337</v>
      </c>
      <c r="F392" s="2" t="s">
        <v>771</v>
      </c>
      <c r="G392" s="9" t="s">
        <v>31</v>
      </c>
    </row>
    <row r="393" customFormat="false" ht="15" hidden="false" customHeight="false" outlineLevel="0" collapsed="false">
      <c r="A393" s="2" t="s">
        <v>27</v>
      </c>
      <c r="B393" s="9" t="s">
        <v>777</v>
      </c>
      <c r="C393" s="6" t="n">
        <v>46269</v>
      </c>
      <c r="D393" s="11" t="n">
        <f aca="false">DATE(2026,9,26)-C393</f>
        <v>22</v>
      </c>
      <c r="E393" s="2" t="s">
        <v>337</v>
      </c>
      <c r="F393" s="2" t="s">
        <v>771</v>
      </c>
      <c r="G393" s="9" t="s">
        <v>31</v>
      </c>
    </row>
    <row r="394" customFormat="false" ht="15" hidden="false" customHeight="false" outlineLevel="0" collapsed="false">
      <c r="A394" s="2" t="s">
        <v>27</v>
      </c>
      <c r="B394" s="9" t="s">
        <v>778</v>
      </c>
      <c r="C394" s="6" t="n">
        <v>46275</v>
      </c>
      <c r="D394" s="11" t="n">
        <f aca="false">DATE(2026,9,26)-C394</f>
        <v>16</v>
      </c>
      <c r="E394" s="2" t="s">
        <v>329</v>
      </c>
      <c r="F394" s="2" t="s">
        <v>779</v>
      </c>
      <c r="G394" s="9" t="s">
        <v>780</v>
      </c>
    </row>
    <row r="395" customFormat="false" ht="15" hidden="false" customHeight="false" outlineLevel="0" collapsed="false">
      <c r="A395" s="2" t="s">
        <v>27</v>
      </c>
      <c r="B395" s="9" t="s">
        <v>781</v>
      </c>
      <c r="C395" s="6" t="n">
        <v>46277</v>
      </c>
      <c r="D395" s="11" t="n">
        <f aca="false">DATE(2026,9,26)-C395</f>
        <v>14</v>
      </c>
      <c r="E395" s="2" t="s">
        <v>329</v>
      </c>
      <c r="F395" s="2" t="s">
        <v>771</v>
      </c>
      <c r="G395" s="9" t="s">
        <v>31</v>
      </c>
    </row>
    <row r="396" customFormat="false" ht="15" hidden="false" customHeight="false" outlineLevel="0" collapsed="false">
      <c r="A396" s="2" t="s">
        <v>27</v>
      </c>
      <c r="B396" s="9" t="s">
        <v>782</v>
      </c>
      <c r="C396" s="6" t="n">
        <v>46277</v>
      </c>
      <c r="D396" s="11" t="n">
        <f aca="false">DATE(2026,9,26)-C396</f>
        <v>14</v>
      </c>
      <c r="E396" s="2" t="s">
        <v>329</v>
      </c>
      <c r="F396" s="2" t="s">
        <v>771</v>
      </c>
      <c r="G396" s="9" t="s">
        <v>31</v>
      </c>
    </row>
    <row r="397" customFormat="false" ht="15" hidden="false" customHeight="false" outlineLevel="0" collapsed="false">
      <c r="A397" s="2" t="s">
        <v>27</v>
      </c>
      <c r="B397" s="9" t="s">
        <v>783</v>
      </c>
      <c r="C397" s="6" t="n">
        <v>46282</v>
      </c>
      <c r="D397" s="11" t="n">
        <f aca="false">DATE(2026,9,26)-C397</f>
        <v>9</v>
      </c>
      <c r="E397" s="2" t="s">
        <v>329</v>
      </c>
      <c r="F397" s="2" t="s">
        <v>779</v>
      </c>
      <c r="G397" s="9" t="s">
        <v>780</v>
      </c>
    </row>
    <row r="398" customFormat="false" ht="15" hidden="false" customHeight="false" outlineLevel="0" collapsed="false">
      <c r="A398" s="2" t="s">
        <v>27</v>
      </c>
      <c r="B398" s="9" t="s">
        <v>784</v>
      </c>
      <c r="C398" s="6" t="n">
        <v>46282</v>
      </c>
      <c r="D398" s="11" t="n">
        <f aca="false">DATE(2026,9,26)-C398</f>
        <v>9</v>
      </c>
      <c r="E398" s="2" t="s">
        <v>329</v>
      </c>
      <c r="F398" s="2" t="s">
        <v>779</v>
      </c>
      <c r="G398" s="9" t="s">
        <v>780</v>
      </c>
    </row>
    <row r="399" customFormat="false" ht="15" hidden="false" customHeight="false" outlineLevel="0" collapsed="false">
      <c r="A399" s="2" t="s">
        <v>27</v>
      </c>
      <c r="B399" s="9" t="s">
        <v>785</v>
      </c>
      <c r="C399" s="6" t="n">
        <v>46288</v>
      </c>
      <c r="D399" s="11" t="n">
        <f aca="false">DATE(2026,9,26)-C399</f>
        <v>3</v>
      </c>
      <c r="E399" s="2" t="s">
        <v>329</v>
      </c>
      <c r="F399" s="2" t="s">
        <v>779</v>
      </c>
      <c r="G399" s="9" t="s">
        <v>780</v>
      </c>
    </row>
    <row r="400" customFormat="false" ht="15" hidden="false" customHeight="false" outlineLevel="0" collapsed="false">
      <c r="A400" s="2" t="s">
        <v>27</v>
      </c>
      <c r="B400" s="9" t="s">
        <v>786</v>
      </c>
      <c r="C400" s="6" t="n">
        <v>46288</v>
      </c>
      <c r="D400" s="11" t="n">
        <f aca="false">DATE(2026,9,26)-C400</f>
        <v>3</v>
      </c>
      <c r="E400" s="2" t="s">
        <v>329</v>
      </c>
      <c r="F400" s="2" t="s">
        <v>779</v>
      </c>
      <c r="G400" s="9" t="s">
        <v>780</v>
      </c>
    </row>
    <row r="401" customFormat="false" ht="15" hidden="false" customHeight="false" outlineLevel="0" collapsed="false">
      <c r="A401" s="2" t="s">
        <v>282</v>
      </c>
      <c r="B401" s="9" t="s">
        <v>787</v>
      </c>
      <c r="C401" s="6" t="n">
        <v>46134</v>
      </c>
      <c r="D401" s="11" t="n">
        <f aca="false">DATE(2026,9,26)-C401</f>
        <v>157</v>
      </c>
      <c r="E401" s="2" t="s">
        <v>337</v>
      </c>
      <c r="F401" s="2" t="s">
        <v>788</v>
      </c>
      <c r="G401" s="9" t="s">
        <v>285</v>
      </c>
    </row>
    <row r="402" customFormat="false" ht="15" hidden="false" customHeight="false" outlineLevel="0" collapsed="false">
      <c r="A402" s="2" t="s">
        <v>282</v>
      </c>
      <c r="B402" s="9" t="s">
        <v>789</v>
      </c>
      <c r="C402" s="6" t="n">
        <v>46137</v>
      </c>
      <c r="D402" s="11" t="n">
        <f aca="false">DATE(2026,9,26)-C402</f>
        <v>154</v>
      </c>
      <c r="E402" s="2" t="s">
        <v>326</v>
      </c>
      <c r="F402" s="2" t="s">
        <v>788</v>
      </c>
      <c r="G402" s="9" t="s">
        <v>285</v>
      </c>
    </row>
    <row r="403" customFormat="false" ht="15" hidden="false" customHeight="false" outlineLevel="0" collapsed="false">
      <c r="A403" s="2" t="s">
        <v>282</v>
      </c>
      <c r="B403" s="9" t="s">
        <v>790</v>
      </c>
      <c r="C403" s="6" t="n">
        <v>46137</v>
      </c>
      <c r="D403" s="11" t="n">
        <f aca="false">DATE(2026,9,26)-C403</f>
        <v>154</v>
      </c>
      <c r="E403" s="2" t="s">
        <v>326</v>
      </c>
      <c r="F403" s="2" t="s">
        <v>788</v>
      </c>
      <c r="G403" s="9" t="s">
        <v>285</v>
      </c>
    </row>
    <row r="404" customFormat="false" ht="15" hidden="false" customHeight="false" outlineLevel="0" collapsed="false">
      <c r="A404" s="2" t="s">
        <v>282</v>
      </c>
      <c r="B404" s="9" t="s">
        <v>791</v>
      </c>
      <c r="C404" s="6" t="n">
        <v>46137</v>
      </c>
      <c r="D404" s="11" t="n">
        <f aca="false">DATE(2026,9,26)-C404</f>
        <v>154</v>
      </c>
      <c r="E404" s="2" t="s">
        <v>326</v>
      </c>
      <c r="F404" s="2" t="s">
        <v>788</v>
      </c>
      <c r="G404" s="9" t="s">
        <v>285</v>
      </c>
    </row>
  </sheetData>
  <autoFilter ref="A1:G404"/>
  <hyperlinks>
    <hyperlink ref="B2" r:id="rId1" display="970044505662581"/>
    <hyperlink ref="G2" r:id="rId2" display="https://alfabetinho.com.br/produtos2026"/>
    <hyperlink ref="B3" r:id="rId3" display="1508270277503719"/>
    <hyperlink ref="G3" r:id="rId4" display="https://alfabetinho.com.br/produtos2026"/>
    <hyperlink ref="B4" r:id="rId5" display="1620023782401206"/>
    <hyperlink ref="G4" r:id="rId6" display="https://alfabetinho.com.br/produtos2026"/>
    <hyperlink ref="B5" r:id="rId7" display="3172469686475289"/>
    <hyperlink ref="G5" r:id="rId8" display="https://alfabetinho.com.br/produtos2026"/>
    <hyperlink ref="B6" r:id="rId9" display="2247855422684854"/>
    <hyperlink ref="G6" r:id="rId10" display="https://alfabetinho.com.br/produtos2026"/>
    <hyperlink ref="B7" r:id="rId11" display="1878006972875926"/>
    <hyperlink ref="G7" r:id="rId12" display="https://alfabetinho.com.br/produtos2026"/>
    <hyperlink ref="B8" r:id="rId13" display="1008902684916114"/>
    <hyperlink ref="G8" r:id="rId14" display="https://alfabetinho.com.br/produtos2026"/>
    <hyperlink ref="B9" r:id="rId15" display="27007775222166222"/>
    <hyperlink ref="G9" r:id="rId16" display="https://clubealfabetinho.com.br/produto/jogo-da-velha-da-multiplicacao/"/>
    <hyperlink ref="B10" r:id="rId17" display="1416304743675998"/>
    <hyperlink ref="G10" r:id="rId18" display="https://clubealfabetinho.com.br/produto/painel-interativo-ch-lh-e-nh/"/>
    <hyperlink ref="B11" r:id="rId19" display="1084074807856178"/>
    <hyperlink ref="G11" r:id="rId20" display="https://ballerinalab.com.br/ballet-das-princesas"/>
    <hyperlink ref="B12" r:id="rId21" display="4533113893677151"/>
    <hyperlink ref="G12" r:id="rId22" display="https://ballerinalab.com.br/ballet-das-princesas"/>
    <hyperlink ref="B13" r:id="rId23" display="1384391013839147"/>
    <hyperlink ref="G13" r:id="rId24" display="https://ballerinalab.com.br/biblioteca-musical-ballet"/>
    <hyperlink ref="B14" r:id="rId25" display="2172804016621647"/>
    <hyperlink ref="G14" r:id="rId26" display="https://ballerinalab.com.br/biblioteca-musical-ballet"/>
    <hyperlink ref="B15" r:id="rId27" display="899034949625160"/>
    <hyperlink ref="G15" r:id="rId28" display="https://ballerinalab.com.br/ballet-das-princesas"/>
    <hyperlink ref="B16" r:id="rId29" display="2105098220397807"/>
    <hyperlink ref="G16" r:id="rId30" display="https://ballerinalab.com.br/ballet-das-princesas"/>
    <hyperlink ref="B17" r:id="rId31" display="2153301909395556"/>
    <hyperlink ref="G17" r:id="rId32" display="https://ballerinalab.com.br/biblioteca-musical-ballet"/>
    <hyperlink ref="B18" r:id="rId33" display="28048326681493140"/>
    <hyperlink ref="G18" r:id="rId34" display="https://ballerinalab.com.br/ballet-das-princesas"/>
    <hyperlink ref="B19" r:id="rId35" display="2559028787897214"/>
    <hyperlink ref="G19" r:id="rId36" display="https://ballerinalab.com.br/ballet-das-princesas"/>
    <hyperlink ref="B20" r:id="rId37" display="1402604925127990"/>
    <hyperlink ref="G20" r:id="rId38" display="https://ballerinalab.com.br/biblioteca-musical-ballet"/>
    <hyperlink ref="B21" r:id="rId39" display="910225078377401"/>
    <hyperlink ref="G21" r:id="rId40" display="https://ballerinalab.com.br/ballet-das-princesas"/>
    <hyperlink ref="B22" r:id="rId41" display="1818372329523797"/>
    <hyperlink ref="G22" r:id="rId42" display="https://ballerinalab.com.br/ballet-das-princesas"/>
    <hyperlink ref="B23" r:id="rId43" display="3586819454803209"/>
    <hyperlink ref="G23" r:id="rId44" display="https://ballerinalab.com.br/biblioteca-musical-ballet"/>
    <hyperlink ref="B24" r:id="rId45" display="901370859407571"/>
    <hyperlink ref="G24" r:id="rId46" display="https://ballerinalab.com.br/biblioteca-musical-ballet"/>
    <hyperlink ref="B25" r:id="rId47" display="2293675854732136"/>
    <hyperlink ref="G25" r:id="rId48" display="https://ballerinalab.com.br/biblioteca-musical-ballet"/>
    <hyperlink ref="B26" r:id="rId49" display="1609143730696444"/>
    <hyperlink ref="G26" r:id="rId50" display="https://ballerinalab.com.br/cantigas-da-bailarina"/>
    <hyperlink ref="B27" r:id="rId51" display="1343898594170874"/>
    <hyperlink ref="G27" r:id="rId52" display="https://ballerinalab.com.br/ballet-das-princesas"/>
    <hyperlink ref="B28" r:id="rId53" display="1893140328314743"/>
    <hyperlink ref="G28" r:id="rId54" display="https://ballerinalab.com.br/cantigas-da-bailarina"/>
    <hyperlink ref="B29" r:id="rId55" display="1788079548857559"/>
    <hyperlink ref="G29" r:id="rId56" display="https://ballerinalab.com.br/cantigas-da-bailarina"/>
    <hyperlink ref="B30" r:id="rId57" display="2263316144514045"/>
    <hyperlink ref="G30" r:id="rId58" display="https://ballerinalab.com.br/cantigas-da-bailarina"/>
    <hyperlink ref="B31" r:id="rId59" display="1376856734652671"/>
    <hyperlink ref="G31" r:id="rId60" display="https://ballerinalab.com.br/ballet-das-princesas"/>
    <hyperlink ref="B32" r:id="rId61" display="1375741571331643"/>
    <hyperlink ref="G32" r:id="rId62" display="https://ballerinalab.com.br/ballet-das-princesas"/>
    <hyperlink ref="B33" r:id="rId63" display="2215363675975312"/>
    <hyperlink ref="G33" r:id="rId64" display="https://ballerinalab.com.br/cantigas-da-bailarina"/>
    <hyperlink ref="B34" r:id="rId65" display="2248461005696502"/>
    <hyperlink ref="G34" r:id="rId66" display="https://ballerinalab.com.br/ballet-das-princesas"/>
    <hyperlink ref="B35" r:id="rId67" display="1589360189243391"/>
    <hyperlink ref="G35" r:id="rId68" display="https://ballerinalab.com.br/ballet-das-princesas"/>
    <hyperlink ref="B36" r:id="rId69" display="2040343446596995"/>
    <hyperlink ref="G36" r:id="rId70" display="https://ballerinalab.com.br/ballet-das-princesas"/>
    <hyperlink ref="B37" r:id="rId71" display="2542961722886698"/>
    <hyperlink ref="G37" r:id="rId72" display="https://ballerinalab.com.br/biblioteca-musical-ballet"/>
    <hyperlink ref="B38" r:id="rId73" display="2075213203383609"/>
    <hyperlink ref="G38" r:id="rId74" display="https://ballerinalab.com.br/ballet-das-princesas"/>
    <hyperlink ref="B39" r:id="rId75" display="1896609284648902"/>
    <hyperlink ref="G39" r:id="rId76" display="https://ballerinalab.com.br/cantigas-da-bailarina"/>
    <hyperlink ref="B40" r:id="rId77" display="2471097866730595"/>
    <hyperlink ref="G40" r:id="rId78" display="https://ballerinalab.com.br/cantigas-da-bailarina"/>
    <hyperlink ref="B41" r:id="rId79" display="1596978708736824"/>
    <hyperlink ref="G41" r:id="rId80" display="https://ballerinalab.com.br/cantigas-da-bailarina"/>
    <hyperlink ref="B42" r:id="rId81" display="1069936788731181"/>
    <hyperlink ref="G42" r:id="rId82" display="https://ballerinalab.com.br/ballet-das-princesas"/>
    <hyperlink ref="B43" r:id="rId83" display="1244590731133551"/>
    <hyperlink ref="G43" r:id="rId84" display="https://ballerinalab.com.br/cantigas-da-bailarina"/>
    <hyperlink ref="B44" r:id="rId85" display="1069228155500070"/>
    <hyperlink ref="G44" r:id="rId86" display="https://ballerinalab.com.br/cantigas-da-bailarina"/>
    <hyperlink ref="B45" r:id="rId87" display="941791291734829"/>
    <hyperlink ref="G45" r:id="rId88" display="https://ballerinalab.com.br/cantigas-da-bailarina"/>
    <hyperlink ref="B46" r:id="rId89" display="1616937039829779"/>
    <hyperlink ref="G46" r:id="rId90" display="https://ballerinalab.com.br/cantigas-da-bailarina"/>
    <hyperlink ref="B47" r:id="rId91" display="2162500361279588"/>
    <hyperlink ref="G47" r:id="rId92" display="https://ballerinalab.com.br/cantigas-da-bailarina"/>
    <hyperlink ref="B48" r:id="rId93" display="3469711586522153"/>
    <hyperlink ref="G48" r:id="rId94" display="https://ballerinalab.com.br/cantigas-da-bailarina"/>
    <hyperlink ref="B49" r:id="rId95" display="3969590060015031"/>
    <hyperlink ref="G49" r:id="rId96" display="https://ballerinalab.com.br/cantigas-da-bailarina"/>
    <hyperlink ref="B50" r:id="rId97" display="1071789299228156"/>
    <hyperlink ref="G50" r:id="rId98" display="https://ballerinalab.com.br/cantigas-da-bailarina"/>
    <hyperlink ref="B51" r:id="rId99" display="1808375023485352"/>
    <hyperlink ref="G51" r:id="rId100" display="https://ballerinalab.com.br/cantigas-da-bailarina"/>
    <hyperlink ref="B52" r:id="rId101" display="1110308694763870"/>
    <hyperlink ref="G52" r:id="rId102" display="https://ballerinalab.com.br/cantigas-da-bailarina"/>
    <hyperlink ref="B53" r:id="rId103" display="2501108650313455"/>
    <hyperlink ref="G53" r:id="rId104" display="https://ballerinalab.com.br/cantigas-da-bailarina"/>
    <hyperlink ref="B54" r:id="rId105" display="1989714411707913"/>
    <hyperlink ref="G54" r:id="rId106" display="https://ballerinalab.com.br/ballet-das-princesas"/>
    <hyperlink ref="B55" r:id="rId107" display="2123943254865379"/>
    <hyperlink ref="G55" r:id="rId108" display="https://ballerinalab.com.br/cantigas-da-bailarina"/>
    <hyperlink ref="B56" r:id="rId109" display="1415744880484095"/>
    <hyperlink ref="G56" r:id="rId110" display="https://ballerinalab.com.br/biblioteca-musical-ballet"/>
    <hyperlink ref="B57" r:id="rId111" display="1330980585573784"/>
    <hyperlink ref="G57" r:id="rId112" display="https://ballerinalab.com.br/ballet-das-princesas"/>
    <hyperlink ref="B58" r:id="rId113" display="1060960756736105"/>
    <hyperlink ref="G58" r:id="rId114" display="https://ballerinalab.com.br/cantigas-da-bailarina"/>
    <hyperlink ref="B59" r:id="rId115" display="1067085759637933"/>
    <hyperlink ref="G59" r:id="rId116" display="https://ballerinalab.com.br/ballet-das-princesas"/>
    <hyperlink ref="B60" r:id="rId117" display="2096936700940920"/>
    <hyperlink ref="G60" r:id="rId118" display="https://ballerinalab.com.br/ballet-das-princesas"/>
    <hyperlink ref="B61" r:id="rId119" display="1585010483317429"/>
    <hyperlink ref="G61" r:id="rId120" display="https://ballerinalab.com.br/biblioteca-musical-ballet"/>
    <hyperlink ref="B62" r:id="rId121" display="1679920184133168"/>
    <hyperlink ref="G62" r:id="rId122" display="https://ballerinalab.com.br/ballet-das-princesas"/>
    <hyperlink ref="B63" r:id="rId123" display="1380488494167012"/>
    <hyperlink ref="G63" r:id="rId124" display="https://ballerinalab.com.br/ballet-das-princesas"/>
    <hyperlink ref="B64" r:id="rId125" display="1834880947651826"/>
    <hyperlink ref="G64" r:id="rId126" display="https://ballerinalab.com.br/cantigas-da-bailarina"/>
    <hyperlink ref="B65" r:id="rId127" display="1756502645540449"/>
    <hyperlink ref="G65" r:id="rId128" display="https://ballerinalab.com.br/biblioteca-musical-ballet"/>
    <hyperlink ref="B66" r:id="rId129" display="1405032100992928"/>
    <hyperlink ref="G66" r:id="rId130" display="https://ballerinalab.com.br/cantigas-da-bailarina"/>
    <hyperlink ref="B67" r:id="rId131" display="2326453474814117"/>
    <hyperlink ref="G67" r:id="rId132" display="https://ballerinalab.com.br/cantigas-da-bailarina"/>
    <hyperlink ref="B68" r:id="rId133" display="4181817605441911"/>
    <hyperlink ref="G68" r:id="rId134" display="https://ballerinalab.com.br/biblioteca-musical-ballet"/>
    <hyperlink ref="B69" r:id="rId135" display="2090322998287351"/>
    <hyperlink ref="G69" r:id="rId136" display="https://ballerinalab.com.br/cantigas-da-bailarina"/>
    <hyperlink ref="B70" r:id="rId137" display="1386313229749168"/>
    <hyperlink ref="G70" r:id="rId138" display="https://ballerinalab.com.br/biblioteca-musical-ballet"/>
    <hyperlink ref="B71" r:id="rId139" display="1044088031761413"/>
    <hyperlink ref="G71" r:id="rId140" display="https://ballerinalab.com.br/biblioteca-musical-ballet"/>
    <hyperlink ref="B72" r:id="rId141" display="1108047615136200"/>
    <hyperlink ref="G72" r:id="rId142" display="https://ballerinalab.com.br/enciclopedia-ballet-infantil/"/>
    <hyperlink ref="B73" r:id="rId143" display="1046405885110988"/>
    <hyperlink ref="G73" r:id="rId144" display="https://ballerinalab.com.br/ballerina-app/"/>
    <hyperlink ref="B74" r:id="rId145" display="1996986517681584"/>
    <hyperlink ref="G74" r:id="rId146" display="https://ballerinalab.com.br/ballerina-app/"/>
    <hyperlink ref="B75" r:id="rId147" display="1998407924066551"/>
    <hyperlink ref="G75" r:id="rId148" display="https://ballerinalab.com.br/enciclopedia-ballet-infantil/"/>
    <hyperlink ref="B76" r:id="rId149" display="1106748048413331"/>
    <hyperlink ref="G76" r:id="rId150" display="https://ballerinalab.com.br/enciclopedia-ballet-infantil/"/>
    <hyperlink ref="B77" r:id="rId151" display="1614953096746854"/>
    <hyperlink ref="G77" r:id="rId152" display="https://ballerinalab.com.br/enciclopedia-ballet-infantil/"/>
    <hyperlink ref="B78" r:id="rId153" display="1588174286680229"/>
    <hyperlink ref="G78" r:id="rId154" display="https://ballerinalab.com.br/enciclopedia-ballet-infantil/"/>
    <hyperlink ref="B79" r:id="rId155" display="1254899126778211"/>
    <hyperlink ref="G79" r:id="rId156" display="https://ballerinalab.com.br/enciclopedia-ballet-infantil/"/>
    <hyperlink ref="B80" r:id="rId157" display="1094513012933910"/>
    <hyperlink ref="G80" r:id="rId158" display="https://ballerinalab.com.br/enciclopedia-ballet-infantil/"/>
    <hyperlink ref="B81" r:id="rId159" display="2219073155603183"/>
    <hyperlink ref="G81" r:id="rId160" display="https://bonecas-de-papel.vercel.app/"/>
    <hyperlink ref="B82" r:id="rId161" display="1819222026117120"/>
    <hyperlink ref="G82" r:id="rId162" display="https://bonecas-de-papel.vercel.app/"/>
    <hyperlink ref="B83" r:id="rId163" display="1019791050809419"/>
    <hyperlink ref="G83" r:id="rId164" display="https://bonecas-de-papel.vercel.app/"/>
    <hyperlink ref="B84" r:id="rId165" display="1653520489468352"/>
    <hyperlink ref="G84" r:id="rId166" display="https://bonecas-de-papel.vercel.app/"/>
    <hyperlink ref="B85" r:id="rId167" display="1349476204060151"/>
    <hyperlink ref="G85" r:id="rId168" display="https://bonecas-de-papel.vercel.app/"/>
    <hyperlink ref="B86" r:id="rId169" display="2566024487239279"/>
    <hyperlink ref="G86" r:id="rId170" display="https://bonecas-de-papel.vercel.app/"/>
    <hyperlink ref="B87" r:id="rId171" display="3164228483966301"/>
    <hyperlink ref="G87" r:id="rId172" display="https://bonecas-de-papel.vercel.app/"/>
    <hyperlink ref="B88" r:id="rId173" display="2094701004810702"/>
    <hyperlink ref="G88" r:id="rId174" display="https://bonecas-de-papel.vercel.app/"/>
    <hyperlink ref="B89" r:id="rId175" display="28673785225560791"/>
    <hyperlink ref="G89" r:id="rId176" display="https://brumdance.com.br/3em1/"/>
    <hyperlink ref="B90" r:id="rId177" display="1051545630835557"/>
    <hyperlink ref="G90" r:id="rId178" display="https://brumdance.com.br/3em1/"/>
    <hyperlink ref="B91" r:id="rId179" display="992686450320863"/>
    <hyperlink ref="G91" r:id="rId180" display="https://clubedapedagogia.com/"/>
    <hyperlink ref="B92" r:id="rId181" display="2438959209915196"/>
    <hyperlink ref="G92" r:id="rId182" display="https://clubedapedagogia.com/"/>
    <hyperlink ref="B93" r:id="rId183" display="1650099553786594"/>
    <hyperlink ref="G93" r:id="rId184" display="https://clubedapedagogia.com/"/>
    <hyperlink ref="B94" r:id="rId185" display="1469496018547144"/>
    <hyperlink ref="G94" r:id="rId186" display="https://clubedapedagogia.com/"/>
    <hyperlink ref="B95" r:id="rId187" display="1084116953997957"/>
    <hyperlink ref="G95" r:id="rId188" display="https://clubedapedagogia.com/"/>
    <hyperlink ref="B96" r:id="rId189" display="1761973048164627"/>
    <hyperlink ref="G96" r:id="rId190" display="https://clubedapedagogia.com/"/>
    <hyperlink ref="B97" r:id="rId191" display="1075984931690137"/>
    <hyperlink ref="G97" r:id="rId192" display="https://clubedapedagogia.com/"/>
    <hyperlink ref="B98" r:id="rId193" display="1128537856510742"/>
    <hyperlink ref="G98" r:id="rId194" display="https://clubedapedagogia.com/"/>
    <hyperlink ref="B99" r:id="rId195" display="1402047055369641"/>
    <hyperlink ref="G99" r:id="rId196" display="https://clubedapedagogia.com/"/>
    <hyperlink ref="B100" r:id="rId197" display="1622120696255635"/>
    <hyperlink ref="G100" r:id="rId198" display="https://clubedapedagogia.com/"/>
    <hyperlink ref="B101" r:id="rId199" display="1025610090508210"/>
    <hyperlink ref="G101" r:id="rId200" display="https://clubedapedagogia.com/"/>
    <hyperlink ref="B102" r:id="rId201" display="1701055864294606"/>
    <hyperlink ref="G102" r:id="rId202" display="https://clubedapedagogia.com/"/>
    <hyperlink ref="B103" r:id="rId203" display="953853111114050"/>
    <hyperlink ref="G103" r:id="rId204" display="https://clubedapedagogia.com/"/>
    <hyperlink ref="B104" r:id="rId205" display="1803029857779771"/>
    <hyperlink ref="G104" r:id="rId206" display="https://clubedapedagogia.com/"/>
    <hyperlink ref="B105" r:id="rId207" display="2155571435280165"/>
    <hyperlink ref="G105" r:id="rId208" display="https://atividade-cursiva.netlify.app/"/>
    <hyperlink ref="B106" r:id="rId209" display="1023550673675761"/>
    <hyperlink ref="G106" r:id="rId210" display="https://patriciacavalcante.com.br/combo-10-cursos-de-danca-do-ventre2"/>
    <hyperlink ref="B107" r:id="rId211" display="2050651032506961"/>
    <hyperlink ref="G107" r:id="rId212" display="https://patriciacavalcante.com.br/combo-10-cursos-de-danca-do-ventre2"/>
    <hyperlink ref="B108" r:id="rId213" display="1014726484321846"/>
    <hyperlink ref="G108" r:id="rId214" display="https://patriciacavalcante.com.br/combo-10-cursos-de-danca-do-ventre2"/>
    <hyperlink ref="B109" r:id="rId215" display="3513877608789929"/>
    <hyperlink ref="G109" r:id="rId216" display="https://patriciacavalcante.com.br/combo-10-cursos-de-danca-do-ventre2"/>
    <hyperlink ref="B110" r:id="rId217" display="1529360855477327"/>
    <hyperlink ref="G110" r:id="rId218" display="https://patriciacavalcante.com.br/combo-10-cursos-de-danca-do-ventre2"/>
    <hyperlink ref="B111" r:id="rId219" display="1709135547148649"/>
    <hyperlink ref="G111" r:id="rId220" display="https://dancadosnoivosonline.com/"/>
    <hyperlink ref="B112" r:id="rId221" display="663145749976219"/>
    <hyperlink ref="G112" r:id="rId222" display="https://dancadosnoivosonline.com/"/>
    <hyperlink ref="B113" r:id="rId223" display="1428634915161518"/>
    <hyperlink ref="G113" r:id="rId224" display="https://dancadosnoivosonline.com/"/>
    <hyperlink ref="B114" r:id="rId225" display="3577644852403387"/>
    <hyperlink ref="G114" r:id="rId226" display="https://dicionarioemmovimento.site/"/>
    <hyperlink ref="B115" r:id="rId227" display="3101792046818377"/>
    <hyperlink ref="G115" r:id="rId228" display="https://dicionarioemmovimento.site/"/>
    <hyperlink ref="B116" r:id="rId229" display="1752471909324679"/>
    <hyperlink ref="G116" r:id="rId230" display="https://dicionarioemmovimento.site/"/>
    <hyperlink ref="B117" r:id="rId231" display="1959068471436926"/>
    <hyperlink ref="G117" r:id="rId232" display="https://dicionarioemmovimento.site/"/>
    <hyperlink ref="B118" r:id="rId233" display="2084315022150331"/>
    <hyperlink ref="G118" r:id="rId234" display="https://comportamentopositivo.com/cuidando-lar/"/>
    <hyperlink ref="B119" r:id="rId235" display="4313356702141441"/>
    <hyperlink ref="G119" r:id="rId236" display="https://comportamentopositivo.com/cuidando-lar/"/>
    <hyperlink ref="B120" r:id="rId237" display="2043537339847569"/>
    <hyperlink ref="G120" r:id="rId238" display="https://comportamentopositivo.com/cuidando-lar/"/>
    <hyperlink ref="B121" r:id="rId239" display="983084258044479"/>
    <hyperlink ref="G121" r:id="rId240" display="https://comportamentopositivo.com/disciplina/"/>
    <hyperlink ref="B122" r:id="rId241" display="1340237451316387"/>
    <hyperlink ref="G122" r:id="rId242" display="https://comportamentopositivo.com/disciplina/"/>
    <hyperlink ref="B123" r:id="rId243" display="1234675865273221"/>
    <hyperlink ref="G123" r:id="rId244" display="https://comportamentopositivo.com/cuidando-lar/"/>
    <hyperlink ref="B124" r:id="rId245" display="1078549494605904"/>
    <hyperlink ref="G124" r:id="rId246" display="https://comportamentopositivo.com/cuidando-lar/"/>
    <hyperlink ref="B125" r:id="rId247" display="1674542433785008"/>
    <hyperlink ref="G125" r:id="rId248" display="https://comportamentopositivo.com/cuidando-lar/"/>
    <hyperlink ref="B126" r:id="rId249" display="4500777043572247"/>
    <hyperlink ref="G126" r:id="rId250" display="https://comportamentopositivo.com/casa-organizada/"/>
    <hyperlink ref="B127" r:id="rId251" display="965646246246956"/>
    <hyperlink ref="G127" r:id="rId252" display="https://comportamentopositivo.com/casa-organizada/"/>
    <hyperlink ref="B128" r:id="rId253" display="2037134810573262"/>
    <hyperlink ref="G128" r:id="rId254" display="https://comportamentopositivo.com/casa-organizada/"/>
    <hyperlink ref="B129" r:id="rId255" display="1351973586908494"/>
    <hyperlink ref="G129" r:id="rId256" display="https://comportamentopositivo.com/casa-organizada/"/>
    <hyperlink ref="B130" r:id="rId257" display="1518460689763394"/>
    <hyperlink ref="G130" r:id="rId258" display="https://comportamentopositivo.com/disciplina/"/>
    <hyperlink ref="B131" r:id="rId259" display="2504782846706348"/>
    <hyperlink ref="G131" r:id="rId260" display="https://comportamentopositivo.com/disciplina/"/>
    <hyperlink ref="B132" r:id="rId261" display="1006892872066462"/>
    <hyperlink ref="G132" r:id="rId262" display="https://comportamentopositivo.com/disciplina/"/>
    <hyperlink ref="B133" r:id="rId263" display="4326773734319632"/>
    <hyperlink ref="G133" r:id="rId264" display="https://comportamentopositivo.com/disciplina/"/>
    <hyperlink ref="B134" r:id="rId265" display="1335845408102698"/>
    <hyperlink ref="G134" r:id="rId266" display="https://comportamentopositivo.com/disciplina/"/>
    <hyperlink ref="B135" r:id="rId267" display="1436793781609188"/>
    <hyperlink ref="G135" r:id="rId268" display="https://comportamentopositivo.com/disciplina/"/>
    <hyperlink ref="B136" r:id="rId269" display="3212393068956172"/>
    <hyperlink ref="G136" r:id="rId270" display="https://comportamentopositivo.com/disciplina/"/>
    <hyperlink ref="B137" r:id="rId271" display="1099849372584821"/>
    <hyperlink ref="G137" r:id="rId272" display="https://comportamentopositivo.com/disciplina/"/>
    <hyperlink ref="B138" r:id="rId273" display="2044859479501868"/>
    <hyperlink ref="G138" r:id="rId274" display="https://comportamentopositivo.com/disciplina/"/>
    <hyperlink ref="B139" r:id="rId275" display="28184033554621397"/>
    <hyperlink ref="G139" r:id="rId276" display="https://comportamentopositivo.com/disciplina/"/>
    <hyperlink ref="B140" r:id="rId277" display="2914580605587325"/>
    <hyperlink ref="G140" r:id="rId278" display="https://comportamentopositivo.com/disciplina/"/>
    <hyperlink ref="B141" r:id="rId279" display="1064507922644275"/>
    <hyperlink ref="G141" r:id="rId280" display="https://quiz.forrozeirodozero.com.br/"/>
    <hyperlink ref="B142" r:id="rId281" display="1871711103791552"/>
    <hyperlink ref="G142" r:id="rId282" display="https://quiz.forrozeirodozero.com.br/"/>
    <hyperlink ref="B143" r:id="rId283" display="2276166409851151"/>
    <hyperlink ref="G143" r:id="rId284" display="https://quiz.forrozeirodozero.com.br/"/>
    <hyperlink ref="B144" r:id="rId285" display="1089530426830348"/>
    <hyperlink ref="G144" r:id="rId286" display="https://quiz.forrozeirodozero.com.br/"/>
    <hyperlink ref="B145" r:id="rId287" display="1085387350639507"/>
    <hyperlink ref="G145" r:id="rId288" display="https://quiz.forrozeirodozero.com.br/"/>
    <hyperlink ref="B146" r:id="rId289" display="1201395642203302"/>
    <hyperlink ref="G146" r:id="rId290" display="https://quiz.forrozeirodozero.com.br/"/>
    <hyperlink ref="B147" r:id="rId291" display="27761667813515346"/>
    <hyperlink ref="G147" r:id="rId292" display="https://quiz.forrozeirodozero.com.br/"/>
    <hyperlink ref="B148" r:id="rId293" display="4075141209445501"/>
    <hyperlink ref="G148" r:id="rId294" display="https://quiz.forrozeirodozero.com.br/"/>
    <hyperlink ref="B149" r:id="rId295" display="1557926705828769"/>
    <hyperlink ref="G149" r:id="rId296" display="https://quiz.forrozeirodozero.com.br/"/>
    <hyperlink ref="B150" r:id="rId297" display="1625150095668192"/>
    <hyperlink ref="G150" r:id="rId298" display="https://quiz.forrozeirodozero.com.br/"/>
    <hyperlink ref="B151" r:id="rId299" display="2713282239113071"/>
    <hyperlink ref="G151" r:id="rId300" display="https://quiz.forrozeirodozero.com.br/"/>
    <hyperlink ref="B152" r:id="rId301" display="2589249601594866"/>
    <hyperlink ref="G152" r:id="rId302" display="https://quiz.forrozeirodozero.com.br/"/>
    <hyperlink ref="B153" r:id="rId303" display="29052447627691215"/>
    <hyperlink ref="G153" r:id="rId304" display="https://quiz.forrozeirodozero.com.br/"/>
    <hyperlink ref="B154" r:id="rId305" display="1098691432830404"/>
    <hyperlink ref="G154" r:id="rId306" display="https://quiz.forrozeirodozero.com.br/"/>
    <hyperlink ref="B155" r:id="rId307" display="2082595555667614"/>
    <hyperlink ref="G155" r:id="rId308" display="https://quiz.forrozeirodozero.com.br/"/>
    <hyperlink ref="B156" r:id="rId309" display="2292096908283892"/>
    <hyperlink ref="G156" r:id="rId310" display="https://quiz.forrozeirodozero.com.br/"/>
    <hyperlink ref="B157" r:id="rId311" display="1043706595037851"/>
    <hyperlink ref="G157" r:id="rId312" display="https://quiz.forrozeirodozero.com.br/"/>
    <hyperlink ref="B158" r:id="rId313" display="1445256800762230"/>
    <hyperlink ref="G158" r:id="rId314" display="https://quiz.forrozeirodozero.com.br/"/>
    <hyperlink ref="B159" r:id="rId315" display="1739012743884370"/>
    <hyperlink ref="G159" r:id="rId316" display="https://quiz.forrozeirodozero.com.br/"/>
    <hyperlink ref="B160" r:id="rId317" display="2034020313900169"/>
    <hyperlink ref="G160" r:id="rId318" display="https://quiz.forrozeirodozero.com.br/"/>
    <hyperlink ref="B161" r:id="rId319" display="1474776764461499"/>
    <hyperlink ref="G161" r:id="rId320" display="https://quiz.forrozeirodozero.com.br/"/>
    <hyperlink ref="B162" r:id="rId321" display="2071407030405720"/>
    <hyperlink ref="G162" r:id="rId322" display="https://quiz.forrozeirodozero.com.br/"/>
    <hyperlink ref="B163" r:id="rId323" display="1326189757252578"/>
    <hyperlink ref="G163" r:id="rId324" display="https://quiz.forrozeirodozero.com.br/"/>
    <hyperlink ref="B164" r:id="rId325" display="1454688826717156"/>
    <hyperlink ref="G164" r:id="rId326" display="https://quiz.forrozeirodozero.com.br/"/>
    <hyperlink ref="B165" r:id="rId327" display="2207872679942664"/>
    <hyperlink ref="G165" r:id="rId328" display="https://quiz.forrozeirodozero.com.br/"/>
    <hyperlink ref="B166" r:id="rId329" display="2153243541931479"/>
    <hyperlink ref="G166" r:id="rId330" display="https://quiz.forrozeirodozero.com.br/"/>
    <hyperlink ref="B167" r:id="rId331" display="3008211019532562"/>
    <hyperlink ref="G167" r:id="rId332" display="https://quiz.forrozeirodozero.com.br/"/>
    <hyperlink ref="B168" r:id="rId333" display="2346539459452099"/>
    <hyperlink ref="G168" r:id="rId334" display="https://quiz.forrozeirodozero.com.br/"/>
    <hyperlink ref="B169" r:id="rId335" display="1707449480261174"/>
    <hyperlink ref="G169" r:id="rId336" display="https://pedescalcomkt.com.br/forro-zero/"/>
    <hyperlink ref="B170" r:id="rId337" display="1009562804937378"/>
    <hyperlink ref="G170" r:id="rId338" display="https://pedescalcomkt.com.br/forro-zero/"/>
    <hyperlink ref="B171" r:id="rId339" display="994212219674791"/>
    <hyperlink ref="G171" r:id="rId340" display="https://pedescalcomkt.com.br/forro-zero/"/>
    <hyperlink ref="B172" r:id="rId341" display="1052688427310030"/>
    <hyperlink ref="G172" r:id="rId342" display="https://pedescalcomkt.com.br/forro-zero/"/>
    <hyperlink ref="B173" r:id="rId343" display="1479418289940655"/>
    <hyperlink ref="G173" r:id="rId344" display="https://pedescalcomkt.com.br/forro-zero/"/>
    <hyperlink ref="B174" r:id="rId345" display="2735190620155666"/>
    <hyperlink ref="G174" r:id="rId346" display="https://pay.hotmart.com/N104191293B?checkoutMode=10"/>
    <hyperlink ref="B175" r:id="rId347" display="951847410995767"/>
    <hyperlink ref="G175" r:id="rId348" display="https://educacaofisicaead.com.br/"/>
    <hyperlink ref="B176" r:id="rId349" display="1637960077482446"/>
    <hyperlink ref="G176" r:id="rId350" display="https://educacaofisicaead.com.br/"/>
    <hyperlink ref="B177" r:id="rId351" display="2107614389816102"/>
    <hyperlink ref="G177" r:id="rId352" display="https://hotm.io/anatomiaeb"/>
    <hyperlink ref="B178" r:id="rId353" display="1000916325623484"/>
    <hyperlink ref="G178" r:id="rId354" display="https://hotm.io/anatomiaeb"/>
    <hyperlink ref="B179" r:id="rId355" display="1324735002591915"/>
    <hyperlink ref="G179" r:id="rId356" display="https://pay.hotmart.com/B104642923S?checkoutMode=10"/>
    <hyperlink ref="B180" r:id="rId357" display="2841496792879820"/>
    <hyperlink ref="G180" r:id="rId358" display="https://pay.hotmart.com/R104787280P?checkoutMode=10"/>
    <hyperlink ref="B181" r:id="rId359" display="1301578521720512"/>
    <hyperlink ref="G181" r:id="rId360" display="https://pay.hotmart.com/R104787280P?checkoutMode=10"/>
    <hyperlink ref="B182" r:id="rId361" display="27361101403554082"/>
    <hyperlink ref="G182" r:id="rId362" display="https://pay.hotmart.com/S104286412R?checkoutMode=10"/>
    <hyperlink ref="B183" r:id="rId363" display="1528233572176962"/>
    <hyperlink ref="G183" r:id="rId364" display="https://hotm.io/anatomiaeb"/>
    <hyperlink ref="B184" r:id="rId365" display="1332129301911879"/>
    <hyperlink ref="G184" r:id="rId366" display="https://pay.hotmart.com/B104642923S?checkoutMode=10"/>
    <hyperlink ref="B185" r:id="rId367" display="1579963770462439"/>
    <hyperlink ref="G185" r:id="rId368" display="https://educacaofisicaead.com.br/alongamento/"/>
    <hyperlink ref="B186" r:id="rId369" display="1650208813393401"/>
    <hyperlink ref="G186" r:id="rId370" display="https://pay.hotmart.com/N104191293B?checkoutMode=10"/>
    <hyperlink ref="B187" r:id="rId371" display="857343873900614"/>
    <hyperlink ref="G187" r:id="rId372" display="https://educacaofisicaead.com.br/"/>
    <hyperlink ref="B188" r:id="rId373" display="1519574006850784"/>
    <hyperlink ref="G188" r:id="rId374" display="https://pay.hotmart.com/R104787280P?checkoutMode=10"/>
    <hyperlink ref="B189" r:id="rId375" display="1273760388037312"/>
    <hyperlink ref="G189" r:id="rId376" display="https://educacaofisicaead.com.br/"/>
    <hyperlink ref="B190" r:id="rId377" display="4490631544550771"/>
    <hyperlink ref="G190" r:id="rId378" display="https://educacaofisicaead.com.br/"/>
    <hyperlink ref="B191" r:id="rId379" display="1308216088057990"/>
    <hyperlink ref="G191" r:id="rId380" display="https://educacaofisicaead.com.br/muscinfantil/"/>
    <hyperlink ref="B192" r:id="rId381" display="1147040971096004"/>
    <hyperlink ref="G192" r:id="rId382" display="https://educacaofisicaead.com.br/alongamento/"/>
    <hyperlink ref="B193" r:id="rId383" display="1066625329242611"/>
    <hyperlink ref="G193" r:id="rId384" display="https://pay.hotmart.com/N104191293B?checkoutMode=10"/>
    <hyperlink ref="B194" r:id="rId385" display="2094962884443835"/>
    <hyperlink ref="G194" r:id="rId386" display="https://educacaofisicaead.com.br/muscinfantil/"/>
    <hyperlink ref="B195" r:id="rId387" display="1474357868045321"/>
    <hyperlink ref="G195" r:id="rId388" display="https://educacaofisicaead.com.br/alongamento/"/>
    <hyperlink ref="B196" r:id="rId389" display="2501011900393428"/>
    <hyperlink ref="G196" r:id="rId390" display="https://educacaofisicaead.com.br/alongamento/"/>
    <hyperlink ref="B197" r:id="rId391" display="2006926279958962"/>
    <hyperlink ref="G197" r:id="rId392" display="https://galeraindica.com.br/funcional/"/>
    <hyperlink ref="B198" r:id="rId393" display="1045130181722813"/>
    <hyperlink ref="G198" r:id="rId394" display="https://galeraindica.com.br/hidroginastica/"/>
    <hyperlink ref="B199" r:id="rId395" display="1387519300162125"/>
    <hyperlink ref="G199" r:id="rId396" display="https://galeraindica.com.br/hidroginastica/"/>
    <hyperlink ref="B200" r:id="rId397" display="2040103877379170"/>
    <hyperlink ref="G200" r:id="rId398" display="https://galeraindica.com.br/funcional/"/>
    <hyperlink ref="B201" r:id="rId399" display="1410491164376152"/>
    <hyperlink ref="G201" r:id="rId400" display="https://educacaofisicaead.com.br/pro"/>
    <hyperlink ref="B202" r:id="rId401" display="1595049792031338"/>
    <hyperlink ref="G202" r:id="rId402" display="https://educacaofisicaead.com.br/pro"/>
    <hyperlink ref="B203" r:id="rId403" display="1431162878924047"/>
    <hyperlink ref="G203" r:id="rId404" display="https://galeraindica.com.br/ritmado/"/>
    <hyperlink ref="B204" r:id="rId405" display="2319243438820750"/>
    <hyperlink ref="G204" r:id="rId406" display="https://galeraindica.com.br/ritmado/"/>
    <hyperlink ref="B205" r:id="rId407" display="2134669890811524"/>
    <hyperlink ref="G205" r:id="rId408" display="https://galeraindica.com.br/ritmado/"/>
    <hyperlink ref="B206" r:id="rId409" display="946078141114729"/>
    <hyperlink ref="G206" r:id="rId410" display="https://galeraindica.com.br/ritmado/"/>
    <hyperlink ref="B207" r:id="rId411" display="1813036713377048"/>
    <hyperlink ref="G207" r:id="rId412" display="https://educacaofisicaead.com.br/"/>
    <hyperlink ref="B208" r:id="rId413" display="2135283720721013"/>
    <hyperlink ref="G208" r:id="rId414" display="https://hotm.io/anatomiaeb"/>
    <hyperlink ref="B209" r:id="rId415" display="1031136126408293"/>
    <hyperlink ref="G209" r:id="rId416" display="https://galeraindica.com.br/ritmado/"/>
    <hyperlink ref="B210" r:id="rId417" display="2035563353753516"/>
    <hyperlink ref="G210" r:id="rId418" display="https://educacaofisicaead.com.br/muscinfantil/"/>
    <hyperlink ref="B211" r:id="rId419" display="2400250904130321"/>
    <hyperlink ref="G211" r:id="rId420" display="https://galeraindica.com.br/socorros/"/>
    <hyperlink ref="B212" r:id="rId421" display="814695511726349"/>
    <hyperlink ref="G212" r:id="rId422" display="https://pay.kiwify.com.br/rmf2D2e"/>
    <hyperlink ref="B213" r:id="rId423" display="1587048799886975"/>
    <hyperlink ref="G213" r:id="rId424" display="https://galeraindica.com.br/socorros/"/>
    <hyperlink ref="B214" r:id="rId425" display="2592272044568356"/>
    <hyperlink ref="G214" r:id="rId426" display="https://galeraindica.com.br/socorros/"/>
    <hyperlink ref="B215" r:id="rId427" display="1385405769841427"/>
    <hyperlink ref="G215" r:id="rId428" display="https://educacaofisicaead.com.br/pilatess/"/>
    <hyperlink ref="B216" r:id="rId429" display="1068101109260669"/>
    <hyperlink ref="G216" r:id="rId430" display="https://educacaofisicaead.com.br/pilatess/"/>
    <hyperlink ref="B217" r:id="rId431" display="29365891546333495"/>
    <hyperlink ref="G217" r:id="rId432" display="https://educacaofisicaead.com.br/pilatess/"/>
    <hyperlink ref="B218" r:id="rId433" display="4679288429005814"/>
    <hyperlink ref="G218" r:id="rId434" display="https://educacaofisicaead.com.br/pilatess/"/>
    <hyperlink ref="B219" r:id="rId435" display="1097287692774625"/>
    <hyperlink ref="G219" r:id="rId436" display="https://educacaofisicaead.com.br/pilatess/"/>
    <hyperlink ref="B220" r:id="rId437" display="1434466295280267"/>
    <hyperlink ref="G220" r:id="rId438" display="https://educacaofisicaead.com.br/pilatess/"/>
    <hyperlink ref="B221" r:id="rId439" display="1159793080331489"/>
    <hyperlink ref="G221" r:id="rId440" display="https://pay.hotmart.com/B104642923S?checkoutMode=10"/>
    <hyperlink ref="B222" r:id="rId441" display="1016679854719049"/>
    <hyperlink ref="G222" r:id="rId442" display="https://pay.hotmart.com/B104642923S?checkoutMode=10"/>
    <hyperlink ref="B223" r:id="rId443" display="1811529193182550"/>
    <hyperlink ref="G223" r:id="rId444" display="https://galeraindica.com.br/enciclopedia/"/>
    <hyperlink ref="B224" r:id="rId445" display="1403380018432566"/>
    <hyperlink ref="G224" r:id="rId446" display="https://galeraindica.com.br/enciclopedia/"/>
    <hyperlink ref="B225" r:id="rId447" display="1073193408755047"/>
    <hyperlink ref="G225" r:id="rId448" display="https://galeraindica.com.br/enciclopedia/"/>
    <hyperlink ref="B226" r:id="rId449" display="1088815793866272"/>
    <hyperlink ref="G226" r:id="rId450" display="https://galeraindica.com.br/enciclopedia/"/>
    <hyperlink ref="B227" r:id="rId451" display="2835068496870812"/>
    <hyperlink ref="G227" r:id="rId452" display="https://educacaofisicaead.com.br/pro"/>
    <hyperlink ref="B228" r:id="rId453" display="3007321269615624"/>
    <hyperlink ref="G228" r:id="rId454" display="https://educacaofisicaead.com.br/pro"/>
    <hyperlink ref="B229" r:id="rId455" display="1963787380978497"/>
    <hyperlink ref="G229" r:id="rId456" display="https://educacaofisicaead.com.br/"/>
    <hyperlink ref="B230" r:id="rId457" display="1124890456878634"/>
    <hyperlink ref="G230" r:id="rId458" display="https://educacaofisicaead.com.br/"/>
    <hyperlink ref="B231" r:id="rId459" display="1060059023314947"/>
    <hyperlink ref="G231" r:id="rId460" display="https://kit-300aulas-edfisica.netlify.app/"/>
    <hyperlink ref="B232" r:id="rId461" display="915872621281914"/>
    <hyperlink ref="G232" r:id="rId462" display="https://kit-300aulas-edfisica.netlify.app/"/>
    <hyperlink ref="B233" r:id="rId463" display="2247722406071693"/>
    <hyperlink ref="G233" r:id="rId464" display="https://kit-300aulas-edfisica.netlify.app/"/>
    <hyperlink ref="B234" r:id="rId465" display="4557352947875093"/>
    <hyperlink ref="G234" r:id="rId466" display="https://kit-300aulas-edfisica.netlify.app/"/>
    <hyperlink ref="B235" r:id="rId467" display="1467199972175736"/>
    <hyperlink ref="G235" r:id="rId468" display="https://kit-300aulas-edfisica.netlify.app/"/>
    <hyperlink ref="B236" r:id="rId469" display="1066331689345026"/>
    <hyperlink ref="G236" r:id="rId470" display="https://kit-300aulas-edfisica.netlify.app/"/>
    <hyperlink ref="B237" r:id="rId471" display="1298304015656765"/>
    <hyperlink ref="G237" r:id="rId472" display="https://kit-300aulas-edfisica.netlify.app/"/>
    <hyperlink ref="B238" r:id="rId473" display="1345827377630718"/>
    <hyperlink ref="G238" r:id="rId474" display="https://kit-300aulas-edfisica.netlify.app/"/>
    <hyperlink ref="B239" r:id="rId475" display="1419406053474544"/>
    <hyperlink ref="G239" r:id="rId476" display="https://kit-300aulas-edfisica.netlify.app/"/>
    <hyperlink ref="B240" r:id="rId477" display="2025255935031779"/>
    <hyperlink ref="G240" r:id="rId478" display="https://thelittlegenius.com.br/"/>
    <hyperlink ref="B241" r:id="rId479" display="1735829844222585"/>
    <hyperlink ref="G241" r:id="rId480" display="https://thelittlegenius.com.br/"/>
    <hyperlink ref="B242" r:id="rId481" display="1348109433933147"/>
    <hyperlink ref="G242" r:id="rId482" display="https://thelittlegenius.com.br/"/>
    <hyperlink ref="B243" r:id="rId483" display="2644336842630514"/>
    <hyperlink ref="G243" r:id="rId484" display="https://thelittlegenius.com.br/"/>
    <hyperlink ref="B244" r:id="rId485" display="1043201058368295"/>
    <hyperlink ref="G244" r:id="rId486" display="https://thelittlegenius.com.br/"/>
    <hyperlink ref="B245" r:id="rId487" display="852492027680339"/>
    <hyperlink ref="G245" r:id="rId488" display="https://thelittlegenius.com.br/"/>
    <hyperlink ref="B246" r:id="rId489" display="4304324319855564"/>
    <hyperlink ref="G246" r:id="rId490" display="https://thelittlegenius.com.br/"/>
    <hyperlink ref="B247" r:id="rId491" display="1658859082520691"/>
    <hyperlink ref="G247" r:id="rId492" display="https://thelittlegenius.com.br/"/>
    <hyperlink ref="B248" r:id="rId493" display="1701597780930335"/>
    <hyperlink ref="G248" r:id="rId494" display="https://thelittlegenius.com.br/"/>
    <hyperlink ref="B249" r:id="rId495" display="1380586690458589"/>
    <hyperlink ref="G249" r:id="rId496" display="https://thelittlegenius.com.br/"/>
    <hyperlink ref="B250" r:id="rId497" display="1047999034867392"/>
    <hyperlink ref="G250" r:id="rId498" display="https://thelittlegenius.com.br/"/>
    <hyperlink ref="B251" r:id="rId499" display="2333793727391584"/>
    <hyperlink ref="G251" r:id="rId500" display="https://thelittlegenius.com.br/"/>
    <hyperlink ref="B252" r:id="rId501" display="1089195006891875"/>
    <hyperlink ref="G252" r:id="rId502" display="https://thelittlegenius.com.br/"/>
    <hyperlink ref="B253" r:id="rId503" display="1111660924670336"/>
    <hyperlink ref="G253" r:id="rId504" display="https://thelittlegenius.com.br/"/>
    <hyperlink ref="B254" r:id="rId505" display="1395396312120161"/>
    <hyperlink ref="G254" r:id="rId506" display="https://thelittlegenius.com.br/"/>
    <hyperlink ref="B255" r:id="rId507" display="1399601572385113"/>
    <hyperlink ref="G255" r:id="rId508" display="https://thelittlegenius.com.br/"/>
    <hyperlink ref="B256" r:id="rId509" display="2551089338636408"/>
    <hyperlink ref="G256" r:id="rId510" display="https://thelittlegenius.com.br/"/>
    <hyperlink ref="B257" r:id="rId511" display="1376594104221262"/>
    <hyperlink ref="G257" r:id="rId512" display="https://thelittlegenius.com.br/"/>
    <hyperlink ref="B258" r:id="rId513" display="1624268722548766"/>
    <hyperlink ref="G258" r:id="rId514" display="https://thelittlegenius.com.br/"/>
    <hyperlink ref="B259" r:id="rId515" display="2156195225321621"/>
    <hyperlink ref="G259" r:id="rId516" display="https://thelittlegenius.com.br/"/>
    <hyperlink ref="B260" r:id="rId517" display="1448595860465829"/>
    <hyperlink ref="G260" r:id="rId518" display="https://thelittlegenius.com.br/"/>
    <hyperlink ref="B261" r:id="rId519" display="1541446788013143"/>
    <hyperlink ref="G261" r:id="rId520" display="https://thelittlegenius.com.br/"/>
    <hyperlink ref="B262" r:id="rId521" display="1608897474276201"/>
    <hyperlink ref="G262" r:id="rId522" display="https://thelittlegenius.com.br/"/>
    <hyperlink ref="B263" r:id="rId523" display="1642697424247305"/>
    <hyperlink ref="G263" r:id="rId524" display="https://thelittlegenius.com.br/"/>
    <hyperlink ref="B264" r:id="rId525" display="1105081868831679"/>
    <hyperlink ref="G264" r:id="rId526" display="https://matematica.licaokids.com.br/"/>
    <hyperlink ref="B265" r:id="rId527" display="2233972550725110"/>
    <hyperlink ref="G265" r:id="rId528" display="https://matematica.licaokids.com.br/"/>
    <hyperlink ref="B266" r:id="rId529" display="1533893294727281"/>
    <hyperlink ref="G266" r:id="rId530" display="https://matematica.licaokids.com.br/"/>
    <hyperlink ref="B267" r:id="rId531" display="2022391121749595"/>
    <hyperlink ref="G267" r:id="rId532" display="https://matematica.licaokids.com.br/"/>
    <hyperlink ref="B268" r:id="rId533" display="990066954104796"/>
    <hyperlink ref="G268" r:id="rId534" display="https://matematica.licaokids.com.br/"/>
    <hyperlink ref="B269" r:id="rId535" display="1075398588326594"/>
    <hyperlink ref="G269" r:id="rId536" display="https://matematica.licaokids.com.br/"/>
    <hyperlink ref="B270" r:id="rId537" display="1628595825581609"/>
    <hyperlink ref="G270" r:id="rId538" display="https://caligrafiaparatodos.com/"/>
    <hyperlink ref="B271" r:id="rId539" display="1103058122256182"/>
    <hyperlink ref="G271" r:id="rId540" display="https://centralcademi.com.br/kids-maternal-v3/"/>
    <hyperlink ref="B272" r:id="rId541" display="1056721563932659"/>
    <hyperlink ref="G272" r:id="rId542" display="https://classes.licaokids.com.br/"/>
    <hyperlink ref="B273" r:id="rId543" display="1979831222706765"/>
    <hyperlink ref="G273" r:id="rId544" display="https://classes.licaokids.com.br/"/>
    <hyperlink ref="B274" r:id="rId545" display="1394934682042444"/>
    <hyperlink ref="G274" r:id="rId546" display="https://classes.licaokids.com.br/"/>
    <hyperlink ref="B275" r:id="rId547" display="3205419226323729"/>
    <hyperlink ref="G275" r:id="rId548" display="https://classes.licaokids.com.br/"/>
    <hyperlink ref="B276" r:id="rId549" display="1668099944881478"/>
    <hyperlink ref="G276" r:id="rId550" display="https://classes.licaokids.com.br/"/>
    <hyperlink ref="B277" r:id="rId551" display="1725125431880390"/>
    <hyperlink ref="G277" r:id="rId552" display="https://matematica.licaokids.com.br/"/>
    <hyperlink ref="B278" r:id="rId553" display="1759084228743014"/>
    <hyperlink ref="G278" r:id="rId554" display="https://alfacademi.com.br/colorindo-as-silabas-pv1"/>
    <hyperlink ref="B279" r:id="rId555" display="1100418502496651"/>
    <hyperlink ref="G279" r:id="rId556" display="https://matematica.licaokids.com.br/"/>
    <hyperlink ref="B280" r:id="rId557" display="2160262595367583"/>
    <hyperlink ref="G280" r:id="rId558" display="https://alfacademi.com.br/colorindo-as-silabas-pv1"/>
    <hyperlink ref="B281" r:id="rId559" display="29027952710145031"/>
    <hyperlink ref="G281" r:id="rId560" display="https://matematica4operacoes.pages.dev/"/>
    <hyperlink ref="B282" r:id="rId561" display="2358809898190871"/>
    <hyperlink ref="G282" r:id="rId562" display="https://matematica4operacoes.pages.dev/"/>
    <hyperlink ref="B283" r:id="rId563" display="4477216049201855"/>
    <hyperlink ref="G283" r:id="rId564" display="https://mundocriativobr.shop/"/>
    <hyperlink ref="B284" r:id="rId565" display="1060604829675451"/>
    <hyperlink ref="G284" r:id="rId566" display="https://mundocriativobr.shop/"/>
    <hyperlink ref="B285" r:id="rId567" display="3122620734603934"/>
    <hyperlink ref="G285" r:id="rId568" display="https://mundocriativobr.shop/"/>
    <hyperlink ref="B286" r:id="rId569" display="1792209175299894"/>
    <hyperlink ref="G286" r:id="rId570" display="https://mundocriativobr.shop/"/>
    <hyperlink ref="B287" r:id="rId571" display="1808317510482942"/>
    <hyperlink ref="G287" r:id="rId572" display="https://mundocriativobr.shop/"/>
    <hyperlink ref="B288" r:id="rId573" display="2178175036460866"/>
    <hyperlink ref="G288" r:id="rId574" display="https://mundocriativobr.shop/"/>
    <hyperlink ref="B289" r:id="rId575" display="2287840888719810"/>
    <hyperlink ref="G289" r:id="rId576" display="https://mundocriativobr.shop/"/>
    <hyperlink ref="B290" r:id="rId577" display="1084853487728784"/>
    <hyperlink ref="G290" r:id="rId578" display="https://mundocriativobr.shop/"/>
    <hyperlink ref="B291" r:id="rId579" display="1071170982290858"/>
    <hyperlink ref="G291" r:id="rId580" display="https://mundocriativobr.shop/"/>
    <hyperlink ref="B292" r:id="rId581" display="2083189712306011"/>
    <hyperlink ref="G292" r:id="rId582" display="https://mundocriativobr.shop/"/>
    <hyperlink ref="B293" r:id="rId583" display="993503046348507"/>
    <hyperlink ref="G293" r:id="rId584" display="https://parabolaskids.com.br/"/>
    <hyperlink ref="B294" r:id="rId585" display="926744897088194"/>
    <hyperlink ref="G294" r:id="rId586" display="https://parabolaskids.com.br/"/>
    <hyperlink ref="B295" r:id="rId587" display="1029751816677309"/>
    <hyperlink ref="G295" r:id="rId588" display="https://parabolaskids.com.br/"/>
    <hyperlink ref="B296" r:id="rId589" display="1391551836230702"/>
    <hyperlink ref="G296" r:id="rId590" display="https://parabolaskids.com.br/"/>
    <hyperlink ref="B297" r:id="rId591" display="1323965969718854"/>
    <hyperlink ref="G297" r:id="rId592" display="https://parabolaskids.com.br/"/>
    <hyperlink ref="B298" r:id="rId593" display="1566602144905791"/>
    <hyperlink ref="G298" r:id="rId594" display="https://parabolaskids.com.br/"/>
    <hyperlink ref="B299" r:id="rId595" display="945138988615057"/>
    <hyperlink ref="G299" r:id="rId596" display="https://parabolaskids.com.br/"/>
    <hyperlink ref="B300" r:id="rId597" display="1415877153753211"/>
    <hyperlink ref="G300" r:id="rId598" display="https://parabolaskids.com.br/"/>
    <hyperlink ref="B301" r:id="rId599" display="4435409740014644"/>
    <hyperlink ref="G301" r:id="rId600" display="https://parabolaskids.com.br/"/>
    <hyperlink ref="B302" r:id="rId601" display="1568591188391731"/>
    <hyperlink ref="G302" r:id="rId602" display="https://parabolaskids.com.br/"/>
    <hyperlink ref="B303" r:id="rId603" display="1450460973589958"/>
    <hyperlink ref="G303" r:id="rId604" display="https://parabolaskids.com.br/"/>
    <hyperlink ref="B304" r:id="rId605" display="1050552667832142"/>
    <hyperlink ref="G304" r:id="rId606" display="https://pequenasestilistas.com/"/>
    <hyperlink ref="B305" r:id="rId607" display="1736411300735328"/>
    <hyperlink ref="G305" r:id="rId608" display="https://pequenasestilistas.com/"/>
    <hyperlink ref="B306" r:id="rId609" display="1362235129448195"/>
    <hyperlink ref="G306" r:id="rId610" display="https://pequenasestilistas.com/index-maos-br"/>
    <hyperlink ref="B307" r:id="rId611" display="1581965126736414"/>
    <hyperlink ref="G307" r:id="rId612" display="https://pequenasestilistas.com/index-maos-br"/>
    <hyperlink ref="B308" r:id="rId613" display="921168463886633"/>
    <hyperlink ref="G308" r:id="rId614" display="https://pequenasestilistas.com/index-maos-br"/>
    <hyperlink ref="B309" r:id="rId615" display="4640904776235497"/>
    <hyperlink ref="G309" r:id="rId616" display="https://pequenasestilistas.com/"/>
    <hyperlink ref="B310" r:id="rId617" display="1342766964511975"/>
    <hyperlink ref="G310" r:id="rId618" display="https://pequenasestilistas.com/"/>
    <hyperlink ref="B311" r:id="rId619" display="37963240946652839"/>
    <hyperlink ref="G311" r:id="rId620" display="https://pequenasestilistas.com/"/>
    <hyperlink ref="B312" r:id="rId621" display="1604031241434630"/>
    <hyperlink ref="G312" r:id="rId622" display="https://pequenasestilistas.com/"/>
    <hyperlink ref="B313" r:id="rId623" display="892908466986466"/>
    <hyperlink ref="G313" r:id="rId624" display="https://pequenasestilistas.com/"/>
    <hyperlink ref="B314" r:id="rId625" display="1397198309052135"/>
    <hyperlink ref="G314" r:id="rId626" display="https://pequenasestilistas.com/"/>
    <hyperlink ref="B315" r:id="rId627" display="1724161925336247"/>
    <hyperlink ref="G315" r:id="rId628" display="https://pequenasestilistas.com/"/>
    <hyperlink ref="B316" r:id="rId629" display="1632979848198015"/>
    <hyperlink ref="G316" r:id="rId630" display="https://pequenasestilistas.com/"/>
    <hyperlink ref="B317" r:id="rId631" display="1047667598097146"/>
    <hyperlink ref="G317" r:id="rId632" display="https://pequenasestilistas.com/index-maos-br"/>
    <hyperlink ref="B318" r:id="rId633" display="1226637092640294"/>
    <hyperlink ref="G318" r:id="rId634" display="https://teste.pipoeduca.com/"/>
    <hyperlink ref="B319" r:id="rId635" display="3880037928972498"/>
    <hyperlink ref="G319" r:id="rId636" display="https://teste.pipoeduca.com/"/>
    <hyperlink ref="B320" r:id="rId637" display="980144194801012"/>
    <hyperlink ref="G320" r:id="rId638" display="https://teste.pipoeduca.com/"/>
    <hyperlink ref="B321" r:id="rId639" display="1800382221367867"/>
    <hyperlink ref="G321" r:id="rId640" display="https://teste.pipoeduca.com/"/>
    <hyperlink ref="B322" r:id="rId641" display="1303965508540220"/>
    <hyperlink ref="G322" r:id="rId642" display="https://teste.pipoeduca.com/"/>
    <hyperlink ref="B323" r:id="rId643" display="2790097774724127"/>
    <hyperlink ref="G323" r:id="rId644" display="https://teste.pipoeduca.com/"/>
    <hyperlink ref="B324" r:id="rId645" display="27271349705831050"/>
    <hyperlink ref="G324" r:id="rId646" display="https://teste.pipoeduca.com/"/>
    <hyperlink ref="B325" r:id="rId647" display="1508686114384930"/>
    <hyperlink ref="G325" r:id="rId648" display="https://teste.pipoeduca.com/"/>
    <hyperlink ref="B326" r:id="rId649" display="1593171002145241"/>
    <hyperlink ref="G326" r:id="rId650" display="https://teste.pipoeduca.com/"/>
    <hyperlink ref="B327" r:id="rId651" display="4689180371309385"/>
    <hyperlink ref="G327" r:id="rId652" display="https://teste.pipoeduca.com/"/>
    <hyperlink ref="B328" r:id="rId653" display="1178225121155634"/>
    <hyperlink ref="G328" r:id="rId654" display="https://teste.pipoeduca.com/"/>
    <hyperlink ref="B329" r:id="rId655" display="2062371994696934"/>
    <hyperlink ref="G329" r:id="rId656" display="https://teste.pipoeduca.com/"/>
    <hyperlink ref="B330" r:id="rId657" display="1617168942714141"/>
    <hyperlink ref="G330" r:id="rId658" display="https://teste.pipoeduca.com/"/>
    <hyperlink ref="B331" r:id="rId659" display="866400586529950"/>
    <hyperlink ref="G331" r:id="rId660" display="https://teste.pipoeduca.com/"/>
    <hyperlink ref="B332" r:id="rId661" display="1660902695020810"/>
    <hyperlink ref="G332" r:id="rId662" display="https://teste.pipoeduca.com/"/>
    <hyperlink ref="B333" r:id="rId663" display="2177894089811865"/>
    <hyperlink ref="G333" r:id="rId664" display="https://teste.pipoeduca.com/"/>
    <hyperlink ref="B334" r:id="rId665" display="1868769217416493"/>
    <hyperlink ref="G334" r:id="rId666" display="https://teste.pipoeduca.com/"/>
    <hyperlink ref="B335" r:id="rId667" display="1519782733276303"/>
    <hyperlink ref="G335" r:id="rId668" display="https://teste.pipoeduca.com/"/>
    <hyperlink ref="B336" r:id="rId669" display="1525649625927207"/>
    <hyperlink ref="G336" r:id="rId670" display="https://teste.pipoeduca.com/"/>
    <hyperlink ref="B337" r:id="rId671" display="1000010775978044"/>
    <hyperlink ref="G337" r:id="rId672" display="https://teste.pipoeduca.com/"/>
    <hyperlink ref="B338" r:id="rId673" display="1020198170911432"/>
    <hyperlink ref="G338" r:id="rId674" display="https://teste.pipoeduca.com/"/>
    <hyperlink ref="B339" r:id="rId675" display="1358023566300153"/>
    <hyperlink ref="G339" r:id="rId676" display="https://teste.pipoeduca.com/"/>
    <hyperlink ref="B340" r:id="rId677" display="2469888890144360"/>
    <hyperlink ref="G340" r:id="rId678" display="https://teste.pipoeduca.com/"/>
    <hyperlink ref="B341" r:id="rId679" display="1376612750561866"/>
    <hyperlink ref="G341" r:id="rId680" display="https://teste.pipoeduca.com/"/>
    <hyperlink ref="B342" r:id="rId681" display="1777730106556269"/>
    <hyperlink ref="G342" r:id="rId682" display="https://teste.pipoeduca.com/"/>
    <hyperlink ref="B343" r:id="rId683" display="1353949243387246"/>
    <hyperlink ref="G343" r:id="rId684" display="https://teste.pipoeduca.com/"/>
    <hyperlink ref="B344" r:id="rId685" display="1046916104877757"/>
    <hyperlink ref="G344" r:id="rId686" display="https://teste.pipoeduca.com/"/>
    <hyperlink ref="B345" r:id="rId687" display="1064142989859356"/>
    <hyperlink ref="G345" r:id="rId688" display="https://teste.pipoeduca.com/"/>
    <hyperlink ref="B346" r:id="rId689" display="1481713799929612"/>
    <hyperlink ref="G346" r:id="rId690" display="https://shaktistudioonline.com/portal-shakti-club"/>
    <hyperlink ref="B347" r:id="rId691" display="1683306603421879"/>
    <hyperlink ref="G347" r:id="rId692" display="https://shaktistudioonline.com/portal-shakti-club"/>
    <hyperlink ref="B348" r:id="rId693" display="1536439494546858"/>
    <hyperlink ref="G348" r:id="rId694" display="https://shaktistudioonline.com/portal-shakti-club"/>
    <hyperlink ref="B349" r:id="rId695" display="1435958288287540"/>
    <hyperlink ref="G349" r:id="rId696" display="https://shaktistudioonline.com/portal-shakti-club"/>
    <hyperlink ref="B350" r:id="rId697" display="1622766862154166"/>
    <hyperlink ref="G350" r:id="rId698" display="https://shaktistudioonline.com/portal-shakti-club"/>
    <hyperlink ref="B351" r:id="rId699" display="1479134344012305"/>
    <hyperlink ref="G351" r:id="rId700" display="https://shaktistudioonline.com/portal-shakti-club"/>
    <hyperlink ref="B352" r:id="rId701" display="1692053465465253"/>
    <hyperlink ref="G352" r:id="rId702" display="https://shaktistudioonline.com/portal-shakti-club"/>
    <hyperlink ref="B353" r:id="rId703" display="1727844864897416"/>
    <hyperlink ref="G353" r:id="rId704" display="https://shaktistudioonline.com/portal-shakti-club"/>
    <hyperlink ref="B354" r:id="rId705" display="1554442072954386"/>
    <hyperlink ref="G354" r:id="rId706" display="https://shaktistudioonline.com/portal-shakti-club"/>
    <hyperlink ref="B355" r:id="rId707" display="857906160301799"/>
    <hyperlink ref="G355" r:id="rId708" display="https://shaktistudioonline.com/portal-shakti-club"/>
    <hyperlink ref="B356" r:id="rId709" display="1650803159328528"/>
    <hyperlink ref="G356" r:id="rId710" display="https://shaktistudioonline.com/portal-shakti-club"/>
    <hyperlink ref="B357" r:id="rId711" display="1569924874653405"/>
    <hyperlink ref="G357" r:id="rId712" display="https://shaktistudioonline.com/portal-shakti-club"/>
    <hyperlink ref="B358" r:id="rId713" display="2782428398789865"/>
    <hyperlink ref="G358" r:id="rId714" display="https://shaktistudioonline.com/portal-shakti-club"/>
    <hyperlink ref="B359" r:id="rId715" display="1002829399340085"/>
    <hyperlink ref="G359" r:id="rId716" display="https://shaktistudioonline.com/portal-shakti-club"/>
    <hyperlink ref="B360" r:id="rId717" display="2018552258748140"/>
    <hyperlink ref="G360" r:id="rId718" display="https://shaktistudioonline.com/portal-shakti-club"/>
    <hyperlink ref="B361" r:id="rId719" display="789756534132790"/>
    <hyperlink ref="G361" r:id="rId720" display="https://shaktistudioonline.com/portal-shakti-club"/>
    <hyperlink ref="B362" r:id="rId721" display="1394668485914803"/>
    <hyperlink ref="G362" r:id="rId722" display="https://shaktistudioonline.com/portal-shakti-club"/>
    <hyperlink ref="B363" r:id="rId723" display="1222766177577918"/>
    <hyperlink ref="G363" r:id="rId724" display="https://shaktistudioonline.com/portal-shakti-club"/>
    <hyperlink ref="B364" r:id="rId725" display="996202716531011"/>
    <hyperlink ref="G364" r:id="rId726" display="https://shaktistudioonline.com/portal-shakti-club"/>
    <hyperlink ref="B365" r:id="rId727" display="1336781808561710"/>
    <hyperlink ref="G365" r:id="rId728" display="https://shaktistudioonline.com/portal-shakti-club"/>
    <hyperlink ref="B366" r:id="rId729" display="805591125853212"/>
    <hyperlink ref="G366" r:id="rId730" display="https://shaktistudioonline.com/portal-shakti-club"/>
    <hyperlink ref="B367" r:id="rId731" display="1024284836609316"/>
    <hyperlink ref="G367" r:id="rId732" display="https://shaktistudioonline.com/portal-shakti-club"/>
    <hyperlink ref="B368" r:id="rId733" display="1790467665452686"/>
    <hyperlink ref="G368" r:id="rId734" display="https://shaktistudioonline.com/portal-shakti-club"/>
    <hyperlink ref="B369" r:id="rId735" display="1486847975976336"/>
    <hyperlink ref="G369" r:id="rId736" display="https://shaktistudioonline.com/portal-shakti-club"/>
    <hyperlink ref="B370" r:id="rId737" display="997762563138986"/>
    <hyperlink ref="G370" r:id="rId738" display="https://shaktistudioonline.com/portal-shakti-club"/>
    <hyperlink ref="B371" r:id="rId739" display="1051425323900306"/>
    <hyperlink ref="G371" r:id="rId740" display="https://shaktistudioonline.com/portal-shakti-club"/>
    <hyperlink ref="B372" r:id="rId741" display="1487941319222330"/>
    <hyperlink ref="G372" r:id="rId742" display="https://shaktistudioonline.com/portal-shakti-club"/>
    <hyperlink ref="B373" r:id="rId743" display="1732263427905502"/>
    <hyperlink ref="G373" r:id="rId744" display="https://shaktistudioonline.com/portal-shakti-club"/>
    <hyperlink ref="B374" r:id="rId745" display="1038554308673975"/>
    <hyperlink ref="G374" r:id="rId746" display="https://shaktistudioonline.com/portal-shakti-club"/>
    <hyperlink ref="B375" r:id="rId747" display="1602126081485243"/>
    <hyperlink ref="G375" r:id="rId748" display="https://shaktistudioonline.com/portal-shakti-club"/>
    <hyperlink ref="B376" r:id="rId749" display="2206770830166498"/>
    <hyperlink ref="G376" r:id="rId750" display="https://shaktistudioonline.com/portal-shakti-club"/>
    <hyperlink ref="B377" r:id="rId751" display="2896999200631708"/>
    <hyperlink ref="G377" r:id="rId752" display="https://shaktistudioonline.com/portal-shakti-club"/>
    <hyperlink ref="B378" r:id="rId753" display="2117469719206004"/>
    <hyperlink ref="G378" r:id="rId754" display="https://shaktistudioonline.com/portal-shakti-club"/>
    <hyperlink ref="B379" r:id="rId755" display="3429797460536047"/>
    <hyperlink ref="G379" r:id="rId756" display="https://shaktistudioonline.com/portal-shakti-club"/>
    <hyperlink ref="B380" r:id="rId757" display="4546877695554427"/>
    <hyperlink ref="G380" r:id="rId758" display="https://shaktistudioonline.com/portal-shakti-club"/>
    <hyperlink ref="B381" r:id="rId759" display="888230803899063"/>
    <hyperlink ref="G381" r:id="rId760" display="https://shaktistudioonline.com/portal-shakti-club"/>
    <hyperlink ref="B382" r:id="rId761" display="2230171001067824"/>
    <hyperlink ref="G382" r:id="rId762" display="https://shaktistudioonline.com/portal-shakti-club"/>
    <hyperlink ref="B383" r:id="rId763" display="26860659423610633"/>
    <hyperlink ref="G383" r:id="rId764" display="https://shaktistudioonline.com/portal-shakti-club"/>
    <hyperlink ref="B384" r:id="rId765" display="2370807996787518"/>
    <hyperlink ref="G384" r:id="rId766" display="https://shaktistudioonline.com/portal-shakti-club"/>
    <hyperlink ref="B385" r:id="rId767" display="1611776313953664"/>
    <hyperlink ref="G385" r:id="rId768" display="https://shaktistudioonline.com/portal-shakti-club"/>
    <hyperlink ref="B386" r:id="rId769" display="1363537922515267"/>
    <hyperlink ref="G386" r:id="rId770" display="https://shaktistudioonline.com/portal-shakti-club"/>
    <hyperlink ref="B387" r:id="rId771" display="1637691644439783"/>
    <hyperlink ref="G387" r:id="rId772" display="https://par-sketch.app/"/>
    <hyperlink ref="B388" r:id="rId773" display="1685970130204459"/>
    <hyperlink ref="G388" r:id="rId774" display="https://par-sketch.app/"/>
    <hyperlink ref="B389" r:id="rId775" display="1045006121749535"/>
    <hyperlink ref="G389" r:id="rId776" display="https://par-sketch.app/"/>
    <hyperlink ref="B390" r:id="rId777" display="1386639303006684"/>
    <hyperlink ref="G390" r:id="rId778" display="https://par-sketch.app/"/>
    <hyperlink ref="B391" r:id="rId779" display="2481476635687326"/>
    <hyperlink ref="G391" r:id="rId780" display="https://par-sketch.app/"/>
    <hyperlink ref="B392" r:id="rId781" display="1060078446817299"/>
    <hyperlink ref="G392" r:id="rId782" display="https://par-sketch.app/"/>
    <hyperlink ref="B393" r:id="rId783" display="1972323894167246"/>
    <hyperlink ref="G393" r:id="rId784" display="https://par-sketch.app/"/>
    <hyperlink ref="B394" r:id="rId785" display="4602441996652106"/>
    <hyperlink ref="G394" r:id="rId786" display="https://kiwify.app/za6R5Gp?afid=y2T6bZA1"/>
    <hyperlink ref="B395" r:id="rId787" display="1721847725785243"/>
    <hyperlink ref="G395" r:id="rId788" display="https://par-sketch.app/"/>
    <hyperlink ref="B396" r:id="rId789" display="2361999287875742"/>
    <hyperlink ref="G396" r:id="rId790" display="https://par-sketch.app/"/>
    <hyperlink ref="B397" r:id="rId791" display="1105784575297331"/>
    <hyperlink ref="G397" r:id="rId792" display="https://kiwify.app/za6R5Gp?afid=y2T6bZA1"/>
    <hyperlink ref="B398" r:id="rId793" display="4364907333763967"/>
    <hyperlink ref="G398" r:id="rId794" display="https://kiwify.app/za6R5Gp?afid=y2T6bZA1"/>
    <hyperlink ref="B399" r:id="rId795" display="1022543277471299"/>
    <hyperlink ref="G399" r:id="rId796" display="https://kiwify.app/za6R5Gp?afid=y2T6bZA1"/>
    <hyperlink ref="B400" r:id="rId797" display="1070688622245051"/>
    <hyperlink ref="G400" r:id="rId798" display="https://kiwify.app/za6R5Gp?afid=y2T6bZA1"/>
    <hyperlink ref="B401" r:id="rId799" display="1354322349865514"/>
    <hyperlink ref="G401" r:id="rId800" display="https://conteudos.tutudaju.com/assinatura-de-aulas-tutu-da-ju"/>
    <hyperlink ref="B402" r:id="rId801" display="3457957101017944"/>
    <hyperlink ref="G402" r:id="rId802" display="https://conteudos.tutudaju.com/assinatura-de-aulas-tutu-da-ju"/>
    <hyperlink ref="B403" r:id="rId803" display="1297147522362110"/>
    <hyperlink ref="G403" r:id="rId804" display="https://conteudos.tutudaju.com/assinatura-de-aulas-tutu-da-ju"/>
    <hyperlink ref="B404" r:id="rId805" display="3936515533308825"/>
    <hyperlink ref="G404" r:id="rId806" display="https://conteudos.tutudaju.com/assinatura-de-aulas-tutu-da-j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0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0"/>
    <col collapsed="false" customWidth="true" hidden="false" outlineLevel="0" max="3" min="3" style="0" width="26"/>
    <col collapsed="false" customWidth="true" hidden="false" outlineLevel="0" max="4" min="4" style="0" width="20"/>
  </cols>
  <sheetData>
    <row r="1" customFormat="false" ht="31.5" hidden="false" customHeight="true" outlineLevel="0" collapsed="false">
      <c r="A1" s="1" t="s">
        <v>792</v>
      </c>
      <c r="B1" s="1" t="s">
        <v>793</v>
      </c>
      <c r="C1" s="1" t="s">
        <v>794</v>
      </c>
      <c r="D1" s="1" t="s">
        <v>795</v>
      </c>
    </row>
    <row r="2" customFormat="false" ht="15" hidden="false" customHeight="false" outlineLevel="0" collapsed="false">
      <c r="A2" s="2" t="s">
        <v>796</v>
      </c>
      <c r="B2" s="3" t="s">
        <v>210</v>
      </c>
      <c r="C2" s="9" t="s">
        <v>797</v>
      </c>
      <c r="D2" s="9" t="s">
        <v>795</v>
      </c>
    </row>
    <row r="3" customFormat="false" ht="15" hidden="false" customHeight="false" outlineLevel="0" collapsed="false">
      <c r="A3" s="2" t="s">
        <v>798</v>
      </c>
      <c r="B3" s="3" t="s">
        <v>210</v>
      </c>
      <c r="C3" s="9" t="s">
        <v>797</v>
      </c>
      <c r="D3" s="9" t="s">
        <v>795</v>
      </c>
    </row>
    <row r="4" customFormat="false" ht="15" hidden="false" customHeight="false" outlineLevel="0" collapsed="false">
      <c r="A4" s="2" t="s">
        <v>799</v>
      </c>
      <c r="B4" s="3" t="s">
        <v>41</v>
      </c>
      <c r="C4" s="9" t="s">
        <v>797</v>
      </c>
      <c r="D4" s="9" t="s">
        <v>795</v>
      </c>
    </row>
    <row r="5" customFormat="false" ht="15" hidden="false" customHeight="false" outlineLevel="0" collapsed="false">
      <c r="A5" s="2" t="s">
        <v>800</v>
      </c>
      <c r="B5" s="3" t="s">
        <v>218</v>
      </c>
      <c r="C5" s="9" t="s">
        <v>797</v>
      </c>
      <c r="D5" s="9" t="s">
        <v>795</v>
      </c>
    </row>
    <row r="6" customFormat="false" ht="15" hidden="false" customHeight="false" outlineLevel="0" collapsed="false">
      <c r="A6" s="2" t="s">
        <v>801</v>
      </c>
      <c r="B6" s="3" t="s">
        <v>210</v>
      </c>
      <c r="C6" s="9" t="s">
        <v>797</v>
      </c>
      <c r="D6" s="9" t="s">
        <v>795</v>
      </c>
    </row>
    <row r="7" customFormat="false" ht="15" hidden="false" customHeight="false" outlineLevel="0" collapsed="false">
      <c r="A7" s="2" t="s">
        <v>802</v>
      </c>
      <c r="B7" s="3" t="s">
        <v>89</v>
      </c>
      <c r="C7" s="9" t="s">
        <v>797</v>
      </c>
      <c r="D7" s="9" t="s">
        <v>795</v>
      </c>
    </row>
    <row r="8" customFormat="false" ht="15" hidden="false" customHeight="false" outlineLevel="0" collapsed="false">
      <c r="A8" s="2" t="s">
        <v>803</v>
      </c>
      <c r="B8" s="3" t="s">
        <v>804</v>
      </c>
      <c r="C8" s="9" t="s">
        <v>797</v>
      </c>
      <c r="D8" s="9" t="s">
        <v>795</v>
      </c>
    </row>
    <row r="9" customFormat="false" ht="15" hidden="false" customHeight="false" outlineLevel="0" collapsed="false">
      <c r="A9" s="2" t="s">
        <v>805</v>
      </c>
      <c r="B9" s="3" t="s">
        <v>172</v>
      </c>
      <c r="C9" s="9" t="s">
        <v>797</v>
      </c>
      <c r="D9" s="9" t="s">
        <v>795</v>
      </c>
    </row>
    <row r="10" customFormat="false" ht="15" hidden="false" customHeight="false" outlineLevel="0" collapsed="false">
      <c r="A10" s="2" t="s">
        <v>806</v>
      </c>
      <c r="B10" s="3" t="s">
        <v>193</v>
      </c>
      <c r="C10" s="9" t="s">
        <v>797</v>
      </c>
      <c r="D10" s="9" t="s">
        <v>795</v>
      </c>
    </row>
    <row r="11" customFormat="false" ht="23.85" hidden="false" customHeight="false" outlineLevel="0" collapsed="false">
      <c r="A11" s="2" t="s">
        <v>807</v>
      </c>
      <c r="B11" s="3" t="s">
        <v>808</v>
      </c>
      <c r="C11" s="9" t="s">
        <v>797</v>
      </c>
      <c r="D11" s="9" t="s">
        <v>795</v>
      </c>
    </row>
    <row r="12" customFormat="false" ht="15" hidden="false" customHeight="false" outlineLevel="0" collapsed="false">
      <c r="A12" s="2" t="s">
        <v>809</v>
      </c>
      <c r="B12" s="3" t="s">
        <v>112</v>
      </c>
      <c r="C12" s="9" t="s">
        <v>797</v>
      </c>
      <c r="D12" s="9" t="s">
        <v>795</v>
      </c>
    </row>
    <row r="13" customFormat="false" ht="15" hidden="false" customHeight="false" outlineLevel="0" collapsed="false">
      <c r="A13" s="2" t="s">
        <v>810</v>
      </c>
      <c r="B13" s="3" t="s">
        <v>142</v>
      </c>
      <c r="C13" s="9" t="s">
        <v>797</v>
      </c>
      <c r="D13" s="9" t="s">
        <v>795</v>
      </c>
    </row>
    <row r="14" customFormat="false" ht="15" hidden="false" customHeight="false" outlineLevel="0" collapsed="false">
      <c r="A14" s="2" t="s">
        <v>811</v>
      </c>
      <c r="B14" s="3" t="s">
        <v>152</v>
      </c>
      <c r="C14" s="9" t="s">
        <v>797</v>
      </c>
      <c r="D14" s="9" t="s">
        <v>795</v>
      </c>
    </row>
    <row r="15" customFormat="false" ht="15" hidden="false" customHeight="false" outlineLevel="0" collapsed="false">
      <c r="A15" s="2" t="s">
        <v>812</v>
      </c>
      <c r="B15" s="3" t="s">
        <v>142</v>
      </c>
      <c r="C15" s="9" t="s">
        <v>797</v>
      </c>
      <c r="D15" s="9" t="s">
        <v>795</v>
      </c>
    </row>
    <row r="16" customFormat="false" ht="15" hidden="false" customHeight="false" outlineLevel="0" collapsed="false">
      <c r="A16" s="2" t="s">
        <v>813</v>
      </c>
      <c r="B16" s="3" t="s">
        <v>142</v>
      </c>
      <c r="C16" s="9" t="s">
        <v>797</v>
      </c>
      <c r="D16" s="9" t="s">
        <v>795</v>
      </c>
    </row>
    <row r="17" customFormat="false" ht="15" hidden="false" customHeight="false" outlineLevel="0" collapsed="false">
      <c r="A17" s="2" t="s">
        <v>814</v>
      </c>
      <c r="B17" s="3" t="s">
        <v>152</v>
      </c>
      <c r="C17" s="9" t="s">
        <v>797</v>
      </c>
      <c r="D17" s="9" t="s">
        <v>795</v>
      </c>
    </row>
    <row r="18" customFormat="false" ht="15" hidden="false" customHeight="false" outlineLevel="0" collapsed="false">
      <c r="A18" s="2" t="s">
        <v>815</v>
      </c>
      <c r="B18" s="3" t="s">
        <v>100</v>
      </c>
      <c r="C18" s="9" t="s">
        <v>797</v>
      </c>
      <c r="D18" s="9" t="s">
        <v>795</v>
      </c>
    </row>
    <row r="19" customFormat="false" ht="15" hidden="false" customHeight="false" outlineLevel="0" collapsed="false">
      <c r="A19" s="2" t="s">
        <v>816</v>
      </c>
      <c r="B19" s="3" t="s">
        <v>282</v>
      </c>
      <c r="C19" s="9" t="s">
        <v>797</v>
      </c>
      <c r="D19" s="9" t="s">
        <v>795</v>
      </c>
    </row>
    <row r="20" customFormat="false" ht="15" hidden="false" customHeight="false" outlineLevel="0" collapsed="false">
      <c r="A20" s="2" t="s">
        <v>817</v>
      </c>
      <c r="B20" s="3" t="s">
        <v>182</v>
      </c>
      <c r="C20" s="9" t="s">
        <v>797</v>
      </c>
      <c r="D20" s="9" t="s">
        <v>795</v>
      </c>
    </row>
    <row r="21" customFormat="false" ht="15" hidden="false" customHeight="false" outlineLevel="0" collapsed="false">
      <c r="A21" s="2" t="s">
        <v>818</v>
      </c>
      <c r="B21" s="3" t="s">
        <v>131</v>
      </c>
      <c r="C21" s="9" t="s">
        <v>797</v>
      </c>
      <c r="D21" s="9" t="s">
        <v>795</v>
      </c>
    </row>
    <row r="22" customFormat="false" ht="15" hidden="false" customHeight="false" outlineLevel="0" collapsed="false">
      <c r="A22" s="2" t="s">
        <v>819</v>
      </c>
      <c r="B22" s="3" t="s">
        <v>282</v>
      </c>
      <c r="C22" s="9" t="s">
        <v>797</v>
      </c>
      <c r="D22" s="9" t="s">
        <v>795</v>
      </c>
    </row>
    <row r="23" customFormat="false" ht="15" hidden="false" customHeight="false" outlineLevel="0" collapsed="false">
      <c r="A23" s="2" t="s">
        <v>820</v>
      </c>
      <c r="B23" s="3" t="s">
        <v>282</v>
      </c>
      <c r="C23" s="9" t="s">
        <v>797</v>
      </c>
      <c r="D23" s="9" t="s">
        <v>795</v>
      </c>
    </row>
    <row r="24" customFormat="false" ht="15" hidden="false" customHeight="false" outlineLevel="0" collapsed="false">
      <c r="A24" s="2" t="s">
        <v>821</v>
      </c>
      <c r="B24" s="3" t="s">
        <v>311</v>
      </c>
      <c r="C24" s="9" t="s">
        <v>797</v>
      </c>
      <c r="D24" s="9" t="s">
        <v>795</v>
      </c>
    </row>
    <row r="25" customFormat="false" ht="15" hidden="false" customHeight="false" outlineLevel="0" collapsed="false">
      <c r="A25" s="2" t="s">
        <v>822</v>
      </c>
      <c r="B25" s="3" t="s">
        <v>252</v>
      </c>
      <c r="C25" s="9" t="s">
        <v>797</v>
      </c>
      <c r="D25" s="9" t="s">
        <v>795</v>
      </c>
    </row>
    <row r="26" customFormat="false" ht="15" hidden="false" customHeight="false" outlineLevel="0" collapsed="false">
      <c r="A26" s="2" t="s">
        <v>823</v>
      </c>
      <c r="B26" s="3" t="s">
        <v>262</v>
      </c>
      <c r="C26" s="9" t="s">
        <v>797</v>
      </c>
      <c r="D26" s="9" t="s">
        <v>795</v>
      </c>
    </row>
    <row r="27" customFormat="false" ht="15" hidden="false" customHeight="false" outlineLevel="0" collapsed="false">
      <c r="A27" s="2" t="s">
        <v>824</v>
      </c>
      <c r="B27" s="3" t="s">
        <v>66</v>
      </c>
      <c r="C27" s="9" t="s">
        <v>797</v>
      </c>
      <c r="D27" s="9" t="s">
        <v>795</v>
      </c>
    </row>
    <row r="28" customFormat="false" ht="15" hidden="false" customHeight="false" outlineLevel="0" collapsed="false">
      <c r="A28" s="2" t="s">
        <v>825</v>
      </c>
      <c r="B28" s="3" t="s">
        <v>78</v>
      </c>
      <c r="C28" s="9" t="s">
        <v>797</v>
      </c>
      <c r="D28" s="9" t="s">
        <v>795</v>
      </c>
    </row>
    <row r="29" customFormat="false" ht="15" hidden="false" customHeight="false" outlineLevel="0" collapsed="false">
      <c r="A29" s="2" t="s">
        <v>826</v>
      </c>
      <c r="B29" s="3" t="s">
        <v>78</v>
      </c>
      <c r="C29" s="9" t="s">
        <v>797</v>
      </c>
      <c r="D29" s="9" t="s">
        <v>795</v>
      </c>
    </row>
    <row r="30" customFormat="false" ht="15" hidden="false" customHeight="false" outlineLevel="0" collapsed="false">
      <c r="A30" s="2" t="s">
        <v>827</v>
      </c>
      <c r="B30" s="3" t="s">
        <v>235</v>
      </c>
      <c r="C30" s="9" t="s">
        <v>797</v>
      </c>
      <c r="D30" s="9" t="s">
        <v>795</v>
      </c>
    </row>
    <row r="31" customFormat="false" ht="15" hidden="false" customHeight="false" outlineLevel="0" collapsed="false">
      <c r="A31" s="2" t="s">
        <v>828</v>
      </c>
      <c r="B31" s="3" t="s">
        <v>78</v>
      </c>
      <c r="C31" s="9" t="s">
        <v>797</v>
      </c>
      <c r="D31" s="9" t="s">
        <v>795</v>
      </c>
    </row>
    <row r="32" customFormat="false" ht="15" hidden="false" customHeight="false" outlineLevel="0" collapsed="false">
      <c r="A32" s="2" t="s">
        <v>829</v>
      </c>
      <c r="B32" s="3" t="s">
        <v>226</v>
      </c>
      <c r="C32" s="9" t="s">
        <v>797</v>
      </c>
      <c r="D32" s="9" t="s">
        <v>795</v>
      </c>
    </row>
    <row r="33" customFormat="false" ht="15" hidden="false" customHeight="false" outlineLevel="0" collapsed="false">
      <c r="A33" s="2" t="s">
        <v>830</v>
      </c>
      <c r="B33" s="3" t="s">
        <v>112</v>
      </c>
      <c r="C33" s="9" t="s">
        <v>797</v>
      </c>
      <c r="D33" s="9" t="s">
        <v>795</v>
      </c>
    </row>
    <row r="34" customFormat="false" ht="23.85" hidden="false" customHeight="false" outlineLevel="0" collapsed="false">
      <c r="A34" s="2" t="s">
        <v>831</v>
      </c>
      <c r="B34" s="3" t="s">
        <v>832</v>
      </c>
      <c r="C34" s="9" t="s">
        <v>797</v>
      </c>
      <c r="D34" s="9" t="s">
        <v>795</v>
      </c>
    </row>
    <row r="35" customFormat="false" ht="15" hidden="false" customHeight="false" outlineLevel="0" collapsed="false">
      <c r="A35" s="2" t="s">
        <v>833</v>
      </c>
      <c r="B35" s="3" t="s">
        <v>203</v>
      </c>
      <c r="C35" s="9" t="s">
        <v>797</v>
      </c>
      <c r="D35" s="9" t="s">
        <v>795</v>
      </c>
    </row>
    <row r="36" customFormat="false" ht="15" hidden="false" customHeight="false" outlineLevel="0" collapsed="false">
      <c r="A36" s="2" t="s">
        <v>834</v>
      </c>
      <c r="B36" s="3" t="s">
        <v>162</v>
      </c>
      <c r="C36" s="9" t="s">
        <v>797</v>
      </c>
      <c r="D36" s="9" t="s">
        <v>795</v>
      </c>
    </row>
    <row r="37" customFormat="false" ht="15" hidden="false" customHeight="false" outlineLevel="0" collapsed="false">
      <c r="A37" s="2" t="s">
        <v>835</v>
      </c>
      <c r="B37" s="3" t="s">
        <v>131</v>
      </c>
      <c r="C37" s="9" t="s">
        <v>797</v>
      </c>
      <c r="D37" s="9" t="s">
        <v>795</v>
      </c>
    </row>
    <row r="38" customFormat="false" ht="15" hidden="false" customHeight="false" outlineLevel="0" collapsed="false">
      <c r="A38" s="2" t="s">
        <v>836</v>
      </c>
      <c r="B38" s="3" t="s">
        <v>837</v>
      </c>
      <c r="C38" s="9" t="s">
        <v>797</v>
      </c>
      <c r="D38" s="9" t="s">
        <v>795</v>
      </c>
    </row>
    <row r="39" customFormat="false" ht="15" hidden="false" customHeight="false" outlineLevel="0" collapsed="false">
      <c r="A39" s="2" t="s">
        <v>838</v>
      </c>
      <c r="B39" s="3" t="s">
        <v>235</v>
      </c>
      <c r="C39" s="9" t="s">
        <v>797</v>
      </c>
      <c r="D39" s="9" t="s">
        <v>795</v>
      </c>
    </row>
    <row r="40" customFormat="false" ht="15" hidden="false" customHeight="false" outlineLevel="0" collapsed="false">
      <c r="A40" s="2" t="s">
        <v>839</v>
      </c>
      <c r="B40" s="3" t="s">
        <v>193</v>
      </c>
      <c r="C40" s="9" t="s">
        <v>797</v>
      </c>
      <c r="D40" s="9" t="s">
        <v>795</v>
      </c>
    </row>
    <row r="41" customFormat="false" ht="15" hidden="false" customHeight="false" outlineLevel="0" collapsed="false">
      <c r="A41" s="2" t="s">
        <v>840</v>
      </c>
      <c r="B41" s="3" t="s">
        <v>152</v>
      </c>
      <c r="C41" s="9" t="s">
        <v>797</v>
      </c>
      <c r="D41" s="9" t="s">
        <v>795</v>
      </c>
    </row>
    <row r="42" customFormat="false" ht="15" hidden="false" customHeight="false" outlineLevel="0" collapsed="false">
      <c r="A42" s="2" t="s">
        <v>841</v>
      </c>
      <c r="B42" s="3" t="s">
        <v>162</v>
      </c>
      <c r="C42" s="9" t="s">
        <v>797</v>
      </c>
      <c r="D42" s="9" t="s">
        <v>795</v>
      </c>
    </row>
    <row r="43" customFormat="false" ht="15" hidden="false" customHeight="false" outlineLevel="0" collapsed="false">
      <c r="A43" s="2" t="s">
        <v>842</v>
      </c>
      <c r="B43" s="3" t="s">
        <v>218</v>
      </c>
      <c r="C43" s="9" t="s">
        <v>797</v>
      </c>
      <c r="D43" s="9" t="s">
        <v>795</v>
      </c>
    </row>
    <row r="44" customFormat="false" ht="15" hidden="false" customHeight="false" outlineLevel="0" collapsed="false">
      <c r="A44" s="2" t="s">
        <v>843</v>
      </c>
      <c r="B44" s="3" t="s">
        <v>123</v>
      </c>
      <c r="C44" s="9" t="s">
        <v>797</v>
      </c>
      <c r="D44" s="9" t="s">
        <v>795</v>
      </c>
    </row>
    <row r="45" customFormat="false" ht="15" hidden="false" customHeight="false" outlineLevel="0" collapsed="false">
      <c r="A45" s="2" t="s">
        <v>844</v>
      </c>
      <c r="B45" s="3" t="s">
        <v>242</v>
      </c>
      <c r="C45" s="9" t="s">
        <v>797</v>
      </c>
      <c r="D45" s="9" t="s">
        <v>795</v>
      </c>
    </row>
    <row r="46" customFormat="false" ht="15" hidden="false" customHeight="false" outlineLevel="0" collapsed="false">
      <c r="A46" s="2" t="s">
        <v>845</v>
      </c>
      <c r="B46" s="3" t="s">
        <v>300</v>
      </c>
      <c r="C46" s="9" t="s">
        <v>797</v>
      </c>
      <c r="D46" s="9" t="s">
        <v>795</v>
      </c>
    </row>
    <row r="47" customFormat="false" ht="15" hidden="false" customHeight="false" outlineLevel="0" collapsed="false">
      <c r="A47" s="2" t="s">
        <v>846</v>
      </c>
      <c r="B47" s="3" t="s">
        <v>131</v>
      </c>
      <c r="C47" s="9" t="s">
        <v>797</v>
      </c>
      <c r="D47" s="9" t="s">
        <v>795</v>
      </c>
    </row>
    <row r="48" customFormat="false" ht="15" hidden="false" customHeight="false" outlineLevel="0" collapsed="false">
      <c r="A48" s="2" t="s">
        <v>847</v>
      </c>
      <c r="B48" s="3" t="s">
        <v>89</v>
      </c>
      <c r="C48" s="9" t="s">
        <v>797</v>
      </c>
      <c r="D48" s="9" t="s">
        <v>795</v>
      </c>
    </row>
    <row r="49" customFormat="false" ht="15" hidden="false" customHeight="false" outlineLevel="0" collapsed="false">
      <c r="A49" s="2" t="s">
        <v>848</v>
      </c>
      <c r="B49" s="3" t="s">
        <v>100</v>
      </c>
      <c r="C49" s="9" t="s">
        <v>797</v>
      </c>
      <c r="D49" s="9" t="s">
        <v>795</v>
      </c>
    </row>
    <row r="50" customFormat="false" ht="15" hidden="false" customHeight="false" outlineLevel="0" collapsed="false">
      <c r="A50" s="2" t="s">
        <v>849</v>
      </c>
      <c r="B50" s="3" t="s">
        <v>252</v>
      </c>
      <c r="C50" s="9" t="s">
        <v>797</v>
      </c>
      <c r="D50" s="9" t="s">
        <v>795</v>
      </c>
    </row>
    <row r="51" customFormat="false" ht="15" hidden="false" customHeight="false" outlineLevel="0" collapsed="false">
      <c r="A51" s="2" t="s">
        <v>850</v>
      </c>
      <c r="B51" s="3" t="s">
        <v>292</v>
      </c>
      <c r="C51" s="9" t="s">
        <v>797</v>
      </c>
      <c r="D51" s="9" t="s">
        <v>795</v>
      </c>
    </row>
    <row r="52" customFormat="false" ht="15" hidden="false" customHeight="false" outlineLevel="0" collapsed="false">
      <c r="A52" s="2" t="s">
        <v>851</v>
      </c>
      <c r="B52" s="3" t="s">
        <v>852</v>
      </c>
      <c r="C52" s="9" t="s">
        <v>797</v>
      </c>
      <c r="D52" s="9" t="s">
        <v>795</v>
      </c>
    </row>
    <row r="53" customFormat="false" ht="15" hidden="false" customHeight="false" outlineLevel="0" collapsed="false">
      <c r="A53" s="2" t="s">
        <v>853</v>
      </c>
      <c r="B53" s="3" t="s">
        <v>242</v>
      </c>
      <c r="C53" s="9" t="s">
        <v>797</v>
      </c>
      <c r="D53" s="9" t="s">
        <v>795</v>
      </c>
    </row>
    <row r="54" customFormat="false" ht="15" hidden="false" customHeight="false" outlineLevel="0" collapsed="false">
      <c r="A54" s="2" t="s">
        <v>854</v>
      </c>
      <c r="B54" s="3" t="s">
        <v>855</v>
      </c>
      <c r="C54" s="9" t="s">
        <v>797</v>
      </c>
      <c r="D54" s="9" t="s">
        <v>795</v>
      </c>
    </row>
    <row r="55" customFormat="false" ht="15" hidden="false" customHeight="false" outlineLevel="0" collapsed="false">
      <c r="A55" s="2" t="s">
        <v>856</v>
      </c>
      <c r="B55" s="3" t="s">
        <v>272</v>
      </c>
      <c r="C55" s="9" t="s">
        <v>797</v>
      </c>
      <c r="D55" s="9" t="s">
        <v>795</v>
      </c>
    </row>
    <row r="56" customFormat="false" ht="15" hidden="false" customHeight="false" outlineLevel="0" collapsed="false">
      <c r="A56" s="2" t="s">
        <v>857</v>
      </c>
      <c r="B56" s="3" t="s">
        <v>272</v>
      </c>
      <c r="C56" s="9" t="s">
        <v>797</v>
      </c>
      <c r="D56" s="9" t="s">
        <v>795</v>
      </c>
    </row>
    <row r="57" customFormat="false" ht="15" hidden="false" customHeight="false" outlineLevel="0" collapsed="false">
      <c r="A57" s="2" t="s">
        <v>858</v>
      </c>
      <c r="B57" s="3" t="s">
        <v>27</v>
      </c>
      <c r="C57" s="9" t="s">
        <v>797</v>
      </c>
      <c r="D57" s="9" t="s">
        <v>795</v>
      </c>
    </row>
    <row r="58" customFormat="false" ht="15" hidden="false" customHeight="false" outlineLevel="0" collapsed="false">
      <c r="A58" s="2" t="s">
        <v>859</v>
      </c>
      <c r="B58" s="3" t="s">
        <v>172</v>
      </c>
      <c r="C58" s="9" t="s">
        <v>797</v>
      </c>
      <c r="D58" s="9" t="s">
        <v>795</v>
      </c>
    </row>
    <row r="59" customFormat="false" ht="15" hidden="false" customHeight="false" outlineLevel="0" collapsed="false">
      <c r="A59" s="2" t="s">
        <v>860</v>
      </c>
      <c r="B59" s="3" t="s">
        <v>54</v>
      </c>
      <c r="C59" s="9" t="s">
        <v>797</v>
      </c>
      <c r="D59" s="9" t="s">
        <v>795</v>
      </c>
    </row>
    <row r="60" customFormat="false" ht="15" hidden="false" customHeight="false" outlineLevel="0" collapsed="false">
      <c r="A60" s="2" t="s">
        <v>861</v>
      </c>
      <c r="B60" s="3" t="s">
        <v>123</v>
      </c>
      <c r="C60" s="9" t="s">
        <v>797</v>
      </c>
      <c r="D60" s="9" t="s">
        <v>795</v>
      </c>
    </row>
    <row r="61" customFormat="false" ht="15" hidden="false" customHeight="false" outlineLevel="0" collapsed="false">
      <c r="A61" s="2" t="s">
        <v>862</v>
      </c>
      <c r="B61" s="3" t="s">
        <v>66</v>
      </c>
      <c r="C61" s="9" t="s">
        <v>797</v>
      </c>
      <c r="D61" s="9" t="s">
        <v>795</v>
      </c>
    </row>
    <row r="62" customFormat="false" ht="15" hidden="false" customHeight="false" outlineLevel="0" collapsed="false">
      <c r="A62" s="2" t="s">
        <v>863</v>
      </c>
      <c r="B62" s="3" t="s">
        <v>203</v>
      </c>
      <c r="C62" s="9" t="s">
        <v>797</v>
      </c>
      <c r="D62" s="9" t="s">
        <v>795</v>
      </c>
    </row>
    <row r="63" customFormat="false" ht="15" hidden="false" customHeight="false" outlineLevel="0" collapsed="false">
      <c r="A63" s="2" t="s">
        <v>864</v>
      </c>
      <c r="B63" s="3" t="s">
        <v>41</v>
      </c>
      <c r="C63" s="9" t="s">
        <v>797</v>
      </c>
      <c r="D63" s="9" t="s">
        <v>795</v>
      </c>
    </row>
    <row r="64" customFormat="false" ht="15" hidden="false" customHeight="false" outlineLevel="0" collapsed="false">
      <c r="A64" s="2" t="s">
        <v>865</v>
      </c>
      <c r="B64" s="3" t="s">
        <v>100</v>
      </c>
      <c r="C64" s="9" t="s">
        <v>797</v>
      </c>
      <c r="D64" s="9" t="s">
        <v>795</v>
      </c>
    </row>
    <row r="65" customFormat="false" ht="15" hidden="false" customHeight="false" outlineLevel="0" collapsed="false">
      <c r="A65" s="2" t="s">
        <v>866</v>
      </c>
      <c r="B65" s="3" t="s">
        <v>182</v>
      </c>
      <c r="C65" s="9" t="s">
        <v>797</v>
      </c>
      <c r="D65" s="9" t="s">
        <v>795</v>
      </c>
    </row>
    <row r="66" customFormat="false" ht="15" hidden="false" customHeight="false" outlineLevel="0" collapsed="false">
      <c r="A66" s="2" t="s">
        <v>867</v>
      </c>
      <c r="B66" s="3" t="s">
        <v>804</v>
      </c>
      <c r="C66" s="9" t="s">
        <v>797</v>
      </c>
      <c r="D66" s="9" t="s">
        <v>795</v>
      </c>
    </row>
    <row r="67" customFormat="false" ht="15" hidden="false" customHeight="false" outlineLevel="0" collapsed="false">
      <c r="A67" s="2" t="s">
        <v>868</v>
      </c>
      <c r="B67" s="3" t="s">
        <v>203</v>
      </c>
      <c r="C67" s="9" t="s">
        <v>797</v>
      </c>
      <c r="D67" s="9" t="s">
        <v>795</v>
      </c>
    </row>
    <row r="68" customFormat="false" ht="15" hidden="false" customHeight="false" outlineLevel="0" collapsed="false">
      <c r="A68" s="2" t="s">
        <v>869</v>
      </c>
      <c r="B68" s="3" t="s">
        <v>218</v>
      </c>
      <c r="C68" s="9" t="s">
        <v>797</v>
      </c>
      <c r="D68" s="9" t="s">
        <v>795</v>
      </c>
    </row>
    <row r="69" customFormat="false" ht="15" hidden="false" customHeight="false" outlineLevel="0" collapsed="false">
      <c r="A69" s="2" t="s">
        <v>870</v>
      </c>
      <c r="B69" s="3" t="s">
        <v>100</v>
      </c>
      <c r="C69" s="9" t="s">
        <v>797</v>
      </c>
      <c r="D69" s="9" t="s">
        <v>795</v>
      </c>
    </row>
    <row r="70" customFormat="false" ht="15" hidden="false" customHeight="false" outlineLevel="0" collapsed="false">
      <c r="A70" s="2" t="s">
        <v>871</v>
      </c>
      <c r="B70" s="3" t="s">
        <v>54</v>
      </c>
      <c r="C70" s="9" t="s">
        <v>797</v>
      </c>
      <c r="D70" s="9" t="s">
        <v>795</v>
      </c>
    </row>
    <row r="71" customFormat="false" ht="15" hidden="false" customHeight="false" outlineLevel="0" collapsed="false">
      <c r="A71" s="2" t="s">
        <v>872</v>
      </c>
      <c r="B71" s="3" t="s">
        <v>182</v>
      </c>
      <c r="C71" s="9" t="s">
        <v>797</v>
      </c>
      <c r="D71" s="9" t="s">
        <v>795</v>
      </c>
    </row>
    <row r="72" customFormat="false" ht="23.85" hidden="false" customHeight="false" outlineLevel="0" collapsed="false">
      <c r="A72" s="2" t="s">
        <v>873</v>
      </c>
      <c r="B72" s="3" t="s">
        <v>832</v>
      </c>
      <c r="C72" s="9" t="s">
        <v>797</v>
      </c>
      <c r="D72" s="9" t="s">
        <v>795</v>
      </c>
    </row>
    <row r="73" customFormat="false" ht="15" hidden="false" customHeight="false" outlineLevel="0" collapsed="false">
      <c r="A73" s="2" t="s">
        <v>874</v>
      </c>
      <c r="B73" s="3" t="s">
        <v>112</v>
      </c>
      <c r="C73" s="9" t="s">
        <v>797</v>
      </c>
      <c r="D73" s="9" t="s">
        <v>795</v>
      </c>
    </row>
    <row r="74" customFormat="false" ht="15" hidden="false" customHeight="false" outlineLevel="0" collapsed="false">
      <c r="A74" s="2" t="s">
        <v>875</v>
      </c>
      <c r="B74" s="3" t="s">
        <v>162</v>
      </c>
      <c r="C74" s="9" t="s">
        <v>797</v>
      </c>
      <c r="D74" s="9" t="s">
        <v>795</v>
      </c>
    </row>
    <row r="75" customFormat="false" ht="15" hidden="false" customHeight="false" outlineLevel="0" collapsed="false">
      <c r="A75" s="2" t="s">
        <v>876</v>
      </c>
      <c r="B75" s="3" t="s">
        <v>142</v>
      </c>
      <c r="C75" s="9" t="s">
        <v>797</v>
      </c>
      <c r="D75" s="9" t="s">
        <v>795</v>
      </c>
    </row>
    <row r="76" customFormat="false" ht="15" hidden="false" customHeight="false" outlineLevel="0" collapsed="false">
      <c r="A76" s="2" t="s">
        <v>877</v>
      </c>
      <c r="B76" s="3" t="s">
        <v>162</v>
      </c>
      <c r="C76" s="9" t="s">
        <v>797</v>
      </c>
      <c r="D76" s="9" t="s">
        <v>795</v>
      </c>
    </row>
    <row r="77" customFormat="false" ht="15" hidden="false" customHeight="false" outlineLevel="0" collapsed="false">
      <c r="A77" s="2" t="s">
        <v>878</v>
      </c>
      <c r="B77" s="3" t="s">
        <v>855</v>
      </c>
      <c r="C77" s="9" t="s">
        <v>797</v>
      </c>
      <c r="D77" s="9" t="s">
        <v>795</v>
      </c>
    </row>
    <row r="78" customFormat="false" ht="15" hidden="false" customHeight="false" outlineLevel="0" collapsed="false">
      <c r="A78" s="2" t="s">
        <v>879</v>
      </c>
      <c r="B78" s="3" t="s">
        <v>193</v>
      </c>
      <c r="C78" s="9" t="s">
        <v>797</v>
      </c>
      <c r="D78" s="9" t="s">
        <v>795</v>
      </c>
    </row>
    <row r="79" customFormat="false" ht="15" hidden="false" customHeight="false" outlineLevel="0" collapsed="false">
      <c r="A79" s="2" t="s">
        <v>880</v>
      </c>
      <c r="B79" s="3" t="s">
        <v>172</v>
      </c>
      <c r="C79" s="9" t="s">
        <v>797</v>
      </c>
      <c r="D79" s="9" t="s">
        <v>795</v>
      </c>
    </row>
    <row r="80" customFormat="false" ht="15" hidden="false" customHeight="false" outlineLevel="0" collapsed="false">
      <c r="A80" s="2" t="s">
        <v>881</v>
      </c>
      <c r="B80" s="3" t="s">
        <v>300</v>
      </c>
      <c r="C80" s="9" t="s">
        <v>797</v>
      </c>
      <c r="D80" s="9" t="s">
        <v>795</v>
      </c>
    </row>
    <row r="81" customFormat="false" ht="15" hidden="false" customHeight="false" outlineLevel="0" collapsed="false">
      <c r="A81" s="2" t="s">
        <v>882</v>
      </c>
      <c r="B81" s="3" t="s">
        <v>226</v>
      </c>
      <c r="C81" s="9" t="s">
        <v>797</v>
      </c>
      <c r="D81" s="9" t="s">
        <v>795</v>
      </c>
    </row>
    <row r="82" customFormat="false" ht="15" hidden="false" customHeight="false" outlineLevel="0" collapsed="false">
      <c r="A82" s="2" t="s">
        <v>883</v>
      </c>
      <c r="B82" s="3" t="s">
        <v>89</v>
      </c>
      <c r="C82" s="9" t="s">
        <v>797</v>
      </c>
      <c r="D82" s="9" t="s">
        <v>795</v>
      </c>
    </row>
    <row r="83" customFormat="false" ht="15" hidden="false" customHeight="false" outlineLevel="0" collapsed="false">
      <c r="A83" s="2" t="s">
        <v>884</v>
      </c>
      <c r="B83" s="3" t="s">
        <v>89</v>
      </c>
      <c r="C83" s="9" t="s">
        <v>797</v>
      </c>
      <c r="D83" s="9" t="s">
        <v>795</v>
      </c>
    </row>
    <row r="84" customFormat="false" ht="15" hidden="false" customHeight="false" outlineLevel="0" collapsed="false">
      <c r="A84" s="2" t="s">
        <v>885</v>
      </c>
      <c r="B84" s="3" t="s">
        <v>41</v>
      </c>
      <c r="C84" s="9" t="s">
        <v>797</v>
      </c>
      <c r="D84" s="9" t="s">
        <v>795</v>
      </c>
    </row>
    <row r="85" customFormat="false" ht="15" hidden="false" customHeight="false" outlineLevel="0" collapsed="false">
      <c r="A85" s="2" t="s">
        <v>886</v>
      </c>
      <c r="B85" s="3" t="s">
        <v>66</v>
      </c>
      <c r="C85" s="9" t="s">
        <v>797</v>
      </c>
      <c r="D85" s="9" t="s">
        <v>795</v>
      </c>
    </row>
    <row r="86" customFormat="false" ht="15" hidden="false" customHeight="false" outlineLevel="0" collapsed="false">
      <c r="A86" s="2" t="s">
        <v>887</v>
      </c>
      <c r="B86" s="3" t="s">
        <v>54</v>
      </c>
      <c r="C86" s="9" t="s">
        <v>797</v>
      </c>
      <c r="D86" s="9" t="s">
        <v>795</v>
      </c>
    </row>
    <row r="87" customFormat="false" ht="15" hidden="false" customHeight="false" outlineLevel="0" collapsed="false">
      <c r="A87" s="2" t="s">
        <v>888</v>
      </c>
      <c r="B87" s="3" t="s">
        <v>172</v>
      </c>
      <c r="C87" s="9" t="s">
        <v>797</v>
      </c>
      <c r="D87" s="9" t="s">
        <v>795</v>
      </c>
    </row>
    <row r="88" customFormat="false" ht="15" hidden="false" customHeight="false" outlineLevel="0" collapsed="false">
      <c r="A88" s="2" t="s">
        <v>889</v>
      </c>
      <c r="B88" s="3" t="s">
        <v>182</v>
      </c>
      <c r="C88" s="9" t="s">
        <v>797</v>
      </c>
      <c r="D88" s="9" t="s">
        <v>795</v>
      </c>
    </row>
    <row r="89" customFormat="false" ht="15" hidden="false" customHeight="false" outlineLevel="0" collapsed="false">
      <c r="A89" s="2" t="s">
        <v>890</v>
      </c>
      <c r="B89" s="3" t="s">
        <v>152</v>
      </c>
      <c r="C89" s="9" t="s">
        <v>797</v>
      </c>
      <c r="D89" s="9" t="s">
        <v>795</v>
      </c>
    </row>
    <row r="90" customFormat="false" ht="15" hidden="false" customHeight="false" outlineLevel="0" collapsed="false">
      <c r="A90" s="2" t="s">
        <v>891</v>
      </c>
      <c r="B90" s="3" t="s">
        <v>131</v>
      </c>
      <c r="C90" s="9" t="s">
        <v>797</v>
      </c>
      <c r="D90" s="9" t="s">
        <v>795</v>
      </c>
    </row>
    <row r="91" customFormat="false" ht="15" hidden="false" customHeight="false" outlineLevel="0" collapsed="false">
      <c r="A91" s="2" t="s">
        <v>892</v>
      </c>
      <c r="B91" s="3" t="s">
        <v>27</v>
      </c>
      <c r="C91" s="9" t="s">
        <v>797</v>
      </c>
      <c r="D91" s="9" t="s">
        <v>795</v>
      </c>
    </row>
    <row r="92" customFormat="false" ht="15" hidden="false" customHeight="false" outlineLevel="0" collapsed="false">
      <c r="A92" s="2" t="s">
        <v>893</v>
      </c>
      <c r="B92" s="3" t="s">
        <v>27</v>
      </c>
      <c r="C92" s="9" t="s">
        <v>797</v>
      </c>
      <c r="D92" s="9" t="s">
        <v>795</v>
      </c>
    </row>
    <row r="93" customFormat="false" ht="15" hidden="false" customHeight="false" outlineLevel="0" collapsed="false">
      <c r="A93" s="2" t="s">
        <v>894</v>
      </c>
      <c r="B93" s="3" t="s">
        <v>66</v>
      </c>
      <c r="C93" s="9" t="s">
        <v>797</v>
      </c>
      <c r="D93" s="9" t="s">
        <v>795</v>
      </c>
    </row>
    <row r="94" customFormat="false" ht="15" hidden="false" customHeight="false" outlineLevel="0" collapsed="false">
      <c r="A94" s="2" t="s">
        <v>895</v>
      </c>
      <c r="B94" s="3" t="s">
        <v>27</v>
      </c>
      <c r="C94" s="9" t="s">
        <v>797</v>
      </c>
      <c r="D94" s="9" t="s">
        <v>795</v>
      </c>
    </row>
    <row r="95" customFormat="false" ht="15" hidden="false" customHeight="false" outlineLevel="0" collapsed="false">
      <c r="A95" s="2" t="s">
        <v>896</v>
      </c>
      <c r="B95" s="3" t="s">
        <v>262</v>
      </c>
      <c r="C95" s="9" t="s">
        <v>797</v>
      </c>
      <c r="D95" s="9" t="s">
        <v>795</v>
      </c>
    </row>
    <row r="96" customFormat="false" ht="15" hidden="false" customHeight="false" outlineLevel="0" collapsed="false">
      <c r="A96" s="2" t="s">
        <v>897</v>
      </c>
      <c r="B96" s="3" t="s">
        <v>54</v>
      </c>
      <c r="C96" s="9" t="s">
        <v>797</v>
      </c>
      <c r="D96" s="9" t="s">
        <v>795</v>
      </c>
    </row>
    <row r="97" customFormat="false" ht="15" hidden="false" customHeight="false" outlineLevel="0" collapsed="false">
      <c r="A97" s="2" t="s">
        <v>898</v>
      </c>
      <c r="B97" s="3" t="s">
        <v>242</v>
      </c>
      <c r="C97" s="9" t="s">
        <v>797</v>
      </c>
      <c r="D97" s="9" t="s">
        <v>795</v>
      </c>
    </row>
  </sheetData>
  <autoFilter ref="A1:D97"/>
  <hyperlinks>
    <hyperlink ref="C2" r:id="rId1" display="Abrir na Biblioteca"/>
    <hyperlink ref="D2" r:id="rId2" display="Só vídeos"/>
    <hyperlink ref="C3" r:id="rId3" display="Abrir na Biblioteca"/>
    <hyperlink ref="D3" r:id="rId4" display="Só vídeos"/>
    <hyperlink ref="C4" r:id="rId5" display="Abrir na Biblioteca"/>
    <hyperlink ref="D4" r:id="rId6" display="Só vídeos"/>
    <hyperlink ref="C5" r:id="rId7" display="Abrir na Biblioteca"/>
    <hyperlink ref="D5" r:id="rId8" display="Só vídeos"/>
    <hyperlink ref="C6" r:id="rId9" display="Abrir na Biblioteca"/>
    <hyperlink ref="D6" r:id="rId10" display="Só vídeos"/>
    <hyperlink ref="C7" r:id="rId11" display="Abrir na Biblioteca"/>
    <hyperlink ref="D7" r:id="rId12" display="Só vídeos"/>
    <hyperlink ref="C8" r:id="rId13" display="Abrir na Biblioteca"/>
    <hyperlink ref="D8" r:id="rId14" display="Só vídeos"/>
    <hyperlink ref="C9" r:id="rId15" display="Abrir na Biblioteca"/>
    <hyperlink ref="D9" r:id="rId16" display="Só vídeos"/>
    <hyperlink ref="C10" r:id="rId17" display="Abrir na Biblioteca"/>
    <hyperlink ref="D10" r:id="rId18" display="Só vídeos"/>
    <hyperlink ref="C11" r:id="rId19" display="Abrir na Biblioteca"/>
    <hyperlink ref="D11" r:id="rId20" display="Só vídeos"/>
    <hyperlink ref="C12" r:id="rId21" display="Abrir na Biblioteca"/>
    <hyperlink ref="D12" r:id="rId22" display="Só vídeos"/>
    <hyperlink ref="C13" r:id="rId23" display="Abrir na Biblioteca"/>
    <hyperlink ref="D13" r:id="rId24" display="Só vídeos"/>
    <hyperlink ref="C14" r:id="rId25" display="Abrir na Biblioteca"/>
    <hyperlink ref="D14" r:id="rId26" display="Só vídeos"/>
    <hyperlink ref="C15" r:id="rId27" display="Abrir na Biblioteca"/>
    <hyperlink ref="D15" r:id="rId28" display="Só vídeos"/>
    <hyperlink ref="C16" r:id="rId29" display="Abrir na Biblioteca"/>
    <hyperlink ref="D16" r:id="rId30" display="Só vídeos"/>
    <hyperlink ref="C17" r:id="rId31" display="Abrir na Biblioteca"/>
    <hyperlink ref="D17" r:id="rId32" display="Só vídeos"/>
    <hyperlink ref="C18" r:id="rId33" display="Abrir na Biblioteca"/>
    <hyperlink ref="D18" r:id="rId34" display="Só vídeos"/>
    <hyperlink ref="C19" r:id="rId35" display="Abrir na Biblioteca"/>
    <hyperlink ref="D19" r:id="rId36" display="Só vídeos"/>
    <hyperlink ref="C20" r:id="rId37" display="Abrir na Biblioteca"/>
    <hyperlink ref="D20" r:id="rId38" display="Só vídeos"/>
    <hyperlink ref="C21" r:id="rId39" display="Abrir na Biblioteca"/>
    <hyperlink ref="D21" r:id="rId40" display="Só vídeos"/>
    <hyperlink ref="C22" r:id="rId41" display="Abrir na Biblioteca"/>
    <hyperlink ref="D22" r:id="rId42" display="Só vídeos"/>
    <hyperlink ref="C23" r:id="rId43" display="Abrir na Biblioteca"/>
    <hyperlink ref="D23" r:id="rId44" display="Só vídeos"/>
    <hyperlink ref="C24" r:id="rId45" display="Abrir na Biblioteca"/>
    <hyperlink ref="D24" r:id="rId46" display="Só vídeos"/>
    <hyperlink ref="C25" r:id="rId47" display="Abrir na Biblioteca"/>
    <hyperlink ref="D25" r:id="rId48" display="Só vídeos"/>
    <hyperlink ref="C26" r:id="rId49" display="Abrir na Biblioteca"/>
    <hyperlink ref="D26" r:id="rId50" display="Só vídeos"/>
    <hyperlink ref="C27" r:id="rId51" display="Abrir na Biblioteca"/>
    <hyperlink ref="D27" r:id="rId52" display="Só vídeos"/>
    <hyperlink ref="C28" r:id="rId53" display="Abrir na Biblioteca"/>
    <hyperlink ref="D28" r:id="rId54" display="Só vídeos"/>
    <hyperlink ref="C29" r:id="rId55" display="Abrir na Biblioteca"/>
    <hyperlink ref="D29" r:id="rId56" display="Só vídeos"/>
    <hyperlink ref="C30" r:id="rId57" display="Abrir na Biblioteca"/>
    <hyperlink ref="D30" r:id="rId58" display="Só vídeos"/>
    <hyperlink ref="C31" r:id="rId59" display="Abrir na Biblioteca"/>
    <hyperlink ref="D31" r:id="rId60" display="Só vídeos"/>
    <hyperlink ref="C32" r:id="rId61" display="Abrir na Biblioteca"/>
    <hyperlink ref="D32" r:id="rId62" display="Só vídeos"/>
    <hyperlink ref="C33" r:id="rId63" display="Abrir na Biblioteca"/>
    <hyperlink ref="D33" r:id="rId64" display="Só vídeos"/>
    <hyperlink ref="C34" r:id="rId65" display="Abrir na Biblioteca"/>
    <hyperlink ref="D34" r:id="rId66" display="Só vídeos"/>
    <hyperlink ref="C35" r:id="rId67" display="Abrir na Biblioteca"/>
    <hyperlink ref="D35" r:id="rId68" display="Só vídeos"/>
    <hyperlink ref="C36" r:id="rId69" display="Abrir na Biblioteca"/>
    <hyperlink ref="D36" r:id="rId70" display="Só vídeos"/>
    <hyperlink ref="C37" r:id="rId71" display="Abrir na Biblioteca"/>
    <hyperlink ref="D37" r:id="rId72" display="Só vídeos"/>
    <hyperlink ref="C38" r:id="rId73" display="Abrir na Biblioteca"/>
    <hyperlink ref="D38" r:id="rId74" display="Só vídeos"/>
    <hyperlink ref="C39" r:id="rId75" display="Abrir na Biblioteca"/>
    <hyperlink ref="D39" r:id="rId76" display="Só vídeos"/>
    <hyperlink ref="C40" r:id="rId77" display="Abrir na Biblioteca"/>
    <hyperlink ref="D40" r:id="rId78" display="Só vídeos"/>
    <hyperlink ref="C41" r:id="rId79" display="Abrir na Biblioteca"/>
    <hyperlink ref="D41" r:id="rId80" display="Só vídeos"/>
    <hyperlink ref="C42" r:id="rId81" display="Abrir na Biblioteca"/>
    <hyperlink ref="D42" r:id="rId82" display="Só vídeos"/>
    <hyperlink ref="C43" r:id="rId83" display="Abrir na Biblioteca"/>
    <hyperlink ref="D43" r:id="rId84" display="Só vídeos"/>
    <hyperlink ref="C44" r:id="rId85" display="Abrir na Biblioteca"/>
    <hyperlink ref="D44" r:id="rId86" display="Só vídeos"/>
    <hyperlink ref="C45" r:id="rId87" display="Abrir na Biblioteca"/>
    <hyperlink ref="D45" r:id="rId88" display="Só vídeos"/>
    <hyperlink ref="C46" r:id="rId89" display="Abrir na Biblioteca"/>
    <hyperlink ref="D46" r:id="rId90" display="Só vídeos"/>
    <hyperlink ref="C47" r:id="rId91" display="Abrir na Biblioteca"/>
    <hyperlink ref="D47" r:id="rId92" display="Só vídeos"/>
    <hyperlink ref="C48" r:id="rId93" display="Abrir na Biblioteca"/>
    <hyperlink ref="D48" r:id="rId94" display="Só vídeos"/>
    <hyperlink ref="C49" r:id="rId95" display="Abrir na Biblioteca"/>
    <hyperlink ref="D49" r:id="rId96" display="Só vídeos"/>
    <hyperlink ref="C50" r:id="rId97" display="Abrir na Biblioteca"/>
    <hyperlink ref="D50" r:id="rId98" display="Só vídeos"/>
    <hyperlink ref="C51" r:id="rId99" display="Abrir na Biblioteca"/>
    <hyperlink ref="D51" r:id="rId100" display="Só vídeos"/>
    <hyperlink ref="C52" r:id="rId101" display="Abrir na Biblioteca"/>
    <hyperlink ref="D52" r:id="rId102" display="Só vídeos"/>
    <hyperlink ref="C53" r:id="rId103" display="Abrir na Biblioteca"/>
    <hyperlink ref="D53" r:id="rId104" display="Só vídeos"/>
    <hyperlink ref="C54" r:id="rId105" display="Abrir na Biblioteca"/>
    <hyperlink ref="D54" r:id="rId106" display="Só vídeos"/>
    <hyperlink ref="C55" r:id="rId107" display="Abrir na Biblioteca"/>
    <hyperlink ref="D55" r:id="rId108" display="Só vídeos"/>
    <hyperlink ref="C56" r:id="rId109" display="Abrir na Biblioteca"/>
    <hyperlink ref="D56" r:id="rId110" display="Só vídeos"/>
    <hyperlink ref="C57" r:id="rId111" display="Abrir na Biblioteca"/>
    <hyperlink ref="D57" r:id="rId112" display="Só vídeos"/>
    <hyperlink ref="C58" r:id="rId113" display="Abrir na Biblioteca"/>
    <hyperlink ref="D58" r:id="rId114" display="Só vídeos"/>
    <hyperlink ref="C59" r:id="rId115" display="Abrir na Biblioteca"/>
    <hyperlink ref="D59" r:id="rId116" display="Só vídeos"/>
    <hyperlink ref="C60" r:id="rId117" display="Abrir na Biblioteca"/>
    <hyperlink ref="D60" r:id="rId118" display="Só vídeos"/>
    <hyperlink ref="C61" r:id="rId119" display="Abrir na Biblioteca"/>
    <hyperlink ref="D61" r:id="rId120" display="Só vídeos"/>
    <hyperlink ref="C62" r:id="rId121" display="Abrir na Biblioteca"/>
    <hyperlink ref="D62" r:id="rId122" display="Só vídeos"/>
    <hyperlink ref="C63" r:id="rId123" display="Abrir na Biblioteca"/>
    <hyperlink ref="D63" r:id="rId124" display="Só vídeos"/>
    <hyperlink ref="C64" r:id="rId125" display="Abrir na Biblioteca"/>
    <hyperlink ref="D64" r:id="rId126" display="Só vídeos"/>
    <hyperlink ref="C65" r:id="rId127" display="Abrir na Biblioteca"/>
    <hyperlink ref="D65" r:id="rId128" display="Só vídeos"/>
    <hyperlink ref="C66" r:id="rId129" display="Abrir na Biblioteca"/>
    <hyperlink ref="D66" r:id="rId130" display="Só vídeos"/>
    <hyperlink ref="C67" r:id="rId131" display="Abrir na Biblioteca"/>
    <hyperlink ref="D67" r:id="rId132" display="Só vídeos"/>
    <hyperlink ref="C68" r:id="rId133" display="Abrir na Biblioteca"/>
    <hyperlink ref="D68" r:id="rId134" display="Só vídeos"/>
    <hyperlink ref="C69" r:id="rId135" display="Abrir na Biblioteca"/>
    <hyperlink ref="D69" r:id="rId136" display="Só vídeos"/>
    <hyperlink ref="C70" r:id="rId137" display="Abrir na Biblioteca"/>
    <hyperlink ref="D70" r:id="rId138" display="Só vídeos"/>
    <hyperlink ref="C71" r:id="rId139" display="Abrir na Biblioteca"/>
    <hyperlink ref="D71" r:id="rId140" display="Só vídeos"/>
    <hyperlink ref="C72" r:id="rId141" display="Abrir na Biblioteca"/>
    <hyperlink ref="D72" r:id="rId142" display="Só vídeos"/>
    <hyperlink ref="C73" r:id="rId143" display="Abrir na Biblioteca"/>
    <hyperlink ref="D73" r:id="rId144" display="Só vídeos"/>
    <hyperlink ref="C74" r:id="rId145" display="Abrir na Biblioteca"/>
    <hyperlink ref="D74" r:id="rId146" display="Só vídeos"/>
    <hyperlink ref="C75" r:id="rId147" display="Abrir na Biblioteca"/>
    <hyperlink ref="D75" r:id="rId148" display="Só vídeos"/>
    <hyperlink ref="C76" r:id="rId149" display="Abrir na Biblioteca"/>
    <hyperlink ref="D76" r:id="rId150" display="Só vídeos"/>
    <hyperlink ref="C77" r:id="rId151" display="Abrir na Biblioteca"/>
    <hyperlink ref="D77" r:id="rId152" display="Só vídeos"/>
    <hyperlink ref="C78" r:id="rId153" display="Abrir na Biblioteca"/>
    <hyperlink ref="D78" r:id="rId154" display="Só vídeos"/>
    <hyperlink ref="C79" r:id="rId155" display="Abrir na Biblioteca"/>
    <hyperlink ref="D79" r:id="rId156" display="Só vídeos"/>
    <hyperlink ref="C80" r:id="rId157" display="Abrir na Biblioteca"/>
    <hyperlink ref="D80" r:id="rId158" display="Só vídeos"/>
    <hyperlink ref="C81" r:id="rId159" display="Abrir na Biblioteca"/>
    <hyperlink ref="D81" r:id="rId160" display="Só vídeos"/>
    <hyperlink ref="C82" r:id="rId161" display="Abrir na Biblioteca"/>
    <hyperlink ref="D82" r:id="rId162" display="Só vídeos"/>
    <hyperlink ref="C83" r:id="rId163" display="Abrir na Biblioteca"/>
    <hyperlink ref="D83" r:id="rId164" display="Só vídeos"/>
    <hyperlink ref="C84" r:id="rId165" display="Abrir na Biblioteca"/>
    <hyperlink ref="D84" r:id="rId166" display="Só vídeos"/>
    <hyperlink ref="C85" r:id="rId167" display="Abrir na Biblioteca"/>
    <hyperlink ref="D85" r:id="rId168" display="Só vídeos"/>
    <hyperlink ref="C86" r:id="rId169" display="Abrir na Biblioteca"/>
    <hyperlink ref="D86" r:id="rId170" display="Só vídeos"/>
    <hyperlink ref="C87" r:id="rId171" display="Abrir na Biblioteca"/>
    <hyperlink ref="D87" r:id="rId172" display="Só vídeos"/>
    <hyperlink ref="C88" r:id="rId173" display="Abrir na Biblioteca"/>
    <hyperlink ref="D88" r:id="rId174" display="Só vídeos"/>
    <hyperlink ref="C89" r:id="rId175" display="Abrir na Biblioteca"/>
    <hyperlink ref="D89" r:id="rId176" display="Só vídeos"/>
    <hyperlink ref="C90" r:id="rId177" display="Abrir na Biblioteca"/>
    <hyperlink ref="D90" r:id="rId178" display="Só vídeos"/>
    <hyperlink ref="C91" r:id="rId179" display="Abrir na Biblioteca"/>
    <hyperlink ref="D91" r:id="rId180" display="Só vídeos"/>
    <hyperlink ref="C92" r:id="rId181" display="Abrir na Biblioteca"/>
    <hyperlink ref="D92" r:id="rId182" display="Só vídeos"/>
    <hyperlink ref="C93" r:id="rId183" display="Abrir na Biblioteca"/>
    <hyperlink ref="D93" r:id="rId184" display="Só vídeos"/>
    <hyperlink ref="C94" r:id="rId185" display="Abrir na Biblioteca"/>
    <hyperlink ref="D94" r:id="rId186" display="Só vídeos"/>
    <hyperlink ref="C95" r:id="rId187" display="Abrir na Biblioteca"/>
    <hyperlink ref="D95" r:id="rId188" display="Só vídeos"/>
    <hyperlink ref="C96" r:id="rId189" display="Abrir na Biblioteca"/>
    <hyperlink ref="D96" r:id="rId190" display="Só vídeos"/>
    <hyperlink ref="C97" r:id="rId191" display="Abrir na Biblioteca"/>
    <hyperlink ref="D97" r:id="rId192" display="Só víde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9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30"/>
  </cols>
  <sheetData>
    <row r="1" customFormat="false" ht="31.5" hidden="false" customHeight="true" outlineLevel="0" collapsed="false">
      <c r="A1" s="1" t="s">
        <v>1</v>
      </c>
      <c r="B1" s="1" t="s">
        <v>899</v>
      </c>
      <c r="C1" s="1" t="s">
        <v>900</v>
      </c>
      <c r="D1" s="1" t="s">
        <v>13</v>
      </c>
      <c r="E1" s="1" t="s">
        <v>792</v>
      </c>
      <c r="F1" s="1" t="s">
        <v>901</v>
      </c>
      <c r="G1" s="1" t="s">
        <v>26</v>
      </c>
    </row>
    <row r="2" customFormat="false" ht="33.75" hidden="false" customHeight="true" outlineLevel="0" collapsed="false">
      <c r="A2" s="2" t="s">
        <v>902</v>
      </c>
      <c r="B2" s="3" t="s">
        <v>903</v>
      </c>
      <c r="C2" s="2" t="n">
        <v>210</v>
      </c>
      <c r="D2" s="2" t="n">
        <v>889</v>
      </c>
      <c r="E2" s="2" t="s">
        <v>904</v>
      </c>
      <c r="F2" s="9" t="s">
        <v>905</v>
      </c>
      <c r="G2" s="2" t="s">
        <v>906</v>
      </c>
    </row>
    <row r="3" customFormat="false" ht="33.75" hidden="false" customHeight="true" outlineLevel="0" collapsed="false">
      <c r="A3" s="2" t="s">
        <v>907</v>
      </c>
      <c r="B3" s="3" t="s">
        <v>908</v>
      </c>
      <c r="C3" s="2" t="n">
        <v>210</v>
      </c>
      <c r="D3" s="2" t="n">
        <v>114</v>
      </c>
      <c r="E3" s="2" t="s">
        <v>909</v>
      </c>
      <c r="F3" s="9" t="s">
        <v>905</v>
      </c>
      <c r="G3" s="2" t="s">
        <v>910</v>
      </c>
    </row>
    <row r="4" customFormat="false" ht="33.75" hidden="false" customHeight="true" outlineLevel="0" collapsed="false">
      <c r="A4" s="2" t="s">
        <v>911</v>
      </c>
      <c r="B4" s="3" t="s">
        <v>912</v>
      </c>
      <c r="C4" s="2" t="s">
        <v>44</v>
      </c>
      <c r="D4" s="2" t="n">
        <v>58</v>
      </c>
      <c r="E4" s="2" t="s">
        <v>913</v>
      </c>
      <c r="F4" s="9" t="s">
        <v>905</v>
      </c>
      <c r="G4" s="2" t="s">
        <v>914</v>
      </c>
    </row>
    <row r="5" customFormat="false" ht="33.75" hidden="false" customHeight="true" outlineLevel="0" collapsed="false">
      <c r="A5" s="2" t="s">
        <v>915</v>
      </c>
      <c r="B5" s="3" t="s">
        <v>916</v>
      </c>
      <c r="C5" s="2" t="s">
        <v>44</v>
      </c>
      <c r="D5" s="2" t="n">
        <v>106</v>
      </c>
      <c r="E5" s="2" t="s">
        <v>917</v>
      </c>
      <c r="F5" s="9" t="s">
        <v>905</v>
      </c>
      <c r="G5" s="2" t="s">
        <v>918</v>
      </c>
    </row>
    <row r="6" customFormat="false" ht="33.75" hidden="false" customHeight="true" outlineLevel="0" collapsed="false">
      <c r="A6" s="2" t="s">
        <v>919</v>
      </c>
      <c r="B6" s="3" t="s">
        <v>920</v>
      </c>
      <c r="C6" s="2" t="n">
        <v>61</v>
      </c>
      <c r="D6" s="2" t="n">
        <v>39</v>
      </c>
      <c r="E6" s="2" t="s">
        <v>921</v>
      </c>
      <c r="F6" s="9" t="s">
        <v>905</v>
      </c>
      <c r="G6" s="2" t="s">
        <v>922</v>
      </c>
    </row>
    <row r="7" customFormat="false" ht="33.75" hidden="false" customHeight="true" outlineLevel="0" collapsed="false">
      <c r="A7" s="2" t="s">
        <v>923</v>
      </c>
      <c r="B7" s="3" t="s">
        <v>924</v>
      </c>
      <c r="C7" s="2" t="s">
        <v>44</v>
      </c>
      <c r="D7" s="2" t="n">
        <v>5</v>
      </c>
      <c r="E7" s="2" t="s">
        <v>923</v>
      </c>
      <c r="F7" s="9" t="s">
        <v>905</v>
      </c>
      <c r="G7" s="2" t="s">
        <v>925</v>
      </c>
    </row>
    <row r="8" customFormat="false" ht="33.75" hidden="false" customHeight="true" outlineLevel="0" collapsed="false">
      <c r="A8" s="2" t="s">
        <v>926</v>
      </c>
      <c r="B8" s="3" t="s">
        <v>927</v>
      </c>
      <c r="C8" s="2" t="s">
        <v>44</v>
      </c>
      <c r="D8" s="2" t="n">
        <v>8</v>
      </c>
      <c r="E8" s="2" t="s">
        <v>928</v>
      </c>
      <c r="F8" s="9" t="s">
        <v>905</v>
      </c>
      <c r="G8" s="2" t="s">
        <v>929</v>
      </c>
    </row>
    <row r="9" customFormat="false" ht="33.75" hidden="false" customHeight="true" outlineLevel="0" collapsed="false">
      <c r="A9" s="2" t="s">
        <v>930</v>
      </c>
      <c r="B9" s="3" t="s">
        <v>931</v>
      </c>
      <c r="C9" s="2" t="s">
        <v>44</v>
      </c>
      <c r="D9" s="2" t="n">
        <v>10</v>
      </c>
      <c r="E9" s="2" t="s">
        <v>930</v>
      </c>
      <c r="F9" s="9" t="s">
        <v>905</v>
      </c>
      <c r="G9" s="2" t="s">
        <v>932</v>
      </c>
    </row>
    <row r="10" customFormat="false" ht="33.75" hidden="false" customHeight="true" outlineLevel="0" collapsed="false">
      <c r="A10" s="2" t="s">
        <v>933</v>
      </c>
      <c r="B10" s="3" t="s">
        <v>934</v>
      </c>
      <c r="C10" s="2" t="n">
        <v>149</v>
      </c>
      <c r="D10" s="2" t="n">
        <v>2</v>
      </c>
      <c r="E10" s="2" t="s">
        <v>935</v>
      </c>
      <c r="F10" s="9" t="s">
        <v>905</v>
      </c>
      <c r="G10" s="2" t="s">
        <v>936</v>
      </c>
    </row>
    <row r="11" customFormat="false" ht="33.75" hidden="false" customHeight="true" outlineLevel="0" collapsed="false">
      <c r="A11" s="2" t="s">
        <v>937</v>
      </c>
      <c r="B11" s="3" t="s">
        <v>938</v>
      </c>
      <c r="C11" s="2" t="s">
        <v>44</v>
      </c>
      <c r="D11" s="2" t="n">
        <v>2</v>
      </c>
      <c r="E11" s="2" t="s">
        <v>937</v>
      </c>
      <c r="F11" s="9" t="s">
        <v>905</v>
      </c>
      <c r="G11" s="2" t="s">
        <v>939</v>
      </c>
    </row>
  </sheetData>
  <hyperlinks>
    <hyperlink ref="F2" r:id="rId1" display="Abrir"/>
    <hyperlink ref="F3" r:id="rId2" display="Abrir"/>
    <hyperlink ref="F4" r:id="rId3" display="Abrir"/>
    <hyperlink ref="F5" r:id="rId4" display="Abrir"/>
    <hyperlink ref="F6" r:id="rId5" display="Abrir"/>
    <hyperlink ref="F7" r:id="rId6" display="Abrir"/>
    <hyperlink ref="F8" r:id="rId7" display="Abrir"/>
    <hyperlink ref="F9" r:id="rId8" display="Abrir"/>
    <hyperlink ref="F10" r:id="rId9" display="Abrir"/>
    <hyperlink ref="F11" r:id="rId10" display="Abri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45" hidden="false" customHeight="true" outlineLevel="0" collapsed="false">
      <c r="A1" s="12" t="s">
        <v>940</v>
      </c>
      <c r="B1" s="13" t="s">
        <v>941</v>
      </c>
    </row>
    <row r="2" customFormat="false" ht="45" hidden="false" customHeight="true" outlineLevel="0" collapsed="false">
      <c r="A2" s="12" t="s">
        <v>942</v>
      </c>
      <c r="B2" s="13" t="s">
        <v>943</v>
      </c>
    </row>
    <row r="3" customFormat="false" ht="45" hidden="false" customHeight="true" outlineLevel="0" collapsed="false">
      <c r="A3" s="12" t="s">
        <v>3</v>
      </c>
      <c r="B3" s="13" t="s">
        <v>944</v>
      </c>
    </row>
    <row r="4" customFormat="false" ht="45" hidden="false" customHeight="true" outlineLevel="0" collapsed="false">
      <c r="A4" s="12" t="s">
        <v>4</v>
      </c>
      <c r="B4" s="13" t="s">
        <v>945</v>
      </c>
    </row>
    <row r="5" customFormat="false" ht="45" hidden="false" customHeight="true" outlineLevel="0" collapsed="false">
      <c r="A5" s="12" t="s">
        <v>6</v>
      </c>
      <c r="B5" s="13" t="s">
        <v>946</v>
      </c>
    </row>
    <row r="6" customFormat="false" ht="45" hidden="false" customHeight="true" outlineLevel="0" collapsed="false">
      <c r="A6" s="12" t="s">
        <v>947</v>
      </c>
      <c r="B6" s="13" t="s">
        <v>948</v>
      </c>
    </row>
    <row r="7" customFormat="false" ht="45" hidden="false" customHeight="true" outlineLevel="0" collapsed="false">
      <c r="A7" s="12" t="s">
        <v>949</v>
      </c>
      <c r="B7" s="13" t="s">
        <v>950</v>
      </c>
    </row>
    <row r="8" customFormat="false" ht="45" hidden="false" customHeight="true" outlineLevel="0" collapsed="false">
      <c r="A8" s="12" t="s">
        <v>951</v>
      </c>
      <c r="B8" s="13" t="s">
        <v>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2026-09-26T19:31:33Z</dcterms:created>
  <dc:creator>openpyxl</dc:creator>
  <dc:description/>
  <dc:language>en-US</dc:language>
  <cp:lastModifiedBy/>
  <dcterms:modified xsi:type="dcterms:W3CDTF">2026-09-26T19:31:33Z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